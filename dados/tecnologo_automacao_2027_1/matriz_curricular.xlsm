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B27482E4-3705-4C5B-91E2-0EA19728320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_xlnm.Print_Area" localSheetId="0">Perfil!$A$1:$B$99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H5" i="2"/>
  <c r="AG5" i="2"/>
  <c r="AI5" i="2" s="1"/>
  <c r="AF5" i="2"/>
  <c r="AE5" i="2"/>
  <c r="AI7" i="2" s="1"/>
  <c r="AA5" i="2"/>
  <c r="AB5" i="2" s="1"/>
  <c r="Z5" i="2"/>
  <c r="Y5" i="2"/>
  <c r="X5" i="2"/>
  <c r="AB7" i="2" s="1"/>
  <c r="T5" i="2"/>
  <c r="S5" i="2"/>
  <c r="R5" i="2"/>
  <c r="Q5" i="2"/>
  <c r="U6" i="2" s="1"/>
  <c r="M5" i="2"/>
  <c r="L5" i="2"/>
  <c r="K5" i="2"/>
  <c r="N5" i="2" s="1"/>
  <c r="J5" i="2"/>
  <c r="F5" i="2"/>
  <c r="E5" i="2"/>
  <c r="D5" i="2"/>
  <c r="C5" i="2"/>
  <c r="G7" i="2" s="1"/>
  <c r="G6" i="2" l="1"/>
  <c r="N6" i="2"/>
  <c r="AB6" i="2"/>
  <c r="AI6" i="2"/>
  <c r="C19" i="2"/>
  <c r="C24" i="2" s="1"/>
  <c r="C29" i="2" s="1"/>
  <c r="C34" i="2" s="1"/>
  <c r="AP6" i="2"/>
  <c r="U7" i="2"/>
  <c r="G5" i="2"/>
  <c r="U5" i="2"/>
  <c r="AP5" i="2"/>
  <c r="J9" i="2" l="1"/>
  <c r="I36" i="2"/>
  <c r="BC8" i="2"/>
  <c r="BC14" i="2" s="1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W16" i="2" l="1"/>
  <c r="I2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E39" i="2" l="1"/>
  <c r="AL9" i="2" s="1"/>
  <c r="AL14" i="2" s="1"/>
  <c r="AL19" i="2" s="1"/>
  <c r="AD26" i="2"/>
  <c r="AD20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<sst xmlns="http://schemas.openxmlformats.org/spreadsheetml/2006/main" count="1462" uniqueCount="1027">
  <si>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</si>
  <si>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</si>
  <si>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</si>
  <si>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</si>
  <si>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</si>
  <si>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</si>
  <si>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</si>
  <si>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</si>
  <si>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</si>
  <si>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</si>
  <si>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</si>
  <si>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</si>
  <si>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</si>
  <si>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</si>
  <si>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</si>
  <si>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</si>
  <si>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</si>
  <si>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</si>
  <si>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</si>
  <si>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</si>
  <si>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6o Período</t>
  </si>
  <si>
    <t>disciplina</t>
  </si>
  <si>
    <t>900 horas</t>
  </si>
  <si>
    <t>FAMAT31011</t>
  </si>
  <si>
    <t>Cálculo Diferencial e Integral I</t>
  </si>
  <si>
    <t>1o Período</t>
  </si>
  <si>
    <t>FAMAT31012</t>
  </si>
  <si>
    <t>Cálculo Diferencial e Integral II</t>
  </si>
  <si>
    <t>2o Período</t>
  </si>
  <si>
    <t>FEELT!AC</t>
  </si>
  <si>
    <t>Atividades Complementares</t>
  </si>
  <si>
    <t>atividade_complementar</t>
  </si>
  <si>
    <t>FEELT!ACE1</t>
  </si>
  <si>
    <t>Atividades Curriculares de Extensão I</t>
  </si>
  <si>
    <t>4o Período</t>
  </si>
  <si>
    <t>extensao</t>
  </si>
  <si>
    <t>FEELT!ACE2</t>
  </si>
  <si>
    <t>Atividades Curriculares de Extensão II</t>
  </si>
  <si>
    <t>5o Período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</si>
  <si>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</si>
  <si>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</si>
  <si>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</si>
  <si>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</si>
  <si>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</si>
  <si>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</si>
  <si>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</si>
  <si>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</si>
  <si>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</si>
  <si>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</si>
  <si>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</si>
  <si>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</si>
  <si>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3o Período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</si>
  <si>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</si>
  <si>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</si>
  <si>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</si>
  <si>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</si>
  <si>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</si>
  <si>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</si>
  <si>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</si>
  <si>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</si>
  <si>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</si>
  <si>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</si>
  <si>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</si>
  <si>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</si>
  <si>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</si>
  <si>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</si>
  <si>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</si>
  <si>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</si>
  <si>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</si>
  <si>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</si>
  <si>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</si>
  <si>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</si>
  <si>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</si>
  <si>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</si>
  <si>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</si>
  <si>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</si>
  <si>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</si>
  <si>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</si>
  <si>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</si>
  <si>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</si>
  <si>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</si>
  <si>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</si>
  <si>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</si>
  <si>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</si>
  <si>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</si>
  <si>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</si>
  <si>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</si>
  <si>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</si>
  <si>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</si>
  <si>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</si>
  <si>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</si>
  <si>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</si>
  <si>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</si>
  <si>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</si>
  <si>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1000 horas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</si>
  <si>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</si>
  <si>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</si>
  <si>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</si>
  <si>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</si>
  <si>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</si>
  <si>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</si>
  <si>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</si>
  <si>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</si>
  <si>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</si>
  <si>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</si>
  <si>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</si>
  <si>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</si>
  <si>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</si>
  <si>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</si>
  <si>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</si>
  <si>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</si>
  <si>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</si>
  <si>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</si>
  <si>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</si>
  <si>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</si>
  <si>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</si>
  <si>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</si>
  <si>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</si>
  <si>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</si>
  <si>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</si>
  <si>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</si>
  <si>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</si>
  <si>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</si>
  <si>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</si>
  <si>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</si>
  <si>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</si>
  <si>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</si>
  <si>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</si>
  <si>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</si>
  <si>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</si>
  <si>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</si>
  <si>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</si>
  <si>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</si>
  <si>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</si>
  <si>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</si>
  <si>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</si>
  <si>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</si>
  <si>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</si>
  <si>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</si>
  <si>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</si>
  <si>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</si>
  <si>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</si>
  <si>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</si>
  <si>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</si>
  <si>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</si>
  <si>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</si>
  <si>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</si>
  <si>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</si>
  <si>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</si>
  <si>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</si>
  <si>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</si>
  <si>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</si>
  <si>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</si>
  <si>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</si>
  <si>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</si>
  <si>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</si>
  <si>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</si>
  <si>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</si>
  <si>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</si>
  <si>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</si>
  <si>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</si>
  <si>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</si>
  <si>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</si>
  <si>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</si>
  <si>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</si>
  <si>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</si>
  <si>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</si>
  <si>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</si>
  <si>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</si>
  <si>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</si>
  <si>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</si>
  <si>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</si>
  <si>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</si>
  <si>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</si>
  <si>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</si>
  <si>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</si>
  <si>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</si>
  <si>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</si>
  <si>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</si>
  <si>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</si>
  <si>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</si>
  <si>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</si>
  <si>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</si>
  <si>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</si>
  <si>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</si>
  <si>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</si>
  <si>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</si>
  <si>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</si>
  <si>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</si>
  <si>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</si>
  <si>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</si>
  <si>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</si>
  <si>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</si>
  <si>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</si>
  <si>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</si>
  <si>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</si>
  <si>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</si>
  <si>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</si>
  <si>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</si>
  <si>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</si>
  <si>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</si>
  <si>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</si>
  <si>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</si>
  <si>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</si>
  <si>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</si>
  <si>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</si>
  <si>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</si>
  <si>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</si>
  <si>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</si>
  <si>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</si>
  <si>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</si>
  <si>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</si>
  <si>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</si>
  <si>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</si>
  <si>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</si>
  <si>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</si>
  <si>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</si>
  <si>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</si>
  <si>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</si>
  <si>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</si>
  <si>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</si>
  <si>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</si>
  <si>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</si>
  <si>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</si>
  <si>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</si>
  <si>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</si>
  <si>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</si>
  <si>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</si>
  <si>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</si>
  <si>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</si>
  <si>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</si>
  <si>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</si>
  <si>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</si>
  <si>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</si>
  <si>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</si>
  <si>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</si>
  <si>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</si>
  <si>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</si>
  <si>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</si>
  <si>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</si>
  <si>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</si>
  <si>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</si>
  <si>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</si>
  <si>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</si>
  <si>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</si>
  <si>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</si>
  <si>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</si>
  <si>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</si>
  <si>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</si>
  <si>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</si>
  <si>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</si>
  <si>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</si>
  <si>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</si>
  <si>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</si>
  <si>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</si>
  <si>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</si>
  <si>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</si>
  <si>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</si>
  <si>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</si>
  <si>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</si>
  <si>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</si>
  <si>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</si>
  <si>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</si>
  <si>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</si>
  <si>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</si>
  <si>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</si>
  <si>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</si>
  <si>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</si>
  <si>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</si>
  <si>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</si>
  <si>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</si>
  <si>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</si>
  <si>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</si>
  <si>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</si>
  <si>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COMPONENTES CURRICULARES OPTATIVOS ***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</si>
  <si>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</si>
  <si>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</si>
  <si>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</si>
  <si>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</si>
  <si>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</si>
  <si>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</si>
  <si>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</si>
  <si>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</si>
  <si>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</si>
  <si>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</si>
  <si>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</si>
  <si>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</si>
  <si>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</si>
  <si>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</si>
  <si>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</si>
  <si>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</si>
  <si>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</si>
  <si>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</si>
  <si>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</si>
  <si>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</si>
  <si>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</si>
  <si>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</si>
  <si>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</si>
  <si>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</si>
  <si>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</si>
  <si>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</si>
  <si>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</si>
  <si>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</si>
  <si>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</si>
  <si>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</si>
  <si>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</si>
  <si>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</si>
  <si>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</si>
  <si>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</si>
  <si>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</si>
  <si>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</si>
  <si>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</si>
  <si>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</si>
  <si>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</si>
  <si>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</si>
  <si>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</si>
  <si>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</si>
  <si>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</si>
  <si>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</si>
  <si>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</si>
  <si>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</si>
  <si>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</si>
  <si>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</si>
  <si>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</si>
  <si>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</si>
  <si>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</si>
  <si>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</si>
  <si>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</si>
  <si>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</si>
  <si>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</si>
  <si>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</si>
  <si>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</si>
  <si>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</si>
  <si>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</si>
  <si>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</si>
  <si>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</si>
  <si>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</si>
  <si>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</si>
  <si>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</si>
  <si>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</si>
  <si>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</si>
  <si>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</si>
  <si>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</si>
  <si>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</si>
  <si>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</si>
  <si>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</si>
  <si>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</si>
  <si>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</si>
  <si>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</si>
  <si>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</si>
  <si>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</si>
  <si>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</si>
  <si>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</si>
  <si>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</si>
  <si>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</si>
  <si>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</si>
  <si>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</si>
  <si>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</si>
  <si>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</si>
  <si>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</si>
  <si>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</si>
  <si>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</si>
  <si>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</si>
  <si>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</si>
  <si>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</si>
  <si>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</si>
  <si>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</si>
  <si>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</si>
  <si>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</si>
  <si>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</si>
  <si>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</si>
  <si>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</si>
  <si>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</si>
  <si>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</si>
  <si>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</si>
  <si>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</si>
  <si>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</si>
  <si>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</si>
  <si>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</si>
  <si>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</si>
  <si>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</si>
  <si>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</si>
  <si>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</si>
  <si>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</si>
  <si>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</si>
  <si>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</si>
  <si>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</si>
  <si>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</si>
  <si>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</si>
  <si>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</si>
  <si>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</si>
  <si>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</si>
  <si>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</si>
  <si>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</si>
  <si>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</si>
  <si>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</si>
  <si>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</si>
  <si>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</si>
  <si>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</si>
  <si>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</si>
  <si>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</si>
  <si>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</si>
  <si>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</si>
  <si>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</si>
  <si>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</si>
  <si>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</si>
  <si>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</si>
  <si>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</si>
  <si>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</si>
  <si>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</si>
  <si>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</si>
  <si>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</si>
  <si>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</si>
  <si>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</si>
  <si>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</si>
  <si>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</si>
  <si>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</si>
  <si>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</si>
  <si>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</si>
  <si>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</si>
  <si>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</si>
  <si>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</si>
  <si>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</si>
  <si>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</si>
  <si>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</si>
  <si>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</si>
  <si>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</si>
  <si>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</si>
  <si>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</si>
  <si>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</si>
  <si>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</si>
  <si>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</si>
  <si>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</si>
  <si>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</si>
  <si>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</si>
  <si>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</si>
  <si>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</si>
  <si>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</si>
  <si>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</si>
  <si>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</si>
  <si>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</si>
  <si>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</si>
  <si>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</si>
  <si>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</si>
  <si>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</si>
  <si>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</si>
  <si>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</si>
  <si>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</si>
  <si>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</si>
  <si>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</si>
  <si>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</si>
  <si>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</si>
  <si>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</si>
  <si>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</si>
  <si>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</si>
  <si>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</si>
  <si>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</si>
  <si>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</si>
  <si>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</si>
  <si>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</si>
  <si>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</si>
  <si>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</si>
  <si>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</si>
  <si>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</si>
  <si>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</si>
  <si>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</si>
  <si>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</si>
  <si>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</si>
  <si>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</si>
  <si>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</si>
  <si>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</si>
  <si>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</si>
  <si>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</si>
  <si>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</si>
  <si>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</si>
  <si>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</si>
  <si>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</si>
  <si>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</si>
  <si>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</si>
  <si>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</si>
  <si>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</si>
  <si>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</si>
  <si>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</si>
  <si>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</si>
  <si>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</si>
  <si>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</si>
  <si>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</si>
  <si>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</si>
  <si>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</si>
  <si>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</si>
  <si>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</si>
  <si>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</si>
  <si>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</si>
  <si>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</si>
  <si>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</si>
  <si>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</si>
  <si>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</si>
  <si>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</si>
  <si>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</si>
  <si>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</si>
  <si>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</si>
  <si>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</si>
  <si>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</si>
  <si>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</si>
  <si>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</si>
  <si>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</si>
  <si>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</si>
  <si>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</si>
  <si>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</si>
  <si>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</si>
  <si>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</si>
  <si>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</si>
  <si>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</si>
  <si>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</si>
  <si>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</si>
  <si>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</si>
  <si>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</si>
  <si>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</si>
  <si>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</si>
  <si>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</si>
  <si>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</si>
  <si>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</si>
  <si>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</si>
  <si>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</si>
  <si>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</si>
  <si>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</si>
  <si>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</si>
  <si>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</si>
  <si>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</si>
  <si>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</si>
  <si>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</si>
  <si>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</si>
  <si>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</si>
  <si>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</si>
  <si>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</si>
  <si>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</si>
  <si>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</si>
  <si>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</si>
  <si>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</si>
  <si>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</si>
  <si>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</si>
  <si>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</si>
  <si>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</si>
  <si>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</si>
  <si>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</si>
  <si>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</si>
  <si>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</si>
  <si>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</si>
  <si>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</si>
  <si>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</si>
  <si>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</si>
  <si>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</si>
  <si>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</si>
  <si>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</si>
  <si>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</si>
  <si>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</si>
  <si>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</si>
  <si>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</si>
  <si>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</si>
  <si>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</si>
  <si>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</si>
  <si>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</si>
  <si>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</si>
  <si>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</si>
  <si>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</si>
  <si>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</si>
  <si>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</si>
  <si>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</si>
  <si>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</si>
  <si>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</si>
  <si>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</si>
  <si>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</si>
  <si>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</si>
  <si>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</si>
  <si>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</si>
  <si>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</si>
  <si>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</si>
  <si>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</si>
  <si>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</si>
  <si>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</si>
  <si>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</si>
  <si>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</si>
  <si>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</si>
  <si>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</si>
  <si>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</si>
  <si>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</si>
  <si>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</si>
  <si>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</si>
  <si>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</si>
  <si>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</si>
  <si>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</si>
  <si>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</si>
  <si>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</si>
  <si>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</si>
  <si>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</si>
  <si>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</si>
  <si>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</si>
  <si>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</si>
  <si>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</si>
  <si>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</si>
  <si>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</si>
  <si>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</si>
  <si>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</si>
  <si>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</si>
  <si>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</si>
  <si>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</si>
  <si>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</si>
  <si>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</si>
  <si>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</si>
  <si>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</si>
  <si>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</si>
  <si>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</si>
  <si>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</si>
  <si>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</si>
  <si>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</si>
  <si>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</si>
  <si>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</si>
  <si>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</si>
  <si>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</si>
  <si>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</si>
  <si>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</si>
  <si>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</si>
  <si>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</si>
  <si>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</si>
  <si>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</si>
  <si>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</si>
  <si>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</si>
  <si>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</si>
  <si>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</si>
  <si>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</si>
  <si>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</si>
  <si>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</si>
  <si>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</si>
  <si>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</si>
  <si>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</si>
  <si>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</si>
  <si>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</si>
  <si>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</si>
  <si>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</si>
  <si>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</si>
  <si>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</si>
  <si>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</si>
  <si>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</si>
  <si>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</si>
  <si>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</si>
  <si>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</si>
  <si>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</si>
  <si>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</si>
  <si>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</si>
  <si>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</si>
  <si>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</si>
  <si>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</si>
  <si>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</si>
  <si>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</si>
  <si>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</si>
  <si>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</si>
  <si>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</si>
  <si>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</si>
  <si>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</si>
  <si>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</si>
  <si>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</si>
  <si>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</si>
  <si>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</si>
  <si>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</si>
  <si>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</si>
  <si>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</si>
  <si>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</si>
  <si>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</si>
  <si>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</si>
  <si>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</si>
  <si>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</si>
  <si>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</si>
  <si>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</si>
  <si>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</si>
  <si>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</si>
  <si>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</si>
  <si>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</si>
  <si>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</si>
  <si>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</si>
  <si>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</si>
  <si>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</si>
  <si>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</si>
  <si>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</si>
  <si>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</si>
  <si>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</si>
  <si>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</si>
  <si>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</si>
  <si>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</si>
  <si>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</si>
  <si>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</si>
  <si>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</si>
  <si>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</si>
  <si>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</si>
  <si>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</si>
  <si>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</si>
  <si>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</si>
  <si>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</si>
  <si>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</si>
  <si>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</si>
  <si>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</si>
  <si>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</si>
  <si>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</si>
  <si>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</si>
  <si>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</si>
  <si>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</si>
  <si>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</si>
  <si>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</si>
  <si>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</si>
  <si>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</si>
  <si>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</si>
  <si>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</si>
  <si>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</si>
  <si>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</si>
  <si>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</si>
  <si>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</si>
  <si>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</si>
  <si>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</si>
  <si>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</si>
  <si>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</si>
  <si>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</si>
  <si>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</si>
  <si>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</si>
  <si>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</si>
  <si>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</si>
  <si>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</si>
  <si>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</si>
  <si>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</si>
  <si>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</si>
  <si>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</si>
  <si>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</si>
  <si>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</si>
  <si>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</si>
  <si>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</si>
  <si>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</si>
  <si>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</si>
  <si>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</si>
  <si>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</si>
  <si>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</si>
  <si>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</si>
  <si>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</si>
  <si>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</si>
  <si>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</si>
  <si>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</si>
  <si>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</si>
  <si>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</si>
  <si>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</si>
  <si>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</si>
  <si>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</si>
  <si>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</si>
  <si>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</si>
  <si>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</si>
  <si>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</si>
  <si>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</si>
  <si>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</si>
  <si>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</si>
  <si>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</si>
  <si>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</si>
  <si>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</si>
  <si>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</si>
  <si>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</si>
  <si>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</si>
  <si>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</si>
  <si>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</si>
  <si>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</si>
  <si>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</si>
  <si>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</si>
  <si>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</si>
  <si>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</si>
  <si>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</si>
  <si>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</si>
  <si>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</si>
  <si>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</si>
  <si>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</si>
  <si>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</si>
  <si>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</si>
  <si>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</si>
  <si>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</si>
  <si>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</si>
  <si>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</si>
  <si>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</si>
  <si>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</si>
  <si>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</si>
  <si>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</si>
  <si>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</si>
  <si>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</si>
  <si>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</si>
  <si>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</si>
  <si>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</si>
  <si>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</si>
  <si>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</si>
  <si>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</si>
  <si>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</si>
  <si>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</si>
  <si>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</si>
  <si>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</si>
  <si>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</si>
  <si>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</si>
  <si>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</si>
  <si>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</si>
  <si>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</si>
  <si>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</si>
  <si>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</si>
  <si>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</si>
  <si>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</si>
  <si>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</si>
  <si>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</si>
  <si>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</si>
  <si>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</si>
  <si>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</si>
  <si>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</si>
  <si>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</si>
  <si>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</si>
  <si>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</si>
  <si>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</si>
  <si>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</si>
  <si>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</si>
  <si>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</si>
  <si>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</si>
  <si>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</si>
  <si>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</si>
  <si>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</si>
  <si>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</si>
  <si>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</si>
  <si>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</si>
  <si>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</si>
  <si>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</si>
  <si>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</si>
  <si>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</si>
  <si>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</si>
  <si>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</si>
  <si>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</si>
  <si>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</si>
  <si>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</si>
  <si>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</si>
  <si>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</si>
  <si>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</si>
  <si>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</si>
  <si>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</si>
  <si>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</si>
  <si>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</si>
  <si>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</si>
  <si>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</si>
  <si>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</si>
  <si>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</si>
  <si>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</si>
  <si>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</si>
  <si>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</si>
  <si>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</si>
  <si>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</si>
  <si>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</si>
  <si>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</si>
  <si>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</si>
  <si>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</si>
  <si>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</si>
  <si>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</si>
  <si>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</si>
  <si>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</si>
  <si>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</si>
  <si>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</si>
  <si>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</si>
  <si>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</si>
  <si>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</si>
  <si>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</si>
  <si>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</si>
  <si>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</si>
  <si>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</si>
  <si>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</si>
  <si>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</si>
  <si>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</si>
  <si>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</si>
  <si>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</si>
  <si>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</si>
  <si>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</si>
  <si>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</si>
  <si>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</si>
  <si>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</si>
  <si>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</si>
  <si>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</si>
  <si>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</si>
  <si>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</si>
  <si>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</si>
  <si>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</si>
  <si>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</si>
  <si>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</si>
  <si>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</si>
  <si>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</si>
  <si>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</si>
  <si>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</si>
  <si>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</si>
  <si>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</si>
  <si>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</si>
  <si>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</si>
  <si>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</si>
  <si>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</si>
  <si>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</si>
  <si>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</si>
  <si>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</si>
  <si>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</si>
  <si>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</si>
  <si>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</si>
  <si>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</si>
  <si>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</si>
  <si>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</si>
  <si>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</si>
  <si>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</si>
  <si>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</si>
  <si>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</si>
  <si>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</si>
  <si>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</si>
  <si>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</si>
  <si>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</si>
  <si>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</si>
  <si>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</si>
  <si>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</si>
  <si>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</si>
  <si>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</si>
  <si>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</si>
  <si>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</si>
  <si>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</si>
  <si>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</si>
  <si>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</si>
  <si>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</si>
  <si>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</si>
  <si>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</si>
  <si>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</si>
  <si>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</si>
  <si>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</si>
  <si>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</si>
  <si>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</si>
  <si>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</si>
  <si>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</si>
  <si>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</si>
  <si>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</si>
  <si>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</si>
  <si>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</si>
  <si>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</si>
  <si>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</si>
  <si>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</si>
  <si>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</si>
  <si>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</si>
  <si>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</si>
  <si>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</si>
  <si>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</si>
  <si>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</si>
  <si>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</si>
  <si>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</si>
  <si>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</si>
  <si>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</si>
  <si>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</si>
  <si>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</si>
  <si>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</si>
  <si>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</si>
  <si>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</si>
  <si>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</si>
  <si>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</si>
  <si>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</si>
  <si>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</si>
  <si>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</si>
  <si>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</si>
  <si>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</si>
  <si>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</si>
  <si>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</si>
  <si>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</si>
  <si>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</si>
  <si>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</si>
  <si>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</si>
  <si>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</si>
  <si>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</si>
  <si>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</si>
  <si>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</si>
  <si>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</si>
  <si>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</si>
  <si>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</si>
  <si>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</si>
  <si>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</si>
  <si>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</si>
  <si>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</si>
  <si>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</si>
  <si>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</si>
  <si>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</si>
  <si>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</si>
  <si>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</si>
  <si>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</si>
  <si>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</si>
  <si>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</si>
  <si>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</si>
  <si>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</si>
  <si>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</si>
  <si>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</si>
  <si>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</si>
  <si>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</si>
  <si>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</si>
  <si>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</si>
  <si>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</si>
  <si>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</si>
  <si>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</si>
  <si>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</si>
  <si>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</si>
  <si>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FEELT!ASSE|FEELT!CEE2|FEELT!CVRM|FEELT!IFAP</t>
  </si>
  <si>
    <t>FEELT!AC|FEELT!ACE1|FEELT!ACE2|FEELT!ACE3|FEELT32002|FEELT32601|FEELT!ECVRM|FEELT!PI</t>
  </si>
  <si>
    <t>FEELT!ASSE|FEELT!CDM|FEELT!CEE1|FEELT!CEE2|FEELT!CVRM|FEELT!DCA|FEELT!ECEE1|FEELT!ECEE2|FEELT31604|FEELT32601|FEELT!ECVRM|FEELT32301|FEELT32401|FEELT31603|FEELT!IDI|FEELT!MRII|FEELT!MECT|FEELT!PAI|FEELT!RICAI|FEELT!RICAII|FEELT!SS1|FEELT!SS2|FEMEC41080|FEELT32603|FEELT31409</t>
  </si>
  <si>
    <t>Verificação de regras (Python)</t>
  </si>
  <si>
    <t>●</t>
  </si>
  <si>
    <t>Erros (6) — resolva um a um; a lista atualiza a cada verificação:</t>
  </si>
  <si>
    <t>COMPONENTE_SEM_NUCLEO</t>
  </si>
  <si>
    <t>NUCLEO_MULTIPLO_PARA_COMPONENTE</t>
  </si>
  <si>
    <t>Alertas (resumo): 64 no total</t>
  </si>
  <si>
    <t>LEITURA_DADO_OMITIDO</t>
  </si>
  <si>
    <t>5 alerta(s)</t>
  </si>
  <si>
    <t>CODIGO_PROVISORIO</t>
  </si>
  <si>
    <t>28 alerta(s)</t>
  </si>
  <si>
    <t>NOME_DUPLICADO</t>
  </si>
  <si>
    <t>2 alerta(s)</t>
  </si>
  <si>
    <t>CARGA_TIPO_DIVERGENTE</t>
  </si>
  <si>
    <t>1 alerta(s)</t>
  </si>
  <si>
    <t>OFERTA_SEM_NORMA_INSTITUCIONAL_CONFIRMADA</t>
  </si>
  <si>
    <t>CORREQUISITO_PERIODO_DIVERGENTE</t>
  </si>
  <si>
    <t>9 alerta(s)</t>
  </si>
  <si>
    <t>EQUIVALENCIA_DESTINO_INEXISTENTE</t>
  </si>
  <si>
    <t>18 alerta(s)</t>
  </si>
  <si>
    <t>6 erro(s), 64 alerta(s) — verificado em 04/08/2026 06:40</t>
  </si>
  <si>
    <t>FAGEN32411 - componente ativo 'FAGEN32411' não possui núcleo curricular definido.</t>
  </si>
  <si>
    <t>FEELT!ASSE - componente 'FEELT!ASSE' aparece em 'componentes' de mais de um núcleo (TECNOLOGICO, HUMANISTICO) — cada componente pertence a um só núcleo.</t>
  </si>
  <si>
    <t>FEELT!CEE2 - componente 'FEELT!CEE2' aparece em 'componentes' de mais de um núcleo (TECNOLOGICO, HUMANISTICO) — cada componente pertence a um só núcleo.</t>
  </si>
  <si>
    <t>FEELT!CVRM - componente 'FEELT!CVRM' aparece em 'componentes' de mais de um núcleo (TECNOLOGICO, HUMANISTICO) — cada componente pertence a um só núcleo.</t>
  </si>
  <si>
    <t>FEELT32601 - componente 'FEELT32601' aparece em 'componentes' de mais de um núcleo (TECNOLOGICO, INTEGRADOR) — cada componente pertence a um só núcleo.</t>
  </si>
  <si>
    <t>FEELT!ECVRM - componente 'FEELT!ECVRM' aparece em 'componentes' de mais de um núcleo (TECNOLOGICO, INTEGRADOR) — cada componente pertence a um só núcleo.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</si>
</sst>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22" fillId="0" borderId="0" xfId="0" applyFont="1"/>
    <xf numFmtId="0" fontId="21" fillId="0" borderId="0" xfId="0" applyFont="1" applyAlignment="1">
      <alignment vertical="center"/>
    </xf>
    <xf numFmtId="0" fontId="4" fillId="2" borderId="27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3" fillId="5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2" borderId="10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8" xfId="0" applyFont="1" applyFill="1" applyBorder="1" applyAlignment="1">
      <alignment vertical="center" textRotation="90"/>
    </xf>
    <xf numFmtId="0" fontId="3" fillId="4" borderId="10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4" fillId="15" borderId="0" xfId="0" applyFont="1" applyFill="1"/>
    <xf numFmtId="0" fontId="24" fillId="16" borderId="0" xfId="0" applyFont="1" applyFill="1"/>
    <xf numFmtId="0" fontId="22" fillId="0" borderId="0" xfId="0" applyFont="1" applyAlignment="1">
      <alignment horizontal="right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885825</xdr:colOff>
          <xdr:row>1</xdr:row>
          <xdr:rowOff>57150</xdr:rowOff>
        </xdr:from>
        <xdr:to>
          <xdr:col>0</xdr:col>
          <xdr:colOff>2533650</xdr:colOff>
          <xdr:row>2</xdr:row>
          <xdr:rowOff>142875</xdr:rowOff>
        </xdr:to>
        <xdr:sp macro="" textlink="">
          <xdr:nvSpPr>
            <xdr:cNvPr id="10249" name="btnVerificarRegras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A3AE4CE9-40D1-3F68-8476-E18789A57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68580</xdr:rowOff>
        </xdr:from>
        <xdr:to>
          <xdr:col>16</xdr:col>
          <xdr:colOff>137160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E99"/>
  <sheetViews>
    <sheetView tabSelected="1" view="pageBreakPreview" workbookViewId="0">
      <pane ySplit="21" topLeftCell="A22" activePane="bottomLeft" state="frozen"/>
      <selection pane="bottomLeft" activeCell="C21" sqref="C21"/>
    </sheetView>
  </sheetViews>
  <sheetFormatPr defaultRowHeight="14.4" x14ac:dyDescent="0.3"/>
  <cols>
    <col min="1" max="1" width="48.109375" customWidth="1"/>
    <col min="2" max="2" width="88.88671875" customWidth="1"/>
    <col min="3" max="3" width="90.77734375" customWidth="1"/>
  </cols>
  <sheetData>
    <row r="1" spans="1:2" ht="27" x14ac:dyDescent="0.35">
      <c r="A1" s="147" t="s">
        <v>1001</v>
      </c>
      <c r="B1" s="144" t="s">
        <v>1002</v>
      </c>
    </row>
    <row r="2" spans="1:2" ht="15" x14ac:dyDescent="0.3">
      <c r="B2" s="110" t="s">
        <v>1020</v>
      </c>
    </row>
    <row r="4" spans="1:2" ht="15" x14ac:dyDescent="0.35">
      <c r="A4" s="109" t="s">
        <v>1003</v>
      </c>
    </row>
    <row r="5" spans="1:2" x14ac:dyDescent="0.3">
      <c r="A5" s="145" t="s">
        <v>1004</v>
      </c>
      <c r="B5" s="145" t="s">
        <v>1021</v>
      </c>
    </row>
    <row r="6" spans="1:2" x14ac:dyDescent="0.3">
      <c r="A6" s="145" t="s">
        <v>1005</v>
      </c>
      <c r="B6" s="145" t="s">
        <v>1022</v>
      </c>
    </row>
    <row r="7" spans="1:2" x14ac:dyDescent="0.3">
      <c r="A7" s="145" t="s">
        <v>1005</v>
      </c>
      <c r="B7" s="145" t="s">
        <v>1023</v>
      </c>
    </row>
    <row r="8" spans="1:2" x14ac:dyDescent="0.3">
      <c r="A8" s="145" t="s">
        <v>1005</v>
      </c>
      <c r="B8" s="145" t="s">
        <v>1024</v>
      </c>
    </row>
    <row r="9" spans="1:2" x14ac:dyDescent="0.3">
      <c r="A9" s="145" t="s">
        <v>1005</v>
      </c>
      <c r="B9" s="145" t="s">
        <v>1025</v>
      </c>
    </row>
    <row r="10" spans="1:2" x14ac:dyDescent="0.3">
      <c r="A10" s="145" t="s">
        <v>1005</v>
      </c>
      <c r="B10" s="145" t="s">
        <v>1026</v>
      </c>
    </row>
    <row r="12" spans="1:2" ht="15" x14ac:dyDescent="0.35">
      <c r="A12" s="109" t="s">
        <v>1006</v>
      </c>
    </row>
    <row r="13" spans="1:2" x14ac:dyDescent="0.3">
      <c r="A13" s="146" t="s">
        <v>1007</v>
      </c>
      <c r="B13" s="146" t="s">
        <v>1008</v>
      </c>
    </row>
    <row r="14" spans="1:2" x14ac:dyDescent="0.3">
      <c r="A14" s="146" t="s">
        <v>1009</v>
      </c>
      <c r="B14" s="146" t="s">
        <v>1010</v>
      </c>
    </row>
    <row r="15" spans="1:2" x14ac:dyDescent="0.3">
      <c r="A15" s="146" t="s">
        <v>1011</v>
      </c>
      <c r="B15" s="146" t="s">
        <v>1012</v>
      </c>
    </row>
    <row r="16" spans="1:2" x14ac:dyDescent="0.3">
      <c r="A16" s="146" t="s">
        <v>1013</v>
      </c>
      <c r="B16" s="146" t="s">
        <v>1014</v>
      </c>
    </row>
    <row r="17" spans="1:5" x14ac:dyDescent="0.3">
      <c r="A17" s="146" t="s">
        <v>1015</v>
      </c>
      <c r="B17" s="146" t="s">
        <v>1014</v>
      </c>
    </row>
    <row r="18" spans="1:5" x14ac:dyDescent="0.3">
      <c r="A18" s="146" t="s">
        <v>1016</v>
      </c>
      <c r="B18" s="146" t="s">
        <v>1017</v>
      </c>
    </row>
    <row r="19" spans="1:5" x14ac:dyDescent="0.3">
      <c r="A19" s="146" t="s">
        <v>1018</v>
      </c>
      <c r="B19" s="146" t="s">
        <v>1019</v>
      </c>
    </row>
    <row r="21" spans="1:5" ht="15.6" customHeight="1" x14ac:dyDescent="0.35">
      <c r="A21" s="84" t="s">
        <v>129</v>
      </c>
      <c r="B21" s="84" t="s">
        <v>130</v>
      </c>
      <c r="D21" s="109"/>
    </row>
    <row r="22" spans="1:5" ht="39.6" x14ac:dyDescent="0.3">
      <c r="A22" s="85" t="s">
        <v>131</v>
      </c>
      <c r="B22" s="86" t="s">
        <v>132</v>
      </c>
      <c r="D22" s="143"/>
      <c r="E22" s="110"/>
    </row>
    <row r="23" spans="1:5" x14ac:dyDescent="0.3">
      <c r="A23" s="85" t="s">
        <v>133</v>
      </c>
      <c r="B23" s="86" t="s">
        <v>134</v>
      </c>
    </row>
    <row r="24" spans="1:5" x14ac:dyDescent="0.3">
      <c r="A24" s="85" t="s">
        <v>135</v>
      </c>
      <c r="B24" s="86" t="s">
        <v>136</v>
      </c>
    </row>
    <row r="25" spans="1:5" x14ac:dyDescent="0.3">
      <c r="A25" s="85" t="s">
        <v>137</v>
      </c>
      <c r="B25" s="86" t="s">
        <v>138</v>
      </c>
    </row>
    <row r="26" spans="1:5" ht="72" customHeight="1" x14ac:dyDescent="0.3">
      <c r="A26" s="85" t="s">
        <v>139</v>
      </c>
      <c r="B26" s="86" t="s">
        <v>140</v>
      </c>
    </row>
    <row r="27" spans="1:5" x14ac:dyDescent="0.3">
      <c r="A27" s="85" t="s">
        <v>141</v>
      </c>
      <c r="B27" s="86"/>
    </row>
    <row r="28" spans="1:5" x14ac:dyDescent="0.3">
      <c r="A28" s="87" t="s">
        <v>142</v>
      </c>
      <c r="B28" s="88" t="s">
        <v>143</v>
      </c>
    </row>
    <row r="29" spans="1:5" x14ac:dyDescent="0.3">
      <c r="A29" s="87" t="s">
        <v>144</v>
      </c>
      <c r="B29" s="88" t="s">
        <v>145</v>
      </c>
    </row>
    <row r="30" spans="1:5" x14ac:dyDescent="0.3">
      <c r="A30" s="87" t="s">
        <v>146</v>
      </c>
      <c r="B30" s="88" t="s">
        <v>147</v>
      </c>
    </row>
    <row r="31" spans="1:5" x14ac:dyDescent="0.3">
      <c r="A31" s="87" t="s">
        <v>148</v>
      </c>
      <c r="B31" s="88" t="s">
        <v>149</v>
      </c>
    </row>
    <row r="32" spans="1:5" x14ac:dyDescent="0.3">
      <c r="A32" s="87" t="s">
        <v>150</v>
      </c>
      <c r="B32" s="88" t="s">
        <v>151</v>
      </c>
    </row>
    <row r="33" spans="1:2" x14ac:dyDescent="0.3">
      <c r="A33" s="87" t="s">
        <v>152</v>
      </c>
      <c r="B33" s="88" t="s">
        <v>153</v>
      </c>
    </row>
    <row r="34" spans="1:2" x14ac:dyDescent="0.3">
      <c r="A34" s="87" t="s">
        <v>154</v>
      </c>
      <c r="B34" s="88" t="s">
        <v>155</v>
      </c>
    </row>
    <row r="35" spans="1:2" x14ac:dyDescent="0.3">
      <c r="A35" s="87" t="s">
        <v>156</v>
      </c>
      <c r="B35" s="88">
        <v>30</v>
      </c>
    </row>
    <row r="36" spans="1:2" x14ac:dyDescent="0.3">
      <c r="A36" s="87" t="s">
        <v>157</v>
      </c>
      <c r="B36" s="88" t="s">
        <v>158</v>
      </c>
    </row>
    <row r="37" spans="1:2" x14ac:dyDescent="0.3">
      <c r="A37" s="87" t="s">
        <v>159</v>
      </c>
      <c r="B37" s="88" t="s">
        <v>160</v>
      </c>
    </row>
    <row r="38" spans="1:2" x14ac:dyDescent="0.3">
      <c r="A38" s="87" t="s">
        <v>161</v>
      </c>
      <c r="B38" s="88" t="s">
        <v>162</v>
      </c>
    </row>
    <row r="39" spans="1:2" x14ac:dyDescent="0.3">
      <c r="A39" s="87" t="s">
        <v>163</v>
      </c>
      <c r="B39" s="88" t="s">
        <v>164</v>
      </c>
    </row>
    <row r="40" spans="1:2" x14ac:dyDescent="0.3">
      <c r="A40" s="87" t="s">
        <v>165</v>
      </c>
      <c r="B40" s="88" t="s">
        <v>166</v>
      </c>
    </row>
    <row r="41" spans="1:2" x14ac:dyDescent="0.3">
      <c r="A41" s="87" t="s">
        <v>167</v>
      </c>
      <c r="B41" s="88" t="s">
        <v>168</v>
      </c>
    </row>
    <row r="42" spans="1:2" x14ac:dyDescent="0.3">
      <c r="A42" s="87" t="s">
        <v>169</v>
      </c>
      <c r="B42" s="88" t="s">
        <v>170</v>
      </c>
    </row>
    <row r="43" spans="1:2" x14ac:dyDescent="0.3">
      <c r="A43" s="87" t="s">
        <v>171</v>
      </c>
      <c r="B43" s="88" t="s">
        <v>172</v>
      </c>
    </row>
    <row r="44" spans="1:2" x14ac:dyDescent="0.3">
      <c r="A44" s="87" t="s">
        <v>173</v>
      </c>
      <c r="B44" s="91">
        <v>6</v>
      </c>
    </row>
    <row r="45" spans="1:2" x14ac:dyDescent="0.3">
      <c r="A45" s="87" t="s">
        <v>174</v>
      </c>
      <c r="B45" s="88" t="s">
        <v>175</v>
      </c>
    </row>
    <row r="46" spans="1:2" x14ac:dyDescent="0.3">
      <c r="A46" s="87" t="s">
        <v>176</v>
      </c>
      <c r="B46" s="88" t="s">
        <v>177</v>
      </c>
    </row>
    <row r="47" spans="1:2" x14ac:dyDescent="0.3">
      <c r="A47" s="87" t="s">
        <v>178</v>
      </c>
      <c r="B47" s="88" t="s">
        <v>179</v>
      </c>
    </row>
    <row r="48" spans="1:2" x14ac:dyDescent="0.3">
      <c r="A48" s="85" t="s">
        <v>180</v>
      </c>
      <c r="B48" s="86" t="s">
        <v>181</v>
      </c>
    </row>
    <row r="49" spans="1:2" x14ac:dyDescent="0.3">
      <c r="A49" s="85" t="s">
        <v>182</v>
      </c>
      <c r="B49" s="86" t="s">
        <v>183</v>
      </c>
    </row>
    <row r="50" spans="1:2" x14ac:dyDescent="0.3">
      <c r="A50" s="85" t="s">
        <v>184</v>
      </c>
      <c r="B50" s="86" t="s">
        <v>185</v>
      </c>
    </row>
    <row r="51" spans="1:2" x14ac:dyDescent="0.3">
      <c r="A51" s="85" t="s">
        <v>186</v>
      </c>
      <c r="B51" s="86" t="s">
        <v>187</v>
      </c>
    </row>
    <row r="52" spans="1:2" x14ac:dyDescent="0.3">
      <c r="A52" s="85" t="s">
        <v>188</v>
      </c>
      <c r="B52" s="86" t="s">
        <v>189</v>
      </c>
    </row>
    <row r="53" spans="1:2" x14ac:dyDescent="0.3">
      <c r="A53" s="85" t="s">
        <v>190</v>
      </c>
      <c r="B53" s="86" t="s">
        <v>177</v>
      </c>
    </row>
    <row r="54" spans="1:2" x14ac:dyDescent="0.3">
      <c r="A54" s="85" t="s">
        <v>191</v>
      </c>
      <c r="B54" s="86" t="s">
        <v>179</v>
      </c>
    </row>
    <row r="55" spans="1:2" x14ac:dyDescent="0.3">
      <c r="A55" s="85" t="s">
        <v>192</v>
      </c>
      <c r="B55" s="86" t="s">
        <v>193</v>
      </c>
    </row>
    <row r="56" spans="1:2" x14ac:dyDescent="0.3">
      <c r="A56" s="85" t="s">
        <v>194</v>
      </c>
      <c r="B56" s="86" t="s">
        <v>195</v>
      </c>
    </row>
    <row r="57" spans="1:2" x14ac:dyDescent="0.3">
      <c r="A57" s="85" t="s">
        <v>196</v>
      </c>
      <c r="B57" s="86" t="s">
        <v>197</v>
      </c>
    </row>
    <row r="58" spans="1:2" x14ac:dyDescent="0.3">
      <c r="A58" s="85" t="s">
        <v>198</v>
      </c>
      <c r="B58" s="86" t="s">
        <v>199</v>
      </c>
    </row>
    <row r="59" spans="1:2" x14ac:dyDescent="0.3">
      <c r="A59" s="85" t="s">
        <v>200</v>
      </c>
      <c r="B59" s="86" t="s">
        <v>201</v>
      </c>
    </row>
    <row r="60" spans="1:2" x14ac:dyDescent="0.3">
      <c r="A60" s="85" t="s">
        <v>202</v>
      </c>
      <c r="B60" s="86" t="s">
        <v>203</v>
      </c>
    </row>
    <row r="61" spans="1:2" x14ac:dyDescent="0.3">
      <c r="A61" s="85" t="s">
        <v>204</v>
      </c>
      <c r="B61" s="86" t="s">
        <v>189</v>
      </c>
    </row>
    <row r="62" spans="1:2" x14ac:dyDescent="0.3">
      <c r="A62" s="85" t="s">
        <v>205</v>
      </c>
      <c r="B62" s="86" t="s">
        <v>206</v>
      </c>
    </row>
    <row r="63" spans="1:2" x14ac:dyDescent="0.3">
      <c r="A63" s="85" t="s">
        <v>207</v>
      </c>
      <c r="B63" s="86" t="s">
        <v>208</v>
      </c>
    </row>
    <row r="64" spans="1:2" x14ac:dyDescent="0.3">
      <c r="A64" s="87" t="s">
        <v>209</v>
      </c>
      <c r="B64" s="89">
        <v>2400</v>
      </c>
    </row>
    <row r="65" spans="1:2" x14ac:dyDescent="0.3">
      <c r="A65" s="87" t="s">
        <v>210</v>
      </c>
      <c r="B65" s="89">
        <v>1800</v>
      </c>
    </row>
    <row r="66" spans="1:2" x14ac:dyDescent="0.3">
      <c r="A66" s="87" t="s">
        <v>211</v>
      </c>
      <c r="B66" s="89">
        <v>0</v>
      </c>
    </row>
    <row r="67" spans="1:2" x14ac:dyDescent="0.3">
      <c r="A67" s="87" t="s">
        <v>212</v>
      </c>
      <c r="B67" s="89">
        <v>240</v>
      </c>
    </row>
    <row r="68" spans="1:2" x14ac:dyDescent="0.3">
      <c r="A68" s="87" t="s">
        <v>213</v>
      </c>
      <c r="B68" s="89">
        <v>75</v>
      </c>
    </row>
    <row r="69" spans="1:2" x14ac:dyDescent="0.3">
      <c r="A69" s="87" t="s">
        <v>214</v>
      </c>
      <c r="B69" s="89">
        <v>120</v>
      </c>
    </row>
    <row r="70" spans="1:2" x14ac:dyDescent="0.3">
      <c r="A70" s="87" t="s">
        <v>215</v>
      </c>
      <c r="B70" s="89"/>
    </row>
    <row r="71" spans="1:2" x14ac:dyDescent="0.3">
      <c r="A71" s="87" t="s">
        <v>216</v>
      </c>
      <c r="B71" s="90">
        <v>10</v>
      </c>
    </row>
    <row r="72" spans="1:2" x14ac:dyDescent="0.3">
      <c r="A72" s="87" t="s">
        <v>217</v>
      </c>
      <c r="B72" s="90">
        <v>30</v>
      </c>
    </row>
    <row r="73" spans="1:2" x14ac:dyDescent="0.3">
      <c r="A73" s="87" t="s">
        <v>218</v>
      </c>
      <c r="B73" s="89"/>
    </row>
    <row r="74" spans="1:2" x14ac:dyDescent="0.3">
      <c r="A74" s="87" t="s">
        <v>219</v>
      </c>
      <c r="B74" s="88"/>
    </row>
    <row r="75" spans="1:2" x14ac:dyDescent="0.3">
      <c r="A75" s="87" t="s">
        <v>220</v>
      </c>
      <c r="B75" s="88"/>
    </row>
    <row r="76" spans="1:2" x14ac:dyDescent="0.3">
      <c r="A76" s="85" t="s">
        <v>221</v>
      </c>
      <c r="B76" s="86" t="s">
        <v>222</v>
      </c>
    </row>
    <row r="77" spans="1:2" x14ac:dyDescent="0.3">
      <c r="A77" s="85" t="s">
        <v>223</v>
      </c>
      <c r="B77" s="92" t="b">
        <v>1</v>
      </c>
    </row>
    <row r="78" spans="1:2" ht="28.95" customHeight="1" x14ac:dyDescent="0.3">
      <c r="A78" s="85" t="s">
        <v>224</v>
      </c>
      <c r="B78" s="86" t="s">
        <v>225</v>
      </c>
    </row>
    <row r="79" spans="1:2" x14ac:dyDescent="0.3">
      <c r="A79" s="85" t="s">
        <v>226</v>
      </c>
      <c r="B79" s="86"/>
    </row>
    <row r="80" spans="1:2" ht="28.95" customHeight="1" x14ac:dyDescent="0.3">
      <c r="A80" s="85" t="s">
        <v>227</v>
      </c>
      <c r="B80" s="86" t="s">
        <v>228</v>
      </c>
    </row>
    <row r="81" spans="1:2" x14ac:dyDescent="0.3">
      <c r="A81" s="87" t="s">
        <v>229</v>
      </c>
      <c r="B81" s="88" t="s">
        <v>230</v>
      </c>
    </row>
    <row r="82" spans="1:2" x14ac:dyDescent="0.3">
      <c r="A82" s="87" t="s">
        <v>231</v>
      </c>
      <c r="B82" s="88" t="s">
        <v>232</v>
      </c>
    </row>
    <row r="83" spans="1:2" x14ac:dyDescent="0.3">
      <c r="A83" s="87" t="s">
        <v>233</v>
      </c>
      <c r="B83" s="88" t="s">
        <v>234</v>
      </c>
    </row>
    <row r="84" spans="1:2" x14ac:dyDescent="0.3">
      <c r="A84" s="87" t="s">
        <v>235</v>
      </c>
      <c r="B84" s="88" t="s">
        <v>236</v>
      </c>
    </row>
    <row r="85" spans="1:2" x14ac:dyDescent="0.3">
      <c r="A85" s="87" t="s">
        <v>237</v>
      </c>
      <c r="B85" s="88" t="s">
        <v>238</v>
      </c>
    </row>
    <row r="86" spans="1:2" ht="45" customHeight="1" x14ac:dyDescent="0.3">
      <c r="A86" s="87" t="s">
        <v>239</v>
      </c>
      <c r="B86" s="88" t="s">
        <v>240</v>
      </c>
    </row>
    <row r="87" spans="1:2" ht="28.95" customHeight="1" x14ac:dyDescent="0.3">
      <c r="A87" s="85" t="s">
        <v>241</v>
      </c>
      <c r="B87" s="86" t="s">
        <v>242</v>
      </c>
    </row>
    <row r="88" spans="1:2" x14ac:dyDescent="0.3">
      <c r="A88" s="85" t="s">
        <v>243</v>
      </c>
      <c r="B88" s="92" t="b">
        <v>1</v>
      </c>
    </row>
    <row r="89" spans="1:2" x14ac:dyDescent="0.3">
      <c r="A89" s="85" t="s">
        <v>244</v>
      </c>
      <c r="B89" s="92" t="b">
        <v>1</v>
      </c>
    </row>
    <row r="90" spans="1:2" x14ac:dyDescent="0.3">
      <c r="A90" s="85" t="s">
        <v>245</v>
      </c>
      <c r="B90" s="92" t="b">
        <v>1</v>
      </c>
    </row>
    <row r="91" spans="1:2" x14ac:dyDescent="0.3">
      <c r="A91" s="85" t="s">
        <v>246</v>
      </c>
      <c r="B91" s="92" t="b">
        <v>1</v>
      </c>
    </row>
    <row r="92" spans="1:2" x14ac:dyDescent="0.3">
      <c r="A92" s="85" t="s">
        <v>247</v>
      </c>
      <c r="B92" s="92" t="b">
        <v>1</v>
      </c>
    </row>
    <row r="93" spans="1:2" x14ac:dyDescent="0.3">
      <c r="A93" s="85" t="s">
        <v>248</v>
      </c>
      <c r="B93" s="92" t="b">
        <v>1</v>
      </c>
    </row>
    <row r="94" spans="1:2" x14ac:dyDescent="0.3">
      <c r="A94" s="85" t="s">
        <v>249</v>
      </c>
      <c r="B94" s="92" t="b">
        <v>1</v>
      </c>
    </row>
    <row r="95" spans="1:2" x14ac:dyDescent="0.3">
      <c r="A95" s="87" t="s">
        <v>250</v>
      </c>
      <c r="B95" s="88" t="s">
        <v>251</v>
      </c>
    </row>
    <row r="96" spans="1:2" x14ac:dyDescent="0.3">
      <c r="A96" s="87" t="s">
        <v>252</v>
      </c>
      <c r="B96" s="93" t="b">
        <v>1</v>
      </c>
    </row>
    <row r="97" spans="1:2" x14ac:dyDescent="0.3">
      <c r="A97" s="87" t="s">
        <v>253</v>
      </c>
      <c r="B97" s="93" t="b">
        <v>1</v>
      </c>
    </row>
    <row r="98" spans="1:2" x14ac:dyDescent="0.3">
      <c r="A98" t="s">
        <v>254</v>
      </c>
      <c r="B98">
        <v>2026</v>
      </c>
    </row>
    <row r="99" spans="1:2" x14ac:dyDescent="0.3">
      <c r="A99" t="s">
        <v>255</v>
      </c>
      <c r="B99" t="s">
        <v>256</v>
      </c>
    </row>
  </sheetData>
  <conditionalFormatting sqref="B68">
    <cfRule type="expression" dxfId="26" priority="7">
      <formula>B68=TRUE</formula>
    </cfRule>
    <cfRule type="expression" dxfId="25" priority="8">
      <formula>B68=FALSE</formula>
    </cfRule>
  </conditionalFormatting>
  <conditionalFormatting sqref="B80:B86">
    <cfRule type="expression" dxfId="24" priority="9">
      <formula>B80=TRUE</formula>
    </cfRule>
    <cfRule type="expression" dxfId="23" priority="10">
      <formula>B80=FALSE</formula>
    </cfRule>
  </conditionalFormatting>
  <conditionalFormatting sqref="B88:B89">
    <cfRule type="expression" dxfId="22" priority="11">
      <formula>B88=TRUE</formula>
    </cfRule>
    <cfRule type="expression" dxfId="21" priority="12">
      <formula>B88=FALSE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883920</xdr:colOff>
                    <xdr:row>1</xdr:row>
                    <xdr:rowOff>60960</xdr:rowOff>
                  </from>
                  <to>
                    <xdr:col>0</xdr:col>
                    <xdr:colOff>2537460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BC11" sqref="BC11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664062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664062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6640625" style="1" bestFit="1" customWidth="1"/>
    <col min="29" max="29" width="1.33203125" style="1" customWidth="1"/>
    <col min="30" max="30" width="2.6640625" style="1" customWidth="1"/>
    <col min="31" max="31" width="3.664062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33203125" style="1" customWidth="1"/>
    <col min="39" max="39" width="4.109375" style="1" customWidth="1"/>
    <col min="40" max="40" width="3.6640625" style="1" customWidth="1"/>
    <col min="41" max="41" width="2.664062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664062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82" width="9.109375" style="1" customWidth="1"/>
    <col min="83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11" t="s">
        <v>257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3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30" t="s">
        <v>25</v>
      </c>
      <c r="D4" s="131"/>
      <c r="E4" s="131"/>
      <c r="F4" s="131"/>
      <c r="G4" s="132"/>
      <c r="H4" s="12"/>
      <c r="I4" s="12"/>
      <c r="J4" s="130" t="s">
        <v>28</v>
      </c>
      <c r="K4" s="131"/>
      <c r="L4" s="131"/>
      <c r="M4" s="131"/>
      <c r="N4" s="132"/>
      <c r="O4" s="12"/>
      <c r="P4" s="12"/>
      <c r="Q4" s="130" t="s">
        <v>51</v>
      </c>
      <c r="R4" s="131"/>
      <c r="S4" s="131"/>
      <c r="T4" s="131"/>
      <c r="U4" s="132"/>
      <c r="V4" s="12"/>
      <c r="W4" s="12"/>
      <c r="X4" s="130" t="s">
        <v>34</v>
      </c>
      <c r="Y4" s="131"/>
      <c r="Z4" s="131"/>
      <c r="AA4" s="131"/>
      <c r="AB4" s="132"/>
      <c r="AC4" s="12"/>
      <c r="AD4" s="12"/>
      <c r="AE4" s="130" t="s">
        <v>38</v>
      </c>
      <c r="AF4" s="131"/>
      <c r="AG4" s="131"/>
      <c r="AH4" s="131"/>
      <c r="AI4" s="132"/>
      <c r="AJ4" s="12"/>
      <c r="AK4" s="12"/>
      <c r="AL4" s="130" t="s">
        <v>20</v>
      </c>
      <c r="AM4" s="131"/>
      <c r="AN4" s="131"/>
      <c r="AO4" s="131"/>
      <c r="AP4" s="132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17">
        <f>SUM(C12,C17,C22,C27,C32,C37,C42,C47,)</f>
        <v>210</v>
      </c>
      <c r="D5" s="117">
        <f>SUM(D12,D17,D22,D27,D32,D37,D42,D47,)</f>
        <v>75</v>
      </c>
      <c r="E5" s="117">
        <f>SUM(E12,E17,E22,E27,E32,E37,E42,E47)</f>
        <v>90</v>
      </c>
      <c r="F5" s="117">
        <f>SUM(F12,F17,F22,F27,F32,F37,F42,F47)</f>
        <v>0</v>
      </c>
      <c r="G5" s="80">
        <f>SUM(C5:F7)</f>
        <v>375</v>
      </c>
      <c r="H5" s="12"/>
      <c r="I5" s="12"/>
      <c r="J5" s="117">
        <f>SUM(J12,J17,J22,J27,J32,J37,J42,J47,)</f>
        <v>225</v>
      </c>
      <c r="K5" s="117">
        <f>SUM(K12,K17,K22,K27,K32,K37,K42,K47,)</f>
        <v>45</v>
      </c>
      <c r="L5" s="117">
        <f>SUM(L12,L17,L22,L27,L32,L37,L42,L47)</f>
        <v>75</v>
      </c>
      <c r="M5" s="117">
        <f>SUM(M12,M17,M22,M27,M32,M37,M42,M47)</f>
        <v>0</v>
      </c>
      <c r="N5" s="80">
        <f>SUM(J5:M7)</f>
        <v>345</v>
      </c>
      <c r="O5" s="12"/>
      <c r="P5" s="12"/>
      <c r="Q5" s="117">
        <f>SUM(Q12,Q17,Q22,Q27,Q32,Q37,Q42,Q47,)</f>
        <v>240</v>
      </c>
      <c r="R5" s="117">
        <f>SUM(R12,R17,R22,R27,R32,R37,R42,R47,)</f>
        <v>45</v>
      </c>
      <c r="S5" s="117">
        <f>SUM(S12,S17,S22,S27,S32,S37,S42,S47)</f>
        <v>60</v>
      </c>
      <c r="T5" s="117">
        <f>SUM(T12,T17,T22,T27,T32,T37,T42,T47)</f>
        <v>0</v>
      </c>
      <c r="U5" s="80">
        <f>SUM(Q5:T7)</f>
        <v>345</v>
      </c>
      <c r="V5" s="12"/>
      <c r="W5" s="12"/>
      <c r="X5" s="117">
        <f>SUM(X12,X17,X22,X27,X32,X37,X42,X47,)</f>
        <v>165</v>
      </c>
      <c r="Y5" s="117">
        <f>SUM(Y12,Y17,Y22,Y27,Y32,Y37,Y42,Y47,)</f>
        <v>75</v>
      </c>
      <c r="Z5" s="117">
        <f>SUM(Z12,Z17,Z22,Z27,Z32,Z37,Z42,Z47)</f>
        <v>105</v>
      </c>
      <c r="AA5" s="117">
        <f>SUM(AA12,AA17,AA22,AA27,AA32,AA37,AA42,AA47)</f>
        <v>90</v>
      </c>
      <c r="AB5" s="80">
        <f>SUM(X5:AA7)</f>
        <v>435</v>
      </c>
      <c r="AC5" s="12"/>
      <c r="AD5" s="12"/>
      <c r="AE5" s="117">
        <f>SUM(AE12,AE17,AE22,AE27,AE32,AE37,AE42,AE47,)</f>
        <v>180</v>
      </c>
      <c r="AF5" s="117">
        <f>SUM(AF12,AF17,AF22,AF27,AF32,AF37,AF42,AF47,)</f>
        <v>30</v>
      </c>
      <c r="AG5" s="117">
        <f>SUM(AG12,AG17,AG22,AG27,AG32,AG37,AG42,AG47)</f>
        <v>120</v>
      </c>
      <c r="AH5" s="117">
        <f>SUM(AH12,AH17,AH22,AH27,AH32,AH37,AH42,AH47)</f>
        <v>90</v>
      </c>
      <c r="AI5" s="80">
        <f>SUM(AE5:AH7)</f>
        <v>420</v>
      </c>
      <c r="AJ5" s="12"/>
      <c r="AK5" s="12"/>
      <c r="AL5" s="117">
        <f>SUM(AL12,AL17,AL22,AL27,AL32,AL37,AL42,AL47,)</f>
        <v>120</v>
      </c>
      <c r="AM5" s="117">
        <f>SUM(AM12,AM17,AM22,AM27,AM32,AM37,AM42,AM47,)</f>
        <v>30</v>
      </c>
      <c r="AN5" s="117">
        <f>SUM(AN12,AN17,AN22,AN27,AN32,AN37,AN42,AN47)</f>
        <v>45</v>
      </c>
      <c r="AO5" s="117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5" customHeight="1" x14ac:dyDescent="0.3">
      <c r="B6" s="11"/>
      <c r="C6" s="118"/>
      <c r="D6" s="118"/>
      <c r="E6" s="118"/>
      <c r="F6" s="118"/>
      <c r="G6" s="80">
        <f>SUM(C5:E7)</f>
        <v>375</v>
      </c>
      <c r="H6" s="12"/>
      <c r="I6" s="12"/>
      <c r="J6" s="118"/>
      <c r="K6" s="118"/>
      <c r="L6" s="118"/>
      <c r="M6" s="118"/>
      <c r="N6" s="80">
        <f>SUM(J5:L7)</f>
        <v>345</v>
      </c>
      <c r="O6" s="12"/>
      <c r="P6" s="12"/>
      <c r="Q6" s="118"/>
      <c r="R6" s="118"/>
      <c r="S6" s="118"/>
      <c r="T6" s="118"/>
      <c r="U6" s="80">
        <f>SUM(Q5:S7)</f>
        <v>345</v>
      </c>
      <c r="V6" s="12"/>
      <c r="W6" s="12"/>
      <c r="X6" s="118"/>
      <c r="Y6" s="118"/>
      <c r="Z6" s="118"/>
      <c r="AA6" s="118"/>
      <c r="AB6" s="80">
        <f>SUM(X5:Z7)</f>
        <v>345</v>
      </c>
      <c r="AC6" s="12"/>
      <c r="AD6" s="12"/>
      <c r="AE6" s="118"/>
      <c r="AF6" s="118"/>
      <c r="AG6" s="118"/>
      <c r="AH6" s="118"/>
      <c r="AI6" s="80">
        <f>SUM(AE5:AG7)</f>
        <v>330</v>
      </c>
      <c r="AJ6" s="12"/>
      <c r="AK6" s="12"/>
      <c r="AL6" s="118"/>
      <c r="AM6" s="118"/>
      <c r="AN6" s="118"/>
      <c r="AO6" s="118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19"/>
      <c r="D7" s="119"/>
      <c r="E7" s="119"/>
      <c r="F7" s="119"/>
      <c r="G7" s="80">
        <f>SUM(C5+E5)</f>
        <v>300</v>
      </c>
      <c r="H7" s="12"/>
      <c r="I7" s="12"/>
      <c r="J7" s="119"/>
      <c r="K7" s="119"/>
      <c r="L7" s="119"/>
      <c r="M7" s="119"/>
      <c r="N7" s="80">
        <f>SUM(J5+L5)</f>
        <v>300</v>
      </c>
      <c r="O7" s="12"/>
      <c r="P7" s="12"/>
      <c r="Q7" s="119"/>
      <c r="R7" s="119"/>
      <c r="S7" s="119"/>
      <c r="T7" s="119"/>
      <c r="U7" s="80">
        <f>SUM(Q5+S5)</f>
        <v>300</v>
      </c>
      <c r="V7" s="12"/>
      <c r="W7" s="12"/>
      <c r="X7" s="119"/>
      <c r="Y7" s="119"/>
      <c r="Z7" s="119"/>
      <c r="AA7" s="119"/>
      <c r="AB7" s="80">
        <f>SUM(X5+Z5)</f>
        <v>270</v>
      </c>
      <c r="AC7" s="12"/>
      <c r="AD7" s="12"/>
      <c r="AE7" s="119"/>
      <c r="AF7" s="119"/>
      <c r="AG7" s="119"/>
      <c r="AH7" s="119"/>
      <c r="AI7" s="80">
        <f>SUM(AE5+AG5)</f>
        <v>300</v>
      </c>
      <c r="AJ7" s="12"/>
      <c r="AK7" s="12"/>
      <c r="AL7" s="119"/>
      <c r="AM7" s="119"/>
      <c r="AN7" s="119"/>
      <c r="AO7" s="119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258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28" t="s">
        <v>259</v>
      </c>
      <c r="D9" s="121"/>
      <c r="E9" s="121"/>
      <c r="F9" s="121"/>
      <c r="G9" s="122"/>
      <c r="H9" s="18"/>
      <c r="I9" s="18"/>
      <c r="J9" s="128" t="str">
        <f>TEXT(INT(LEFT(C34,2))+1,"0") &amp; " 
FAMAT31012
Cálculo Diferencial e Integral II"</f>
        <v>7 
FAMAT31012
Cálculo Diferencial e Integral II</v>
      </c>
      <c r="K9" s="121"/>
      <c r="L9" s="121"/>
      <c r="M9" s="121"/>
      <c r="N9" s="122"/>
      <c r="O9" s="18"/>
      <c r="P9" s="22"/>
      <c r="Q9" s="127" t="str">
        <f>TEXT(INT(LEFT(J34,2))+1,"0") &amp; " 
FEELT!SS1
Sinais e Sistemas I"</f>
        <v>13 
FEELT!SS1
Sinais e Sistemas I</v>
      </c>
      <c r="R9" s="121"/>
      <c r="S9" s="121"/>
      <c r="T9" s="121"/>
      <c r="U9" s="122"/>
      <c r="V9" s="18"/>
      <c r="W9" s="18"/>
      <c r="X9" s="134" t="str">
        <f>TEXT(INT(LEFT(Q34,2))+1,"0") &amp; " 
FEELT!ACE1
Atividades Curriculares de Extensão I"</f>
        <v>19 
FEELT!ACE1
Atividades Curriculares de Extensão I</v>
      </c>
      <c r="Y9" s="121"/>
      <c r="Z9" s="121"/>
      <c r="AA9" s="121"/>
      <c r="AB9" s="122"/>
      <c r="AC9" s="18"/>
      <c r="AD9" s="18"/>
      <c r="AE9" s="134" t="str">
        <f>TEXT(INT(LEFT(X34,2))+1,"0") &amp; " 
FEELT!ACE2
Atividades Curriculares de Extensão II"</f>
        <v>25 
FEELT!ACE2
Atividades Curriculares de Extensão II</v>
      </c>
      <c r="AF9" s="121"/>
      <c r="AG9" s="121"/>
      <c r="AH9" s="121"/>
      <c r="AI9" s="122"/>
      <c r="AJ9" s="18"/>
      <c r="AK9" s="8"/>
      <c r="AL9" s="134" t="str">
        <f>TEXT(INT(LEFT(AE39,2))+1,"0") &amp; " 
FEELT!ACE3
Atividades Curriculares de Extensão III"</f>
        <v>32 
FEELT!ACE3
Atividades Curriculares de Extensão III</v>
      </c>
      <c r="AM9" s="121"/>
      <c r="AN9" s="121"/>
      <c r="AO9" s="121"/>
      <c r="AP9" s="122"/>
      <c r="AQ9" s="18"/>
      <c r="AR9" s="8"/>
      <c r="AS9" s="127" t="str">
        <f>TEXT(INT(LEFT(AL44,2))+1,"0") &amp; " 
FEELT!AC
Atividades Complementares"</f>
        <v>40 
FEELT!AC
Atividades Complementares</v>
      </c>
      <c r="AT9" s="121"/>
      <c r="AU9" s="121"/>
      <c r="AV9" s="121"/>
      <c r="AW9" s="122"/>
      <c r="AX9" s="8"/>
      <c r="AY9" s="18"/>
      <c r="AZ9" s="8"/>
      <c r="BA9" s="8"/>
      <c r="BB9" s="20" t="s">
        <v>260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23"/>
      <c r="D10" s="124"/>
      <c r="E10" s="124"/>
      <c r="F10" s="124"/>
      <c r="G10" s="115"/>
      <c r="H10" s="18"/>
      <c r="I10" s="18"/>
      <c r="J10" s="123"/>
      <c r="K10" s="124"/>
      <c r="L10" s="124"/>
      <c r="M10" s="124"/>
      <c r="N10" s="115"/>
      <c r="O10" s="18"/>
      <c r="P10" s="22"/>
      <c r="Q10" s="123"/>
      <c r="R10" s="124"/>
      <c r="S10" s="124"/>
      <c r="T10" s="124"/>
      <c r="U10" s="115"/>
      <c r="V10" s="18"/>
      <c r="W10" s="18"/>
      <c r="X10" s="123"/>
      <c r="Y10" s="124"/>
      <c r="Z10" s="124"/>
      <c r="AA10" s="124"/>
      <c r="AB10" s="115"/>
      <c r="AC10" s="18"/>
      <c r="AD10" s="18"/>
      <c r="AE10" s="123"/>
      <c r="AF10" s="124"/>
      <c r="AG10" s="124"/>
      <c r="AH10" s="124"/>
      <c r="AI10" s="115"/>
      <c r="AJ10" s="18"/>
      <c r="AK10" s="8"/>
      <c r="AL10" s="123"/>
      <c r="AM10" s="124"/>
      <c r="AN10" s="124"/>
      <c r="AO10" s="124"/>
      <c r="AP10" s="115"/>
      <c r="AQ10" s="18"/>
      <c r="AR10" s="8"/>
      <c r="AS10" s="123"/>
      <c r="AT10" s="124"/>
      <c r="AU10" s="124"/>
      <c r="AV10" s="124"/>
      <c r="AW10" s="115"/>
      <c r="AX10" s="8"/>
      <c r="AY10" s="18"/>
      <c r="AZ10" s="8"/>
      <c r="BA10" s="8"/>
      <c r="BB10" s="20" t="s">
        <v>261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25"/>
      <c r="D11" s="126"/>
      <c r="E11" s="126"/>
      <c r="F11" s="126"/>
      <c r="G11" s="116"/>
      <c r="H11" s="18"/>
      <c r="I11" s="23" t="str">
        <f>LEFT(C9,2)</f>
        <v xml:space="preserve">1 </v>
      </c>
      <c r="J11" s="125"/>
      <c r="K11" s="126"/>
      <c r="L11" s="126"/>
      <c r="M11" s="126"/>
      <c r="N11" s="116"/>
      <c r="O11" s="18"/>
      <c r="P11" s="23" t="str">
        <f>LEFT(J9,2)</f>
        <v xml:space="preserve">7 </v>
      </c>
      <c r="Q11" s="125"/>
      <c r="R11" s="126"/>
      <c r="S11" s="126"/>
      <c r="T11" s="126"/>
      <c r="U11" s="116"/>
      <c r="V11" s="18"/>
      <c r="W11" s="18"/>
      <c r="X11" s="125"/>
      <c r="Y11" s="126"/>
      <c r="Z11" s="126"/>
      <c r="AA11" s="126"/>
      <c r="AB11" s="116"/>
      <c r="AC11" s="18"/>
      <c r="AD11" s="18"/>
      <c r="AE11" s="125"/>
      <c r="AF11" s="126"/>
      <c r="AG11" s="126"/>
      <c r="AH11" s="126"/>
      <c r="AI11" s="116"/>
      <c r="AJ11" s="18"/>
      <c r="AK11" s="8"/>
      <c r="AL11" s="125"/>
      <c r="AM11" s="126"/>
      <c r="AN11" s="126"/>
      <c r="AO11" s="126"/>
      <c r="AP11" s="116"/>
      <c r="AQ11" s="18"/>
      <c r="AR11" s="8"/>
      <c r="AS11" s="125"/>
      <c r="AT11" s="126"/>
      <c r="AU11" s="126"/>
      <c r="AV11" s="126"/>
      <c r="AW11" s="116"/>
      <c r="AX11" s="8"/>
      <c r="AY11" s="18"/>
      <c r="AZ11" s="8"/>
      <c r="BA11" s="8"/>
      <c r="BB11" s="20" t="s">
        <v>262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263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264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265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27" t="str">
        <f>TEXT(INT(LEFT(C9,2))+1,"0") &amp; " 
FEELT!CDM
Ciência de dados aplicada a Metrologia"</f>
        <v>2 
FEELT!CDM
Ciência de dados aplicada a Metrologia</v>
      </c>
      <c r="D14" s="121"/>
      <c r="E14" s="121"/>
      <c r="F14" s="121"/>
      <c r="G14" s="122"/>
      <c r="H14" s="18"/>
      <c r="I14" s="22"/>
      <c r="J14" s="120" t="str">
        <f>TEXT(INT(LEFT(J9,2))+1,"0") &amp; " 
FEELT!CEE1
Circuitos Eletro-Eletrônicos I"</f>
        <v>8 
FEELT!CEE1
Circuitos Eletro-Eletrônicos I</v>
      </c>
      <c r="K14" s="121"/>
      <c r="L14" s="121"/>
      <c r="M14" s="121"/>
      <c r="N14" s="122"/>
      <c r="O14" s="18"/>
      <c r="Q14" s="120" t="str">
        <f>TEXT(INT(LEFT(Q9,2))+1,"0") &amp; "
FEELT!CEE2
Circuitos Eletro-Eletrônicos II"</f>
        <v>14
FEELT!CEE2
Circuitos Eletro-Eletrônicos II</v>
      </c>
      <c r="R14" s="121"/>
      <c r="S14" s="121"/>
      <c r="T14" s="121"/>
      <c r="U14" s="122"/>
      <c r="V14" s="18"/>
      <c r="W14" s="35"/>
      <c r="X14" s="139" t="str">
        <f>TEXT(INT(LEFT(X9,2))+1,"0") &amp; " 
FEELT!IDI
Instrumentação e Dispositivos Inteligentes"</f>
        <v>20 
FEELT!IDI
Instrumentação e Dispositivos Inteligentes</v>
      </c>
      <c r="Y14" s="121"/>
      <c r="Z14" s="121"/>
      <c r="AA14" s="121"/>
      <c r="AB14" s="122"/>
      <c r="AC14" s="18"/>
      <c r="AD14" s="22"/>
      <c r="AE14" s="120" t="str">
        <f>TEXT(INT(LEFT(AE9,2))+1,"0") &amp; " 
FEELT!CVRM
Conversão de Energia e Maquinas"</f>
        <v>26 
FEELT!CVRM
Conversão de Energia e Maquinas</v>
      </c>
      <c r="AF14" s="121"/>
      <c r="AG14" s="121"/>
      <c r="AH14" s="121"/>
      <c r="AI14" s="122"/>
      <c r="AJ14" s="18"/>
      <c r="AK14" s="18"/>
      <c r="AL14" s="120" t="str">
        <f>TEXT(INT(LEFT(AL9,2))+1,"0") &amp; " 
FEELT!PAI
Proteção e Acionamentos Industriais"</f>
        <v>33 
FEELT!PAI
Proteção e Acionamentos Industriais</v>
      </c>
      <c r="AM14" s="121"/>
      <c r="AN14" s="121"/>
      <c r="AO14" s="121"/>
      <c r="AP14" s="122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266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267</v>
      </c>
      <c r="BX14" s="8"/>
      <c r="BY14" s="8"/>
      <c r="BZ14" s="8"/>
    </row>
    <row r="15" spans="1:78" ht="16.5" customHeight="1" thickBot="1" x14ac:dyDescent="0.35">
      <c r="B15" s="28"/>
      <c r="C15" s="123"/>
      <c r="D15" s="124"/>
      <c r="E15" s="124"/>
      <c r="F15" s="124"/>
      <c r="G15" s="115"/>
      <c r="H15" s="18"/>
      <c r="I15" s="29" t="str">
        <f>LEFT(J19,2)</f>
        <v xml:space="preserve">9 </v>
      </c>
      <c r="J15" s="123"/>
      <c r="K15" s="124"/>
      <c r="L15" s="124"/>
      <c r="M15" s="124"/>
      <c r="N15" s="115"/>
      <c r="O15" s="18"/>
      <c r="P15" s="29" t="str">
        <f>LEFT(Q19,2)</f>
        <v>15</v>
      </c>
      <c r="Q15" s="123"/>
      <c r="R15" s="124"/>
      <c r="S15" s="124"/>
      <c r="T15" s="124"/>
      <c r="U15" s="115"/>
      <c r="V15" s="18"/>
      <c r="W15" s="36" t="str">
        <f>LEFT(Q29,2)</f>
        <v>17</v>
      </c>
      <c r="X15" s="123"/>
      <c r="Y15" s="124"/>
      <c r="Z15" s="124"/>
      <c r="AA15" s="124"/>
      <c r="AB15" s="115"/>
      <c r="AC15" s="18"/>
      <c r="AD15" s="23" t="str">
        <f>LEFT(J14,2)</f>
        <v xml:space="preserve">8 </v>
      </c>
      <c r="AE15" s="123"/>
      <c r="AF15" s="124"/>
      <c r="AG15" s="124"/>
      <c r="AH15" s="124"/>
      <c r="AI15" s="115"/>
      <c r="AJ15" s="18"/>
      <c r="AK15" s="18"/>
      <c r="AL15" s="123"/>
      <c r="AM15" s="124"/>
      <c r="AN15" s="124"/>
      <c r="AO15" s="124"/>
      <c r="AP15" s="115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268</v>
      </c>
      <c r="BX15" s="8"/>
      <c r="BY15" s="8"/>
      <c r="BZ15" s="8"/>
    </row>
    <row r="16" spans="1:78" ht="14.25" customHeight="1" thickTop="1" x14ac:dyDescent="0.3">
      <c r="B16" s="28"/>
      <c r="C16" s="125"/>
      <c r="D16" s="126"/>
      <c r="E16" s="126"/>
      <c r="F16" s="126"/>
      <c r="G16" s="116"/>
      <c r="H16" s="18"/>
      <c r="I16" s="30" t="str">
        <f>LEFT(C9,2)</f>
        <v xml:space="preserve">1 </v>
      </c>
      <c r="J16" s="125"/>
      <c r="K16" s="126"/>
      <c r="L16" s="126"/>
      <c r="M16" s="126"/>
      <c r="N16" s="116"/>
      <c r="O16" s="18"/>
      <c r="P16" s="23" t="str">
        <f>LEFT(J14,2)</f>
        <v xml:space="preserve">8 </v>
      </c>
      <c r="Q16" s="125"/>
      <c r="R16" s="126"/>
      <c r="S16" s="126"/>
      <c r="T16" s="126"/>
      <c r="U16" s="116"/>
      <c r="V16" s="18"/>
      <c r="W16" s="38" t="str">
        <f>LEFT(J29,2)</f>
        <v>11</v>
      </c>
      <c r="X16" s="125"/>
      <c r="Y16" s="126"/>
      <c r="Z16" s="126"/>
      <c r="AA16" s="126"/>
      <c r="AB16" s="116"/>
      <c r="AC16" s="18"/>
      <c r="AD16" s="23" t="str">
        <f>LEFT(Q14,2)</f>
        <v>14</v>
      </c>
      <c r="AE16" s="125"/>
      <c r="AF16" s="126"/>
      <c r="AG16" s="126"/>
      <c r="AH16" s="126"/>
      <c r="AI16" s="116"/>
      <c r="AJ16" s="18"/>
      <c r="AK16" s="18"/>
      <c r="AL16" s="125"/>
      <c r="AM16" s="126"/>
      <c r="AN16" s="126"/>
      <c r="AO16" s="126"/>
      <c r="AP16" s="116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269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38" t="str">
        <f>TEXT(INT(LEFT(C14,2))+1,"0") &amp; " 
 FEMEC39101
Expressão Gráfica"</f>
        <v>3 
 FEMEC39101
Expressão Gráfica</v>
      </c>
      <c r="D19" s="121"/>
      <c r="E19" s="121"/>
      <c r="F19" s="121"/>
      <c r="G19" s="122"/>
      <c r="H19" s="18"/>
      <c r="J19" s="120" t="str">
        <f>TEXT(INT(LEFT(J14,2))+1,"0") &amp; " 
FEELT!ECEE1
Experimental  de Circuitos Eletro-Eletrônicos I"</f>
        <v>9 
FEELT!ECEE1
Experimental  de Circuitos Eletro-Eletrônicos I</v>
      </c>
      <c r="K19" s="121"/>
      <c r="L19" s="121"/>
      <c r="M19" s="121"/>
      <c r="N19" s="122"/>
      <c r="O19" s="18"/>
      <c r="Q19" s="120" t="str">
        <f>TEXT(INT(LEFT(Q14,2))+1,"0") &amp; "
FEELT!ECEE2
Experimental de Circuitos Eletro-Eletrônicos II"</f>
        <v>15
FEELT!ECEE2
Experimental de Circuitos Eletro-Eletrônicos II</v>
      </c>
      <c r="R19" s="121"/>
      <c r="S19" s="121"/>
      <c r="T19" s="121"/>
      <c r="U19" s="122"/>
      <c r="V19" s="18"/>
      <c r="W19" s="22"/>
      <c r="X19" s="127" t="str">
        <f>TEXT(INT(LEFT(X14,2))+1,"0") &amp; " 
FEELT32401
Informática Industrial II"</f>
        <v>21 
FEELT32401
Informática Industrial II</v>
      </c>
      <c r="Y19" s="121"/>
      <c r="Z19" s="121"/>
      <c r="AA19" s="121"/>
      <c r="AB19" s="122"/>
      <c r="AC19" s="18"/>
      <c r="AD19" s="22"/>
      <c r="AE19" s="127" t="str">
        <f>TEXT(INT(LEFT(AE14,2))+1,"0") &amp; " 
FEELT!ECVRM
Experimental de Sistemas de Controle Realimentado"</f>
        <v>27 
FEELT!ECVRM
Experimental de Sistemas de Controle Realimentado</v>
      </c>
      <c r="AF19" s="121"/>
      <c r="AG19" s="121"/>
      <c r="AH19" s="121"/>
      <c r="AI19" s="122"/>
      <c r="AJ19" s="18"/>
      <c r="AK19" s="8"/>
      <c r="AL19" s="120" t="str">
        <f>TEXT(INT(LEFT(AL14,2))+1,"0") &amp; " 
FEELT!PI
Projeto Interdisciplinar"</f>
        <v>34 
FEELT!PI
Projeto Interdisciplinar</v>
      </c>
      <c r="AM19" s="121"/>
      <c r="AN19" s="121"/>
      <c r="AO19" s="121"/>
      <c r="AP19" s="122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23"/>
      <c r="D20" s="124"/>
      <c r="E20" s="124"/>
      <c r="F20" s="124"/>
      <c r="G20" s="115"/>
      <c r="H20" s="18"/>
      <c r="I20" s="29" t="str">
        <f>LEFT(J14,2)</f>
        <v xml:space="preserve">8 </v>
      </c>
      <c r="J20" s="123"/>
      <c r="K20" s="124"/>
      <c r="L20" s="124"/>
      <c r="M20" s="124"/>
      <c r="N20" s="115"/>
      <c r="O20" s="18"/>
      <c r="P20" s="29" t="str">
        <f>LEFT(Q14,2)</f>
        <v>14</v>
      </c>
      <c r="Q20" s="123"/>
      <c r="R20" s="124"/>
      <c r="S20" s="124"/>
      <c r="T20" s="124"/>
      <c r="U20" s="115"/>
      <c r="V20" s="18"/>
      <c r="W20" s="22"/>
      <c r="X20" s="123"/>
      <c r="Y20" s="124"/>
      <c r="Z20" s="124"/>
      <c r="AA20" s="124"/>
      <c r="AB20" s="115"/>
      <c r="AC20" s="18"/>
      <c r="AD20" s="29" t="str">
        <f>LEFT(AE34,2)</f>
        <v>30</v>
      </c>
      <c r="AE20" s="123"/>
      <c r="AF20" s="124"/>
      <c r="AG20" s="124"/>
      <c r="AH20" s="124"/>
      <c r="AI20" s="115"/>
      <c r="AJ20" s="18"/>
      <c r="AK20" s="8"/>
      <c r="AL20" s="123"/>
      <c r="AM20" s="124"/>
      <c r="AN20" s="124"/>
      <c r="AO20" s="124"/>
      <c r="AP20" s="115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25"/>
      <c r="D21" s="126"/>
      <c r="E21" s="126"/>
      <c r="F21" s="126"/>
      <c r="G21" s="116"/>
      <c r="H21" s="18"/>
      <c r="I21" s="23" t="str">
        <f>LEFT(C9,2)</f>
        <v xml:space="preserve">1 </v>
      </c>
      <c r="J21" s="125"/>
      <c r="K21" s="126"/>
      <c r="L21" s="126"/>
      <c r="M21" s="126"/>
      <c r="N21" s="116"/>
      <c r="O21" s="18"/>
      <c r="P21" s="23" t="str">
        <f>LEFT(J14,2)</f>
        <v xml:space="preserve">8 </v>
      </c>
      <c r="Q21" s="125"/>
      <c r="R21" s="126"/>
      <c r="S21" s="126"/>
      <c r="T21" s="126"/>
      <c r="U21" s="116"/>
      <c r="V21" s="18"/>
      <c r="W21" s="23" t="str">
        <f>LEFT(Q34,2)</f>
        <v>18</v>
      </c>
      <c r="X21" s="125"/>
      <c r="Y21" s="126"/>
      <c r="Z21" s="126"/>
      <c r="AA21" s="126"/>
      <c r="AB21" s="116"/>
      <c r="AC21" s="18"/>
      <c r="AD21" s="23" t="str">
        <f>LEFT(X29,2)</f>
        <v>23</v>
      </c>
      <c r="AE21" s="125"/>
      <c r="AF21" s="126"/>
      <c r="AG21" s="126"/>
      <c r="AH21" s="126"/>
      <c r="AI21" s="116"/>
      <c r="AJ21" s="18"/>
      <c r="AK21" s="8"/>
      <c r="AL21" s="125"/>
      <c r="AM21" s="126"/>
      <c r="AN21" s="126"/>
      <c r="AO21" s="126"/>
      <c r="AP21" s="116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27" t="str">
        <f>TEXT(INT(LEFT(C19,2))+1,"0") &amp; " 
FEELT!IFAP
Introdução à Formação Acadêmica e Profissional "</f>
        <v xml:space="preserve">4 
FEELT!IFAP
Introdução à Formação Acadêmica e Profissional </v>
      </c>
      <c r="D24" s="121"/>
      <c r="E24" s="121"/>
      <c r="F24" s="121"/>
      <c r="G24" s="122"/>
      <c r="H24" s="18"/>
      <c r="I24" s="18"/>
      <c r="J24" s="136" t="str">
        <f>TEXT(INT(LEFT(J19,2))+1,"0") &amp; " 
INFIS39032
Experimental de Física Básica: Mecânica"</f>
        <v>10 
INFIS39032
Experimental de Física Básica: Mecânica</v>
      </c>
      <c r="K24" s="121"/>
      <c r="L24" s="121"/>
      <c r="M24" s="121"/>
      <c r="N24" s="122"/>
      <c r="O24" s="18"/>
      <c r="P24" s="8"/>
      <c r="Q24" s="120" t="str">
        <f>TEXT(INT(LEFT(Q19,2))+1,"0") &amp; " 
FEELT!MECT
Materias Elétricos e Circuitos Trifásicos"</f>
        <v>16 
FEELT!MECT
Materias Elétricos e Circuitos Trifásicos</v>
      </c>
      <c r="R24" s="121"/>
      <c r="S24" s="121"/>
      <c r="T24" s="121"/>
      <c r="U24" s="122"/>
      <c r="V24" s="18"/>
      <c r="W24" s="22"/>
      <c r="X24" s="127" t="str">
        <f>TEXT(INT(LEFT(X19,2))+1,"0") &amp; " 
FEELT!RICAI
Redes Industriais para Controle e Automação I"</f>
        <v>22 
FEELT!RICAI
Redes Industriais para Controle e Automação I</v>
      </c>
      <c r="Y24" s="121"/>
      <c r="Z24" s="121"/>
      <c r="AA24" s="121"/>
      <c r="AB24" s="122"/>
      <c r="AC24" s="18"/>
      <c r="AD24" s="22"/>
      <c r="AE24" s="127" t="str">
        <f>TEXT(INT(LEFT(AE19,2))+1,"0") &amp; " 
FEELT!MRII
Manipuladores Robóticos Industriais e Inteligentes"</f>
        <v>28 
FEELT!MRII
Manipuladores Robóticos Industriais e Inteligentes</v>
      </c>
      <c r="AF24" s="121"/>
      <c r="AG24" s="121"/>
      <c r="AH24" s="121"/>
      <c r="AI24" s="122"/>
      <c r="AJ24" s="18"/>
      <c r="AL24" s="120" t="str">
        <f>TEXT(INT(LEFT(AL19,2))+1,"0") &amp; " 
FEELT31603
Instalações Elétricas"</f>
        <v>35 
FEELT31603
Instalações Elétricas</v>
      </c>
      <c r="AM24" s="121"/>
      <c r="AN24" s="121"/>
      <c r="AO24" s="121"/>
      <c r="AP24" s="122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23"/>
      <c r="D25" s="124"/>
      <c r="E25" s="124"/>
      <c r="F25" s="124"/>
      <c r="G25" s="115"/>
      <c r="H25" s="18"/>
      <c r="I25" s="23" t="str">
        <f>LEFT(C9,2)</f>
        <v xml:space="preserve">1 </v>
      </c>
      <c r="J25" s="123"/>
      <c r="K25" s="124"/>
      <c r="L25" s="124"/>
      <c r="M25" s="124"/>
      <c r="N25" s="115"/>
      <c r="O25" s="18"/>
      <c r="P25" s="8"/>
      <c r="Q25" s="123"/>
      <c r="R25" s="124"/>
      <c r="S25" s="124"/>
      <c r="T25" s="124"/>
      <c r="U25" s="115"/>
      <c r="V25" s="18"/>
      <c r="W25" s="30" t="str">
        <f>LEFT(J34,2)</f>
        <v>12</v>
      </c>
      <c r="X25" s="123"/>
      <c r="Y25" s="124"/>
      <c r="Z25" s="124"/>
      <c r="AA25" s="124"/>
      <c r="AB25" s="115"/>
      <c r="AC25" s="18"/>
      <c r="AD25" s="30" t="str">
        <f>LEFT(Q14,2)</f>
        <v>14</v>
      </c>
      <c r="AE25" s="123"/>
      <c r="AF25" s="124"/>
      <c r="AG25" s="124"/>
      <c r="AH25" s="124"/>
      <c r="AI25" s="115"/>
      <c r="AJ25" s="18"/>
      <c r="AK25" s="29" t="str">
        <f>LEFT(AL19,2)</f>
        <v>34</v>
      </c>
      <c r="AL25" s="123"/>
      <c r="AM25" s="124"/>
      <c r="AN25" s="124"/>
      <c r="AO25" s="124"/>
      <c r="AP25" s="115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25"/>
      <c r="D26" s="126"/>
      <c r="E26" s="126"/>
      <c r="F26" s="126"/>
      <c r="G26" s="116"/>
      <c r="H26" s="18"/>
      <c r="I26" s="29" t="str">
        <f>LEFT(J29,2)</f>
        <v>11</v>
      </c>
      <c r="J26" s="125"/>
      <c r="K26" s="126"/>
      <c r="L26" s="126"/>
      <c r="M26" s="126"/>
      <c r="N26" s="116"/>
      <c r="O26" s="18"/>
      <c r="P26" s="23" t="str">
        <f>LEFT(J9,2)</f>
        <v xml:space="preserve">7 </v>
      </c>
      <c r="Q26" s="125"/>
      <c r="R26" s="126"/>
      <c r="S26" s="126"/>
      <c r="T26" s="126"/>
      <c r="U26" s="116"/>
      <c r="V26" s="18"/>
      <c r="W26" s="30" t="str">
        <f>LEFT(Q39,2)</f>
        <v/>
      </c>
      <c r="X26" s="125"/>
      <c r="Y26" s="126"/>
      <c r="Z26" s="126"/>
      <c r="AA26" s="126"/>
      <c r="AB26" s="116"/>
      <c r="AC26" s="18"/>
      <c r="AD26" s="29" t="str">
        <f>LEFT(AE34,2)</f>
        <v>30</v>
      </c>
      <c r="AE26" s="125"/>
      <c r="AF26" s="126"/>
      <c r="AG26" s="126"/>
      <c r="AH26" s="126"/>
      <c r="AI26" s="116"/>
      <c r="AJ26" s="18"/>
      <c r="AK26" s="23" t="str">
        <f>LEFT(J19,2)</f>
        <v xml:space="preserve">9 </v>
      </c>
      <c r="AL26" s="125"/>
      <c r="AM26" s="126"/>
      <c r="AN26" s="126"/>
      <c r="AO26" s="126"/>
      <c r="AP26" s="116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270</v>
      </c>
      <c r="BX28" s="21">
        <f>SUM(BU8:BU15)</f>
        <v>0</v>
      </c>
    </row>
    <row r="29" spans="1:90" ht="11.25" customHeight="1" thickBot="1" x14ac:dyDescent="0.35">
      <c r="B29" s="17"/>
      <c r="C29" s="120" t="str">
        <f>TEXT(INT(LEFT(C24,2))+1,"0") &amp; " 
FEELT!DCA
Dispositivos Ciberfísicos para Automação Industrial, IoT E IIoT"</f>
        <v>5 
FEELT!DCA
Dispositivos Ciberfísicos para Automação Industrial, IoT E IIoT</v>
      </c>
      <c r="D29" s="121"/>
      <c r="E29" s="121"/>
      <c r="F29" s="121"/>
      <c r="G29" s="122"/>
      <c r="H29" s="18"/>
      <c r="I29" s="18"/>
      <c r="J29" s="136" t="str">
        <f>TEXT(INT(LEFT(J24,2))+1,"0") &amp; " 
INFIS39031
Física Básica: Mecânica"</f>
        <v>11 
INFIS39031
Física Básica: Mecânica</v>
      </c>
      <c r="K29" s="121"/>
      <c r="L29" s="121"/>
      <c r="M29" s="121"/>
      <c r="N29" s="122"/>
      <c r="O29" s="18"/>
      <c r="P29" s="22"/>
      <c r="Q29" s="138" t="str">
        <f>TEXT(INT(LEFT(Q24,2))+1,"0") &amp; " 
FEQUI39401
Fenômenos de Transporte"</f>
        <v>17 
FEQUI39401
Fenômenos de Transporte</v>
      </c>
      <c r="R29" s="121"/>
      <c r="S29" s="121"/>
      <c r="T29" s="121"/>
      <c r="U29" s="122"/>
      <c r="V29" s="18"/>
      <c r="W29" s="22"/>
      <c r="X29" s="127" t="str">
        <f>TEXT(INT(LEFT(X24,2))+1,"0") &amp; " 
FEELT!SS2
Sinais e Sistemas II"</f>
        <v>23 
FEELT!SS2
Sinais e Sistemas II</v>
      </c>
      <c r="Y29" s="121"/>
      <c r="Z29" s="121"/>
      <c r="AA29" s="121"/>
      <c r="AB29" s="122"/>
      <c r="AC29" s="18"/>
      <c r="AD29" s="22"/>
      <c r="AE29" s="127" t="str">
        <f>TEXT(INT(LEFT(AE24,2))+1,"0") &amp; " 
FEELT!RICAII
Redes Industriais para Controle e Automação II"</f>
        <v>29 
FEELT!RICAII
Redes Industriais para Controle e Automação II</v>
      </c>
      <c r="AF29" s="121"/>
      <c r="AG29" s="121"/>
      <c r="AH29" s="121"/>
      <c r="AI29" s="122"/>
      <c r="AJ29" s="18"/>
      <c r="AL29" s="120" t="str">
        <f>TEXT(INT(LEFT(AL24,2))+1,"0") &amp; " 
FEELT31604
Experimental de
Instalações
Elétricas"</f>
        <v>36 
FEELT31604
Experimental de
Instalações
Elétricas</v>
      </c>
      <c r="AM29" s="121"/>
      <c r="AN29" s="121"/>
      <c r="AO29" s="121"/>
      <c r="AP29" s="122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23"/>
      <c r="D30" s="124"/>
      <c r="E30" s="124"/>
      <c r="F30" s="124"/>
      <c r="G30" s="115"/>
      <c r="H30" s="18"/>
      <c r="I30" s="23" t="str">
        <f>LEFT(C9,2)</f>
        <v xml:space="preserve">1 </v>
      </c>
      <c r="J30" s="123"/>
      <c r="K30" s="124"/>
      <c r="L30" s="124"/>
      <c r="M30" s="124"/>
      <c r="N30" s="115"/>
      <c r="O30" s="18"/>
      <c r="P30" s="22"/>
      <c r="Q30" s="123"/>
      <c r="R30" s="124"/>
      <c r="S30" s="124"/>
      <c r="T30" s="124"/>
      <c r="U30" s="115"/>
      <c r="V30" s="18"/>
      <c r="W30" s="22"/>
      <c r="X30" s="123"/>
      <c r="Y30" s="124"/>
      <c r="Z30" s="124"/>
      <c r="AA30" s="124"/>
      <c r="AB30" s="115"/>
      <c r="AC30" s="18"/>
      <c r="AD30" s="23" t="str">
        <f>LEFT(X19,2)</f>
        <v>21</v>
      </c>
      <c r="AE30" s="123"/>
      <c r="AF30" s="124"/>
      <c r="AG30" s="124"/>
      <c r="AH30" s="124"/>
      <c r="AI30" s="115"/>
      <c r="AJ30" s="18"/>
      <c r="AK30" s="29" t="str">
        <f>LEFT(AL24,2)</f>
        <v>35</v>
      </c>
      <c r="AL30" s="123"/>
      <c r="AM30" s="124"/>
      <c r="AN30" s="124"/>
      <c r="AO30" s="124"/>
      <c r="AP30" s="115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271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25"/>
      <c r="D31" s="126"/>
      <c r="E31" s="126"/>
      <c r="F31" s="126"/>
      <c r="G31" s="116"/>
      <c r="H31" s="18"/>
      <c r="I31" s="29" t="str">
        <f>LEFT(J24,2)</f>
        <v>10</v>
      </c>
      <c r="J31" s="125"/>
      <c r="K31" s="126"/>
      <c r="L31" s="126"/>
      <c r="M31" s="126"/>
      <c r="N31" s="116"/>
      <c r="O31" s="18"/>
      <c r="P31" s="23" t="str">
        <f>LEFT(C9,2)</f>
        <v xml:space="preserve">1 </v>
      </c>
      <c r="Q31" s="125"/>
      <c r="R31" s="126"/>
      <c r="S31" s="126"/>
      <c r="T31" s="126"/>
      <c r="U31" s="116"/>
      <c r="V31" s="18"/>
      <c r="W31" s="23" t="str">
        <f>LEFT(Q9,2)</f>
        <v>13</v>
      </c>
      <c r="X31" s="125"/>
      <c r="Y31" s="126"/>
      <c r="Z31" s="126"/>
      <c r="AA31" s="126"/>
      <c r="AB31" s="116"/>
      <c r="AC31" s="18"/>
      <c r="AD31" s="23" t="str">
        <f>LEFT(X24,2)</f>
        <v>22</v>
      </c>
      <c r="AE31" s="125"/>
      <c r="AF31" s="126"/>
      <c r="AG31" s="126"/>
      <c r="AH31" s="126"/>
      <c r="AI31" s="116"/>
      <c r="AJ31" s="18"/>
      <c r="AK31" s="23" t="str">
        <f>LEFT(J24,2)</f>
        <v>10</v>
      </c>
      <c r="AL31" s="125"/>
      <c r="AM31" s="126"/>
      <c r="AN31" s="126"/>
      <c r="AO31" s="126"/>
      <c r="AP31" s="116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272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273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20" t="str">
        <f>TEXT(INT(LEFT(C29,2))+1,"0") &amp; " 
FEELT31409
Sistemas Digitais"</f>
        <v>6 
FEELT31409
Sistemas Digitais</v>
      </c>
      <c r="D34" s="121"/>
      <c r="E34" s="121"/>
      <c r="F34" s="121"/>
      <c r="G34" s="122"/>
      <c r="H34" s="18"/>
      <c r="I34" s="18"/>
      <c r="J34" s="120" t="str">
        <f>TEXT(INT(LEFT(J29,2))+1,"0") &amp; " 
FEELT!ASSE
Arquitetura de software em Sistemas Embarcados"</f>
        <v>12 
FEELT!ASSE
Arquitetura de software em Sistemas Embarcados</v>
      </c>
      <c r="K34" s="121"/>
      <c r="L34" s="121"/>
      <c r="M34" s="121"/>
      <c r="N34" s="122"/>
      <c r="O34" s="18"/>
      <c r="P34" s="18"/>
      <c r="Q34" s="127" t="str">
        <f>TEXT(INT(LEFT(Q29,2))+1,"0") &amp; " 
FEELT32301
Informática Industrial I"</f>
        <v>18 
FEELT32301
Informática Industrial I</v>
      </c>
      <c r="R34" s="121"/>
      <c r="S34" s="121"/>
      <c r="T34" s="121"/>
      <c r="U34" s="122"/>
      <c r="V34" s="18"/>
      <c r="W34" s="22"/>
      <c r="X34" s="127" t="str">
        <f>TEXT(INT(LEFT(X29,2))+1,"0") &amp; " 
FEMEC41080
Sistemas de Controle Hidráulicos e Pneumáticos"</f>
        <v>24 
FEMEC41080
Sistemas de Controle Hidráulicos e Pneumáticos</v>
      </c>
      <c r="Y34" s="121"/>
      <c r="Z34" s="121"/>
      <c r="AA34" s="121"/>
      <c r="AB34" s="122"/>
      <c r="AC34" s="18"/>
      <c r="AD34" s="22"/>
      <c r="AE34" s="127" t="str">
        <f>TEXT(INT(LEFT(AE29,2))+1,"0") &amp; " 
FEELT32603
Sistemas de Controle Realimentado"</f>
        <v>30 
FEELT32603
Sistemas de Controle Realimentado</v>
      </c>
      <c r="AF34" s="121"/>
      <c r="AG34" s="121"/>
      <c r="AH34" s="121"/>
      <c r="AI34" s="122"/>
      <c r="AJ34" s="18"/>
      <c r="AK34" s="133" t="s">
        <v>22</v>
      </c>
      <c r="AL34" s="127" t="str">
        <f>TEXT(INT(LEFT(AL29,2))+1,"0") &amp; " 
FAGEN32411
Empreendedorismo e Inovação"</f>
        <v>37 
FAGEN32411
Empreendedorismo e Inovação</v>
      </c>
      <c r="AM34" s="121"/>
      <c r="AN34" s="121"/>
      <c r="AO34" s="121"/>
      <c r="AP34" s="122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23"/>
      <c r="D35" s="124"/>
      <c r="E35" s="124"/>
      <c r="F35" s="124"/>
      <c r="G35" s="115"/>
      <c r="H35" s="18"/>
      <c r="I35" s="18"/>
      <c r="J35" s="123"/>
      <c r="K35" s="124"/>
      <c r="L35" s="124"/>
      <c r="M35" s="124"/>
      <c r="N35" s="115"/>
      <c r="O35" s="18"/>
      <c r="P35" s="23" t="str">
        <f>LEFT(C44,2)</f>
        <v/>
      </c>
      <c r="Q35" s="123"/>
      <c r="R35" s="124"/>
      <c r="S35" s="124"/>
      <c r="T35" s="124"/>
      <c r="U35" s="115"/>
      <c r="V35" s="18"/>
      <c r="W35" s="22"/>
      <c r="X35" s="123"/>
      <c r="Y35" s="124"/>
      <c r="Z35" s="124"/>
      <c r="AA35" s="124"/>
      <c r="AB35" s="115"/>
      <c r="AC35" s="18"/>
      <c r="AD35" s="29" t="str">
        <f>LEFT(AE19,2)</f>
        <v>27</v>
      </c>
      <c r="AE35" s="123"/>
      <c r="AF35" s="124"/>
      <c r="AG35" s="124"/>
      <c r="AH35" s="124"/>
      <c r="AI35" s="115"/>
      <c r="AJ35" s="18"/>
      <c r="AK35" s="115"/>
      <c r="AL35" s="123"/>
      <c r="AM35" s="124"/>
      <c r="AN35" s="124"/>
      <c r="AO35" s="124"/>
      <c r="AP35" s="115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25"/>
      <c r="D36" s="126"/>
      <c r="E36" s="126"/>
      <c r="F36" s="126"/>
      <c r="G36" s="116"/>
      <c r="H36" s="18"/>
      <c r="I36" s="23" t="str">
        <f>LEFT(C34,2)</f>
        <v xml:space="preserve">6 </v>
      </c>
      <c r="J36" s="125"/>
      <c r="K36" s="126"/>
      <c r="L36" s="126"/>
      <c r="M36" s="126"/>
      <c r="N36" s="116"/>
      <c r="O36" s="18"/>
      <c r="P36" s="23" t="str">
        <f>LEFT(J34,2)</f>
        <v>12</v>
      </c>
      <c r="Q36" s="125"/>
      <c r="R36" s="126"/>
      <c r="S36" s="126"/>
      <c r="T36" s="126"/>
      <c r="U36" s="116"/>
      <c r="V36" s="18"/>
      <c r="W36" s="23" t="str">
        <f>LEFT(Q29,2)</f>
        <v>17</v>
      </c>
      <c r="X36" s="125"/>
      <c r="Y36" s="126"/>
      <c r="Z36" s="126"/>
      <c r="AA36" s="126"/>
      <c r="AB36" s="116"/>
      <c r="AC36" s="18"/>
      <c r="AD36" s="23" t="str">
        <f>LEFT(X29,2)</f>
        <v>23</v>
      </c>
      <c r="AE36" s="125"/>
      <c r="AF36" s="126"/>
      <c r="AG36" s="126"/>
      <c r="AH36" s="126"/>
      <c r="AI36" s="116"/>
      <c r="AJ36" s="18"/>
      <c r="AK36" s="116"/>
      <c r="AL36" s="125"/>
      <c r="AM36" s="126"/>
      <c r="AN36" s="126"/>
      <c r="AO36" s="126"/>
      <c r="AP36" s="116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95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27" t="str">
        <f>TEXT(INT(LEFT(AE34,2))+1,"0") &amp; " 
FEELT32601
Experimental de
Sistemas de Controle Realimentado"</f>
        <v>31 
FEELT32601
Experimental de
Sistemas de Controle Realimentado</v>
      </c>
      <c r="AF39" s="121"/>
      <c r="AG39" s="121"/>
      <c r="AH39" s="121"/>
      <c r="AI39" s="122"/>
      <c r="AJ39" s="8"/>
      <c r="AK39" s="133" t="s">
        <v>22</v>
      </c>
      <c r="AL39" s="127" t="str">
        <f>TEXT(INT(LEFT(AL34,2))+1,"0") &amp; " 
FEELT!OPT
OPTATIVA"</f>
        <v>38 
FEELT!OPT
OPTATIVA</v>
      </c>
      <c r="AM39" s="121"/>
      <c r="AN39" s="121"/>
      <c r="AO39" s="121"/>
      <c r="AP39" s="122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23"/>
      <c r="AF40" s="124"/>
      <c r="AG40" s="124"/>
      <c r="AH40" s="124"/>
      <c r="AI40" s="115"/>
      <c r="AJ40" s="8"/>
      <c r="AK40" s="115"/>
      <c r="AL40" s="123"/>
      <c r="AM40" s="124"/>
      <c r="AN40" s="124"/>
      <c r="AO40" s="124"/>
      <c r="AP40" s="115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95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25"/>
      <c r="AF41" s="126"/>
      <c r="AG41" s="126"/>
      <c r="AH41" s="126"/>
      <c r="AI41" s="116"/>
      <c r="AJ41" s="8"/>
      <c r="AK41" s="116"/>
      <c r="AL41" s="125"/>
      <c r="AM41" s="126"/>
      <c r="AN41" s="126"/>
      <c r="AO41" s="126"/>
      <c r="AP41" s="116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95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7"/>
      <c r="K44" s="124"/>
      <c r="L44" s="124"/>
      <c r="M44" s="124"/>
      <c r="N44" s="124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33" t="s">
        <v>22</v>
      </c>
      <c r="AL44" s="127" t="str">
        <f>TEXT(INT(LEFT(AL39,2))+1,"0") &amp; " 
FEELT32002
Estágio Supervisionado Obrigatório"</f>
        <v>39 
FEELT32002
Estágio Supervisionado Obrigatório</v>
      </c>
      <c r="AM44" s="121"/>
      <c r="AN44" s="121"/>
      <c r="AO44" s="121"/>
      <c r="AP44" s="122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24"/>
      <c r="K45" s="124"/>
      <c r="L45" s="124"/>
      <c r="M45" s="124"/>
      <c r="N45" s="124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5"/>
      <c r="AL45" s="123"/>
      <c r="AM45" s="124"/>
      <c r="AN45" s="124"/>
      <c r="AO45" s="124"/>
      <c r="AP45" s="115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24"/>
      <c r="K46" s="124"/>
      <c r="L46" s="124"/>
      <c r="M46" s="124"/>
      <c r="N46" s="124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6"/>
      <c r="AL46" s="125"/>
      <c r="AM46" s="126"/>
      <c r="AN46" s="126"/>
      <c r="AO46" s="126"/>
      <c r="AP46" s="116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5" t="s">
        <v>274</v>
      </c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3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14" t="s">
        <v>94</v>
      </c>
      <c r="C53" s="129" t="str">
        <f>TEXT(INT(LEFT(AS9,2))+1,"0") &amp; " 
FEELT!TE1
Tópicos Especiais I"</f>
        <v>41 
FEELT!TE1
Tópicos Especiais I</v>
      </c>
      <c r="D53" s="121"/>
      <c r="E53" s="121"/>
      <c r="F53" s="121"/>
      <c r="G53" s="122"/>
      <c r="H53" s="18"/>
      <c r="I53" s="114" t="s">
        <v>94</v>
      </c>
      <c r="J53" s="129" t="str">
        <f>TEXT(INT(LEFT(C53,2))+1,"0") &amp; " 
FEELT!TE2
Tópicos Especiais II"</f>
        <v>42 
FEELT!TE2
Tópicos Especiais II</v>
      </c>
      <c r="K53" s="121"/>
      <c r="L53" s="121"/>
      <c r="M53" s="121"/>
      <c r="N53" s="122"/>
      <c r="O53" s="18"/>
      <c r="P53" s="114" t="s">
        <v>94</v>
      </c>
      <c r="Q53" s="129" t="str">
        <f>TEXT(INT(LEFT(J53,2))+1,"0") &amp; " 
FEELT!TE3
Tópicos Especiais  III"</f>
        <v>43 
FEELT!TE3
Tópicos Especiais  III</v>
      </c>
      <c r="R53" s="121"/>
      <c r="S53" s="121"/>
      <c r="T53" s="121"/>
      <c r="U53" s="122"/>
      <c r="V53" s="70"/>
      <c r="W53" s="114" t="s">
        <v>94</v>
      </c>
      <c r="X53" s="129" t="str">
        <f>TEXT(INT(LEFT(Q53,2))+1,"0") &amp; " 
FEELT!TE4
 Tópicos Especiais IV"</f>
        <v>44 
FEELT!TE4
 Tópicos Especiais IV</v>
      </c>
      <c r="Y53" s="121"/>
      <c r="Z53" s="121"/>
      <c r="AA53" s="121"/>
      <c r="AB53" s="122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15"/>
      <c r="C54" s="123"/>
      <c r="D54" s="124"/>
      <c r="E54" s="124"/>
      <c r="F54" s="124"/>
      <c r="G54" s="115"/>
      <c r="H54" s="18"/>
      <c r="I54" s="115"/>
      <c r="J54" s="123"/>
      <c r="K54" s="124"/>
      <c r="L54" s="124"/>
      <c r="M54" s="124"/>
      <c r="N54" s="115"/>
      <c r="O54" s="18"/>
      <c r="P54" s="115"/>
      <c r="Q54" s="123"/>
      <c r="R54" s="124"/>
      <c r="S54" s="124"/>
      <c r="T54" s="124"/>
      <c r="U54" s="115"/>
      <c r="V54" s="70"/>
      <c r="W54" s="115"/>
      <c r="X54" s="123"/>
      <c r="Y54" s="124"/>
      <c r="Z54" s="124"/>
      <c r="AA54" s="124"/>
      <c r="AB54" s="115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16"/>
      <c r="C55" s="125"/>
      <c r="D55" s="126"/>
      <c r="E55" s="126"/>
      <c r="F55" s="126"/>
      <c r="G55" s="116"/>
      <c r="H55" s="18"/>
      <c r="I55" s="116"/>
      <c r="J55" s="125"/>
      <c r="K55" s="126"/>
      <c r="L55" s="126"/>
      <c r="M55" s="126"/>
      <c r="N55" s="116"/>
      <c r="O55" s="18"/>
      <c r="P55" s="116"/>
      <c r="Q55" s="125"/>
      <c r="R55" s="126"/>
      <c r="S55" s="126"/>
      <c r="T55" s="126"/>
      <c r="U55" s="116"/>
      <c r="V55" s="70"/>
      <c r="W55" s="116"/>
      <c r="X55" s="125"/>
      <c r="Y55" s="126"/>
      <c r="Z55" s="126"/>
      <c r="AA55" s="126"/>
      <c r="AB55" s="116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4">
    <mergeCell ref="B53:B55"/>
    <mergeCell ref="C19:G21"/>
    <mergeCell ref="C34:G36"/>
    <mergeCell ref="D5:D7"/>
    <mergeCell ref="Q53:U55"/>
    <mergeCell ref="I53:I55"/>
    <mergeCell ref="J53:N55"/>
    <mergeCell ref="C4:G4"/>
    <mergeCell ref="C14:G16"/>
    <mergeCell ref="Q4:U4"/>
    <mergeCell ref="J5:J7"/>
    <mergeCell ref="M5:M7"/>
    <mergeCell ref="J4:N4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AE34:AI36"/>
    <mergeCell ref="Q19:U21"/>
    <mergeCell ref="X14:AB16"/>
    <mergeCell ref="Q34:U36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N5:AN7"/>
    <mergeCell ref="F5:F7"/>
    <mergeCell ref="AM5:AM7"/>
    <mergeCell ref="X5:X7"/>
    <mergeCell ref="AE9:AI11"/>
    <mergeCell ref="Z5:Z7"/>
    <mergeCell ref="AL9:AP11"/>
    <mergeCell ref="C9:G11"/>
    <mergeCell ref="Q9:U11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22860</xdr:colOff>
                    <xdr:row>1</xdr:row>
                    <xdr:rowOff>68580</xdr:rowOff>
                  </from>
                  <to>
                    <xdr:col>16</xdr:col>
                    <xdr:colOff>137160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2" activePane="bottomLeft" state="frozen"/>
      <selection pane="bottomLeft" activeCell="L28" sqref="L28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33203125" style="75" customWidth="1"/>
    <col min="9" max="9" width="23.6640625" style="75" bestFit="1" customWidth="1"/>
    <col min="10" max="10" width="16.6640625" style="75" customWidth="1"/>
    <col min="11" max="12" width="27.664062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33203125" style="75" customWidth="1"/>
    <col min="18" max="18" width="13" style="75" customWidth="1"/>
    <col min="19" max="19" width="40.6640625" style="75" customWidth="1"/>
    <col min="20" max="20" width="28.44140625" style="75" customWidth="1"/>
    <col min="21" max="28" width="9.109375" style="75" customWidth="1"/>
    <col min="29" max="16384" width="9.109375" style="75"/>
  </cols>
  <sheetData>
    <row r="1" spans="1:19" s="76" customFormat="1" ht="22.2" customHeight="1" x14ac:dyDescent="0.3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11</v>
      </c>
      <c r="M1" s="94" t="s">
        <v>12</v>
      </c>
      <c r="N1" s="94" t="s">
        <v>13</v>
      </c>
      <c r="O1" s="94" t="s">
        <v>14</v>
      </c>
      <c r="P1" s="94" t="s">
        <v>15</v>
      </c>
      <c r="Q1" s="94" t="s">
        <v>16</v>
      </c>
      <c r="R1" s="94" t="s">
        <v>17</v>
      </c>
      <c r="S1"/>
    </row>
    <row r="2" spans="1:19" x14ac:dyDescent="0.3">
      <c r="A2" s="95" t="s">
        <v>18</v>
      </c>
      <c r="B2" s="96" t="s">
        <v>19</v>
      </c>
      <c r="C2" s="97" t="s">
        <v>20</v>
      </c>
      <c r="D2" s="97">
        <v>0</v>
      </c>
      <c r="E2" s="97"/>
      <c r="F2" s="97">
        <v>30</v>
      </c>
      <c r="G2" s="97"/>
      <c r="H2" s="97">
        <v>30</v>
      </c>
      <c r="I2" s="95" t="s">
        <v>21</v>
      </c>
      <c r="J2" s="96" t="s">
        <v>22</v>
      </c>
      <c r="K2" s="96"/>
      <c r="L2" s="95"/>
      <c r="M2" s="96"/>
      <c r="N2" s="96"/>
      <c r="O2" s="96"/>
      <c r="P2" s="96"/>
      <c r="Q2" s="98" t="b">
        <v>1</v>
      </c>
      <c r="R2" s="96"/>
      <c r="S2"/>
    </row>
    <row r="3" spans="1:19" ht="14.4" customHeight="1" x14ac:dyDescent="0.3">
      <c r="A3" s="95" t="s">
        <v>23</v>
      </c>
      <c r="B3" s="96" t="s">
        <v>24</v>
      </c>
      <c r="C3" s="97" t="s">
        <v>25</v>
      </c>
      <c r="D3" s="97">
        <v>90</v>
      </c>
      <c r="E3" s="97"/>
      <c r="F3" s="97"/>
      <c r="G3" s="97"/>
      <c r="H3" s="97">
        <v>90</v>
      </c>
      <c r="I3" s="95" t="s">
        <v>21</v>
      </c>
      <c r="J3" s="96"/>
      <c r="K3" s="96"/>
      <c r="L3" s="95"/>
      <c r="M3" s="96"/>
      <c r="N3" s="96"/>
      <c r="O3" s="96"/>
      <c r="P3" s="96"/>
      <c r="Q3" s="98" t="b">
        <v>1</v>
      </c>
      <c r="R3" s="96"/>
      <c r="S3"/>
    </row>
    <row r="4" spans="1:19" ht="14.4" customHeight="1" x14ac:dyDescent="0.3">
      <c r="A4" s="95" t="s">
        <v>26</v>
      </c>
      <c r="B4" s="96" t="s">
        <v>27</v>
      </c>
      <c r="C4" s="97" t="s">
        <v>28</v>
      </c>
      <c r="D4" s="97">
        <v>90</v>
      </c>
      <c r="E4" s="97"/>
      <c r="F4" s="97"/>
      <c r="G4" s="97"/>
      <c r="H4" s="97">
        <v>90</v>
      </c>
      <c r="I4" s="95" t="s">
        <v>21</v>
      </c>
      <c r="J4" s="96" t="s">
        <v>23</v>
      </c>
      <c r="K4" s="96"/>
      <c r="L4" s="95"/>
      <c r="M4" s="96"/>
      <c r="N4" s="96"/>
      <c r="O4" s="96"/>
      <c r="P4" s="96"/>
      <c r="Q4" s="98" t="b">
        <v>1</v>
      </c>
      <c r="R4" s="96"/>
      <c r="S4"/>
    </row>
    <row r="5" spans="1:19" ht="14.4" customHeight="1" x14ac:dyDescent="0.3">
      <c r="A5" s="95" t="s">
        <v>29</v>
      </c>
      <c r="B5" s="96" t="s">
        <v>30</v>
      </c>
      <c r="C5" s="97"/>
      <c r="D5" s="97"/>
      <c r="E5" s="97"/>
      <c r="F5" s="97"/>
      <c r="G5" s="97"/>
      <c r="H5" s="97">
        <v>60</v>
      </c>
      <c r="I5" s="95" t="s">
        <v>31</v>
      </c>
      <c r="J5" s="96"/>
      <c r="K5" s="96"/>
      <c r="L5" s="95"/>
      <c r="M5" s="96"/>
      <c r="N5" s="96"/>
      <c r="O5" s="96"/>
      <c r="P5" s="96"/>
      <c r="Q5" s="98" t="b">
        <v>1</v>
      </c>
      <c r="R5" s="96"/>
      <c r="S5"/>
    </row>
    <row r="6" spans="1:19" ht="14.4" customHeight="1" x14ac:dyDescent="0.3">
      <c r="A6" s="95" t="s">
        <v>32</v>
      </c>
      <c r="B6" s="96" t="s">
        <v>33</v>
      </c>
      <c r="C6" s="97" t="s">
        <v>34</v>
      </c>
      <c r="D6" s="97"/>
      <c r="E6" s="97"/>
      <c r="F6" s="97"/>
      <c r="G6" s="97">
        <v>90</v>
      </c>
      <c r="H6" s="97">
        <v>90</v>
      </c>
      <c r="I6" s="95" t="s">
        <v>35</v>
      </c>
      <c r="J6" s="96"/>
      <c r="K6" s="96"/>
      <c r="L6" s="95"/>
      <c r="M6" s="96"/>
      <c r="N6" s="96"/>
      <c r="O6" s="96"/>
      <c r="P6" s="96"/>
      <c r="Q6" s="98" t="b">
        <v>1</v>
      </c>
      <c r="R6" s="96"/>
      <c r="S6"/>
    </row>
    <row r="7" spans="1:19" ht="14.4" customHeight="1" x14ac:dyDescent="0.3">
      <c r="A7" s="95" t="s">
        <v>36</v>
      </c>
      <c r="B7" s="96" t="s">
        <v>37</v>
      </c>
      <c r="C7" s="97" t="s">
        <v>38</v>
      </c>
      <c r="D7" s="97"/>
      <c r="E7" s="97"/>
      <c r="F7" s="97"/>
      <c r="G7" s="97">
        <v>90</v>
      </c>
      <c r="H7" s="97">
        <v>90</v>
      </c>
      <c r="I7" s="95" t="s">
        <v>35</v>
      </c>
      <c r="J7" s="96"/>
      <c r="K7" s="96"/>
      <c r="L7" s="95"/>
      <c r="M7" s="96"/>
      <c r="N7" s="96"/>
      <c r="O7" s="96"/>
      <c r="P7" s="96"/>
      <c r="Q7" s="98" t="b">
        <v>1</v>
      </c>
      <c r="R7" s="96"/>
      <c r="S7"/>
    </row>
    <row r="8" spans="1:19" ht="14.4" customHeight="1" x14ac:dyDescent="0.3">
      <c r="A8" s="95" t="s">
        <v>39</v>
      </c>
      <c r="B8" s="96" t="s">
        <v>40</v>
      </c>
      <c r="C8" s="97" t="s">
        <v>20</v>
      </c>
      <c r="D8" s="97"/>
      <c r="E8" s="97"/>
      <c r="F8" s="97"/>
      <c r="G8" s="97">
        <v>60</v>
      </c>
      <c r="H8" s="97">
        <v>60</v>
      </c>
      <c r="I8" s="95" t="s">
        <v>35</v>
      </c>
      <c r="J8" s="96"/>
      <c r="K8" s="96"/>
      <c r="L8" s="95"/>
      <c r="M8" s="96"/>
      <c r="N8" s="96"/>
      <c r="O8" s="96"/>
      <c r="P8" s="96"/>
      <c r="Q8" s="98" t="b">
        <v>1</v>
      </c>
      <c r="R8" s="96"/>
      <c r="S8"/>
    </row>
    <row r="9" spans="1:19" ht="14.4" customHeight="1" x14ac:dyDescent="0.3">
      <c r="A9" s="95" t="s">
        <v>41</v>
      </c>
      <c r="B9" s="96" t="s">
        <v>42</v>
      </c>
      <c r="C9" s="97" t="s">
        <v>28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21</v>
      </c>
      <c r="J9" s="96" t="s">
        <v>43</v>
      </c>
      <c r="K9" s="96"/>
      <c r="L9" s="95"/>
      <c r="M9" s="96"/>
      <c r="N9" s="96"/>
      <c r="O9" s="96"/>
      <c r="P9" s="96"/>
      <c r="Q9" s="98" t="b">
        <v>1</v>
      </c>
      <c r="R9" s="96"/>
      <c r="S9"/>
    </row>
    <row r="10" spans="1:19" ht="14.4" customHeight="1" x14ac:dyDescent="0.3">
      <c r="A10" s="95" t="s">
        <v>44</v>
      </c>
      <c r="B10" s="96" t="s">
        <v>45</v>
      </c>
      <c r="C10" s="97" t="s">
        <v>25</v>
      </c>
      <c r="D10" s="97"/>
      <c r="E10" s="97">
        <v>30</v>
      </c>
      <c r="F10" s="97">
        <v>30</v>
      </c>
      <c r="G10" s="97"/>
      <c r="H10" s="97">
        <v>60</v>
      </c>
      <c r="I10" s="95" t="s">
        <v>21</v>
      </c>
      <c r="J10" s="96"/>
      <c r="K10" s="96"/>
      <c r="L10" s="95"/>
      <c r="M10" s="96"/>
      <c r="N10" s="96"/>
      <c r="O10" s="96"/>
      <c r="P10" s="96"/>
      <c r="Q10" s="98" t="b">
        <v>1</v>
      </c>
      <c r="R10" s="96"/>
      <c r="S10"/>
    </row>
    <row r="11" spans="1:19" ht="14.4" customHeight="1" x14ac:dyDescent="0.3">
      <c r="A11" s="95" t="s">
        <v>46</v>
      </c>
      <c r="B11" s="96" t="s">
        <v>47</v>
      </c>
      <c r="C11" s="97" t="s">
        <v>28</v>
      </c>
      <c r="D11" s="97">
        <v>60</v>
      </c>
      <c r="E11" s="97"/>
      <c r="F11" s="97">
        <v>15</v>
      </c>
      <c r="G11" s="97"/>
      <c r="H11" s="97">
        <v>75</v>
      </c>
      <c r="I11" s="95" t="s">
        <v>21</v>
      </c>
      <c r="J11" s="96"/>
      <c r="K11" s="96" t="s">
        <v>48</v>
      </c>
      <c r="L11" s="95"/>
      <c r="M11" s="96"/>
      <c r="N11" s="96"/>
      <c r="O11" s="96"/>
      <c r="P11" s="96"/>
      <c r="Q11" s="98" t="b">
        <v>1</v>
      </c>
      <c r="R11" s="96"/>
      <c r="S11"/>
    </row>
    <row r="12" spans="1:19" ht="14.4" customHeight="1" x14ac:dyDescent="0.3">
      <c r="A12" s="95" t="s">
        <v>49</v>
      </c>
      <c r="B12" s="96" t="s">
        <v>50</v>
      </c>
      <c r="C12" s="97" t="s">
        <v>51</v>
      </c>
      <c r="D12" s="97">
        <v>60</v>
      </c>
      <c r="E12" s="97"/>
      <c r="F12" s="97">
        <v>15</v>
      </c>
      <c r="G12" s="97"/>
      <c r="H12" s="97">
        <v>75</v>
      </c>
      <c r="I12" s="95" t="s">
        <v>21</v>
      </c>
      <c r="J12" s="96"/>
      <c r="K12" s="96" t="s">
        <v>52</v>
      </c>
      <c r="L12" s="95"/>
      <c r="M12" s="96"/>
      <c r="N12" s="96"/>
      <c r="O12" s="96"/>
      <c r="P12" s="96"/>
      <c r="Q12" s="98" t="b">
        <v>1</v>
      </c>
      <c r="R12" s="96"/>
      <c r="S12"/>
    </row>
    <row r="13" spans="1:19" ht="14.4" customHeight="1" x14ac:dyDescent="0.3">
      <c r="A13" s="95" t="s">
        <v>53</v>
      </c>
      <c r="B13" s="96" t="s">
        <v>54</v>
      </c>
      <c r="C13" s="97" t="s">
        <v>38</v>
      </c>
      <c r="D13" s="97">
        <v>60</v>
      </c>
      <c r="E13" s="97">
        <v>15</v>
      </c>
      <c r="F13" s="97"/>
      <c r="G13" s="97"/>
      <c r="H13" s="97">
        <v>75</v>
      </c>
      <c r="I13" s="95" t="s">
        <v>21</v>
      </c>
      <c r="J13" s="96" t="s">
        <v>55</v>
      </c>
      <c r="K13" s="96"/>
      <c r="L13" s="95"/>
      <c r="M13" s="96"/>
      <c r="N13" s="96"/>
      <c r="O13" s="96"/>
      <c r="P13" s="96"/>
      <c r="Q13" s="98" t="b">
        <v>1</v>
      </c>
      <c r="R13" s="96"/>
      <c r="S13"/>
    </row>
    <row r="14" spans="1:19" ht="14.4" customHeight="1" x14ac:dyDescent="0.3">
      <c r="A14" s="95" t="s">
        <v>56</v>
      </c>
      <c r="B14" s="96" t="s">
        <v>57</v>
      </c>
      <c r="C14" s="97" t="s">
        <v>25</v>
      </c>
      <c r="D14" s="97"/>
      <c r="E14" s="97">
        <v>30</v>
      </c>
      <c r="F14" s="97">
        <v>45</v>
      </c>
      <c r="G14" s="97"/>
      <c r="H14" s="97">
        <v>75</v>
      </c>
      <c r="I14" s="95" t="s">
        <v>21</v>
      </c>
      <c r="J14" s="96"/>
      <c r="K14" s="96"/>
      <c r="L14" s="95"/>
      <c r="M14" s="96"/>
      <c r="N14" s="96"/>
      <c r="O14" s="96"/>
      <c r="P14" s="96"/>
      <c r="Q14" s="98" t="b">
        <v>1</v>
      </c>
      <c r="R14" s="96"/>
      <c r="S14"/>
    </row>
    <row r="15" spans="1:19" ht="14.4" customHeight="1" x14ac:dyDescent="0.3">
      <c r="A15" s="95" t="s">
        <v>58</v>
      </c>
      <c r="B15" s="96" t="s">
        <v>59</v>
      </c>
      <c r="C15" s="97" t="s">
        <v>28</v>
      </c>
      <c r="D15" s="97"/>
      <c r="E15" s="97">
        <v>15</v>
      </c>
      <c r="F15" s="97"/>
      <c r="G15" s="97"/>
      <c r="H15" s="97">
        <v>15</v>
      </c>
      <c r="I15" s="95" t="s">
        <v>21</v>
      </c>
      <c r="J15" s="96"/>
      <c r="K15" s="96" t="s">
        <v>60</v>
      </c>
      <c r="L15" s="95"/>
      <c r="M15" s="96"/>
      <c r="N15" s="96"/>
      <c r="O15" s="96"/>
      <c r="P15" s="96"/>
      <c r="Q15" s="98" t="b">
        <v>1</v>
      </c>
      <c r="R15" s="96"/>
      <c r="S15"/>
    </row>
    <row r="16" spans="1:19" ht="14.4" customHeight="1" x14ac:dyDescent="0.3">
      <c r="A16" s="95" t="s">
        <v>61</v>
      </c>
      <c r="B16" s="96" t="s">
        <v>62</v>
      </c>
      <c r="C16" s="97" t="s">
        <v>51</v>
      </c>
      <c r="D16" s="97"/>
      <c r="E16" s="97">
        <v>15</v>
      </c>
      <c r="F16" s="97"/>
      <c r="G16" s="97"/>
      <c r="H16" s="97">
        <v>15</v>
      </c>
      <c r="I16" s="95" t="s">
        <v>21</v>
      </c>
      <c r="J16" s="96"/>
      <c r="K16" s="96" t="s">
        <v>55</v>
      </c>
      <c r="L16" s="95"/>
      <c r="M16" s="96"/>
      <c r="N16" s="96"/>
      <c r="O16" s="96"/>
      <c r="P16" s="96"/>
      <c r="Q16" s="98" t="b">
        <v>1</v>
      </c>
      <c r="R16" s="96"/>
      <c r="S16"/>
    </row>
    <row r="17" spans="1:19" ht="14.4" customHeight="1" x14ac:dyDescent="0.3">
      <c r="A17" s="95" t="s">
        <v>63</v>
      </c>
      <c r="B17" s="96" t="s">
        <v>64</v>
      </c>
      <c r="C17" s="97" t="s">
        <v>38</v>
      </c>
      <c r="D17" s="97"/>
      <c r="E17" s="97">
        <v>30</v>
      </c>
      <c r="F17" s="97"/>
      <c r="G17" s="97"/>
      <c r="H17" s="97">
        <v>30</v>
      </c>
      <c r="I17" s="95" t="s">
        <v>21</v>
      </c>
      <c r="J17" s="96"/>
      <c r="K17" s="96" t="s">
        <v>65</v>
      </c>
      <c r="L17" s="95"/>
      <c r="M17" s="96"/>
      <c r="N17" s="96"/>
      <c r="O17" s="96"/>
      <c r="P17" s="96"/>
      <c r="Q17" s="98" t="b">
        <v>1</v>
      </c>
      <c r="R17" s="96"/>
      <c r="S17"/>
    </row>
    <row r="18" spans="1:19" ht="14.4" customHeight="1" x14ac:dyDescent="0.3">
      <c r="A18" s="95" t="s">
        <v>66</v>
      </c>
      <c r="B18" s="96" t="s">
        <v>67</v>
      </c>
      <c r="C18" s="97" t="s">
        <v>34</v>
      </c>
      <c r="D18" s="97"/>
      <c r="E18" s="97">
        <v>30</v>
      </c>
      <c r="F18" s="97">
        <v>30</v>
      </c>
      <c r="G18" s="97"/>
      <c r="H18" s="97">
        <v>60</v>
      </c>
      <c r="I18" s="95" t="s">
        <v>21</v>
      </c>
      <c r="J18" s="96" t="s">
        <v>68</v>
      </c>
      <c r="K18" s="96"/>
      <c r="L18" s="95"/>
      <c r="M18" s="96"/>
      <c r="N18" s="96"/>
      <c r="O18" s="96"/>
      <c r="P18" s="96"/>
      <c r="Q18" s="98" t="b">
        <v>1</v>
      </c>
      <c r="R18" s="96"/>
      <c r="S18"/>
    </row>
    <row r="19" spans="1:19" ht="14.4" customHeight="1" x14ac:dyDescent="0.3">
      <c r="A19" s="95" t="s">
        <v>69</v>
      </c>
      <c r="B19" s="96" t="s">
        <v>70</v>
      </c>
      <c r="C19" s="97" t="s">
        <v>25</v>
      </c>
      <c r="D19" s="97">
        <v>30</v>
      </c>
      <c r="E19" s="97"/>
      <c r="F19" s="97"/>
      <c r="G19" s="97"/>
      <c r="H19" s="97">
        <v>30</v>
      </c>
      <c r="I19" s="95" t="s">
        <v>21</v>
      </c>
      <c r="J19" s="96"/>
      <c r="K19" s="96"/>
      <c r="L19" s="95"/>
      <c r="M19" s="96"/>
      <c r="N19" s="96"/>
      <c r="O19" s="96"/>
      <c r="P19" s="96"/>
      <c r="Q19" s="98" t="b">
        <v>1</v>
      </c>
      <c r="R19" s="96"/>
      <c r="S19"/>
    </row>
    <row r="20" spans="1:19" ht="14.4" customHeight="1" x14ac:dyDescent="0.3">
      <c r="A20" s="95" t="s">
        <v>71</v>
      </c>
      <c r="B20" s="96" t="s">
        <v>72</v>
      </c>
      <c r="C20" s="97" t="s">
        <v>51</v>
      </c>
      <c r="D20" s="97">
        <v>30</v>
      </c>
      <c r="E20" s="97">
        <v>15</v>
      </c>
      <c r="F20" s="97"/>
      <c r="G20" s="97"/>
      <c r="H20" s="97">
        <v>45</v>
      </c>
      <c r="I20" s="95" t="s">
        <v>21</v>
      </c>
      <c r="J20" s="96" t="s">
        <v>26</v>
      </c>
      <c r="K20" s="96"/>
      <c r="L20" s="95"/>
      <c r="M20" s="96"/>
      <c r="N20" s="96"/>
      <c r="O20" s="96"/>
      <c r="P20" s="96"/>
      <c r="Q20" s="98" t="b">
        <v>1</v>
      </c>
      <c r="R20" s="96"/>
      <c r="S20"/>
    </row>
    <row r="21" spans="1:19" ht="14.4" customHeight="1" x14ac:dyDescent="0.3">
      <c r="A21" s="95" t="s">
        <v>73</v>
      </c>
      <c r="B21" s="96" t="s">
        <v>74</v>
      </c>
      <c r="C21" s="97" t="s">
        <v>38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21</v>
      </c>
      <c r="J21" s="96" t="s">
        <v>49</v>
      </c>
      <c r="K21" s="96" t="s">
        <v>75</v>
      </c>
      <c r="L21" s="95"/>
      <c r="M21" s="96"/>
      <c r="N21" s="96"/>
      <c r="O21" s="96"/>
      <c r="P21" s="96"/>
      <c r="Q21" s="98" t="b">
        <v>1</v>
      </c>
      <c r="R21" s="96"/>
      <c r="S21"/>
    </row>
    <row r="22" spans="1:19" ht="14.4" customHeight="1" x14ac:dyDescent="0.3">
      <c r="A22" s="95" t="s">
        <v>76</v>
      </c>
      <c r="B22" s="96" t="s">
        <v>77</v>
      </c>
      <c r="C22" s="97" t="s">
        <v>20</v>
      </c>
      <c r="D22" s="97"/>
      <c r="E22" s="97"/>
      <c r="F22" s="97"/>
      <c r="G22" s="97"/>
      <c r="H22" s="97">
        <v>45</v>
      </c>
      <c r="I22" s="95" t="s">
        <v>21</v>
      </c>
      <c r="J22" s="96" t="s">
        <v>22</v>
      </c>
      <c r="K22" s="96"/>
      <c r="L22" s="95"/>
      <c r="M22" s="96"/>
      <c r="N22" s="96"/>
      <c r="O22" s="96"/>
      <c r="P22" s="96"/>
      <c r="Q22" s="98" t="b">
        <v>1</v>
      </c>
      <c r="R22" s="96"/>
      <c r="S22"/>
    </row>
    <row r="23" spans="1:19" ht="14.4" customHeight="1" x14ac:dyDescent="0.3">
      <c r="A23" s="95" t="s">
        <v>78</v>
      </c>
      <c r="B23" s="96" t="s">
        <v>79</v>
      </c>
      <c r="C23" s="97" t="s">
        <v>20</v>
      </c>
      <c r="D23" s="97">
        <v>60</v>
      </c>
      <c r="E23" s="97">
        <v>15</v>
      </c>
      <c r="F23" s="97"/>
      <c r="G23" s="97"/>
      <c r="H23" s="97">
        <v>75</v>
      </c>
      <c r="I23" s="95" t="s">
        <v>21</v>
      </c>
      <c r="J23" s="96"/>
      <c r="K23" s="96"/>
      <c r="L23" s="95"/>
      <c r="M23" s="96"/>
      <c r="N23" s="96"/>
      <c r="O23" s="96"/>
      <c r="P23" s="96"/>
      <c r="Q23" s="98" t="b">
        <v>1</v>
      </c>
      <c r="R23" s="96"/>
      <c r="S23"/>
    </row>
    <row r="24" spans="1:19" ht="14.4" customHeight="1" x14ac:dyDescent="0.3">
      <c r="A24" s="95" t="s">
        <v>80</v>
      </c>
      <c r="B24" s="96" t="s">
        <v>81</v>
      </c>
      <c r="C24" s="97" t="s">
        <v>20</v>
      </c>
      <c r="D24" s="97">
        <v>30</v>
      </c>
      <c r="E24" s="97"/>
      <c r="F24" s="97"/>
      <c r="G24" s="97"/>
      <c r="H24" s="97">
        <v>30</v>
      </c>
      <c r="I24" s="95" t="s">
        <v>21</v>
      </c>
      <c r="J24" s="96"/>
      <c r="K24" s="96"/>
      <c r="L24" s="95"/>
      <c r="M24" s="96"/>
      <c r="N24" s="96"/>
      <c r="O24" s="96"/>
      <c r="P24" s="96"/>
      <c r="Q24" s="98" t="b">
        <v>1</v>
      </c>
      <c r="R24" s="96"/>
      <c r="S24"/>
    </row>
    <row r="25" spans="1:19" ht="14.4" customHeight="1" x14ac:dyDescent="0.3">
      <c r="A25" s="95" t="s">
        <v>82</v>
      </c>
      <c r="B25" s="96" t="s">
        <v>83</v>
      </c>
      <c r="C25" s="97" t="s">
        <v>34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21</v>
      </c>
      <c r="J25" s="96" t="s">
        <v>41</v>
      </c>
      <c r="K25" s="96"/>
      <c r="L25" s="95"/>
      <c r="M25" s="96"/>
      <c r="N25" s="96"/>
      <c r="O25" s="96"/>
      <c r="P25" s="96"/>
      <c r="Q25" s="98" t="b">
        <v>1</v>
      </c>
      <c r="R25" s="96"/>
      <c r="S25"/>
    </row>
    <row r="26" spans="1:19" ht="14.4" customHeight="1" x14ac:dyDescent="0.3">
      <c r="A26" s="95" t="s">
        <v>84</v>
      </c>
      <c r="B26" s="96" t="s">
        <v>85</v>
      </c>
      <c r="C26" s="97" t="s">
        <v>38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21</v>
      </c>
      <c r="J26" s="96" t="s">
        <v>86</v>
      </c>
      <c r="K26" s="96"/>
      <c r="L26" s="95"/>
      <c r="M26" s="96"/>
      <c r="N26" s="96"/>
      <c r="O26" s="96"/>
      <c r="P26" s="96"/>
      <c r="Q26" s="98" t="b">
        <v>1</v>
      </c>
      <c r="R26" s="96"/>
      <c r="S26"/>
    </row>
    <row r="27" spans="1:19" ht="14.4" customHeight="1" x14ac:dyDescent="0.3">
      <c r="A27" s="95" t="s">
        <v>87</v>
      </c>
      <c r="B27" s="96" t="s">
        <v>88</v>
      </c>
      <c r="C27" s="97" t="s">
        <v>51</v>
      </c>
      <c r="D27" s="97">
        <v>60</v>
      </c>
      <c r="E27" s="97"/>
      <c r="F27" s="97">
        <v>30</v>
      </c>
      <c r="G27" s="97"/>
      <c r="H27" s="97">
        <v>90</v>
      </c>
      <c r="I27" s="95" t="s">
        <v>21</v>
      </c>
      <c r="J27" s="96" t="s">
        <v>26</v>
      </c>
      <c r="K27" s="96"/>
      <c r="L27" s="95"/>
      <c r="M27" s="96"/>
      <c r="N27" s="96"/>
      <c r="O27" s="96"/>
      <c r="P27" s="96"/>
      <c r="Q27" s="98" t="b">
        <v>1</v>
      </c>
      <c r="R27" s="96"/>
      <c r="S27"/>
    </row>
    <row r="28" spans="1:19" ht="14.4" customHeight="1" x14ac:dyDescent="0.3">
      <c r="A28" s="95" t="s">
        <v>89</v>
      </c>
      <c r="B28" s="96" t="s">
        <v>90</v>
      </c>
      <c r="C28" s="97" t="s">
        <v>34</v>
      </c>
      <c r="D28" s="97">
        <v>90</v>
      </c>
      <c r="E28" s="97"/>
      <c r="F28" s="97"/>
      <c r="G28" s="97"/>
      <c r="H28" s="97">
        <v>90</v>
      </c>
      <c r="I28" s="95" t="s">
        <v>21</v>
      </c>
      <c r="J28" s="96" t="s">
        <v>87</v>
      </c>
      <c r="K28" s="96"/>
      <c r="L28" s="95"/>
      <c r="M28" s="96"/>
      <c r="N28" s="96"/>
      <c r="O28" s="96"/>
      <c r="P28" s="96"/>
      <c r="Q28" s="98" t="b">
        <v>1</v>
      </c>
      <c r="R28" s="96"/>
      <c r="S28"/>
    </row>
    <row r="29" spans="1:19" ht="14.4" customHeight="1" x14ac:dyDescent="0.3">
      <c r="A29" s="95" t="s">
        <v>91</v>
      </c>
      <c r="B29" s="96" t="s">
        <v>92</v>
      </c>
      <c r="C29" s="97"/>
      <c r="D29" s="97">
        <v>60</v>
      </c>
      <c r="E29" s="97"/>
      <c r="F29" s="97"/>
      <c r="G29" s="97"/>
      <c r="H29" s="97">
        <v>60</v>
      </c>
      <c r="I29" s="95" t="s">
        <v>93</v>
      </c>
      <c r="J29" s="96" t="s">
        <v>94</v>
      </c>
      <c r="K29" s="96"/>
      <c r="L29" s="95"/>
      <c r="M29" s="96"/>
      <c r="N29" s="96"/>
      <c r="O29" s="96"/>
      <c r="P29" s="96"/>
      <c r="Q29" s="98" t="b">
        <v>1</v>
      </c>
      <c r="R29" s="96"/>
      <c r="S29"/>
    </row>
    <row r="30" spans="1:19" ht="14.4" customHeight="1" x14ac:dyDescent="0.3">
      <c r="A30" s="95" t="s">
        <v>95</v>
      </c>
      <c r="B30" s="96" t="s">
        <v>96</v>
      </c>
      <c r="C30" s="97"/>
      <c r="D30" s="97">
        <v>60</v>
      </c>
      <c r="E30" s="97"/>
      <c r="F30" s="97"/>
      <c r="G30" s="97"/>
      <c r="H30" s="97">
        <v>60</v>
      </c>
      <c r="I30" s="95" t="s">
        <v>93</v>
      </c>
      <c r="J30" s="96" t="s">
        <v>94</v>
      </c>
      <c r="K30" s="96"/>
      <c r="L30" s="95"/>
      <c r="M30" s="96"/>
      <c r="N30" s="96"/>
      <c r="O30" s="96"/>
      <c r="P30" s="96"/>
      <c r="Q30" s="98" t="b">
        <v>1</v>
      </c>
      <c r="R30" s="96"/>
      <c r="S30"/>
    </row>
    <row r="31" spans="1:19" ht="14.4" customHeight="1" x14ac:dyDescent="0.3">
      <c r="A31" s="95" t="s">
        <v>97</v>
      </c>
      <c r="B31" s="96" t="s">
        <v>98</v>
      </c>
      <c r="C31" s="97"/>
      <c r="D31" s="97">
        <v>60</v>
      </c>
      <c r="E31" s="97"/>
      <c r="F31" s="97"/>
      <c r="G31" s="97"/>
      <c r="H31" s="97">
        <v>60</v>
      </c>
      <c r="I31" s="95" t="s">
        <v>93</v>
      </c>
      <c r="J31" s="96" t="s">
        <v>94</v>
      </c>
      <c r="K31" s="96"/>
      <c r="L31" s="95"/>
      <c r="M31" s="96"/>
      <c r="N31" s="96"/>
      <c r="O31" s="96"/>
      <c r="P31" s="96"/>
      <c r="Q31" s="98" t="b">
        <v>1</v>
      </c>
      <c r="R31" s="96"/>
      <c r="S31"/>
    </row>
    <row r="32" spans="1:19" ht="14.4" customHeight="1" x14ac:dyDescent="0.3">
      <c r="A32" s="95" t="s">
        <v>99</v>
      </c>
      <c r="B32" s="96" t="s">
        <v>100</v>
      </c>
      <c r="C32" s="97"/>
      <c r="D32" s="97">
        <v>60</v>
      </c>
      <c r="E32" s="97"/>
      <c r="F32" s="97"/>
      <c r="G32" s="97"/>
      <c r="H32" s="97">
        <v>60</v>
      </c>
      <c r="I32" s="95" t="s">
        <v>93</v>
      </c>
      <c r="J32" s="96" t="s">
        <v>94</v>
      </c>
      <c r="K32" s="96"/>
      <c r="L32" s="95"/>
      <c r="M32" s="96"/>
      <c r="N32" s="96"/>
      <c r="O32" s="96"/>
      <c r="P32" s="96"/>
      <c r="Q32" s="98" t="b">
        <v>1</v>
      </c>
      <c r="R32" s="96"/>
      <c r="S32"/>
    </row>
    <row r="33" spans="1:19" ht="14.4" customHeight="1" x14ac:dyDescent="0.3">
      <c r="A33" s="95" t="s">
        <v>43</v>
      </c>
      <c r="B33" s="96" t="s">
        <v>101</v>
      </c>
      <c r="C33" s="97" t="s">
        <v>25</v>
      </c>
      <c r="D33" s="97">
        <v>30</v>
      </c>
      <c r="E33" s="97">
        <v>30</v>
      </c>
      <c r="F33" s="97"/>
      <c r="G33" s="97"/>
      <c r="H33" s="97">
        <v>60</v>
      </c>
      <c r="I33" s="95" t="s">
        <v>21</v>
      </c>
      <c r="J33" s="96"/>
      <c r="K33" s="96" t="s">
        <v>44</v>
      </c>
      <c r="L33" s="95"/>
      <c r="M33" s="96"/>
      <c r="N33" s="96"/>
      <c r="O33" s="96"/>
      <c r="P33" s="96"/>
      <c r="Q33" s="98" t="b">
        <v>1</v>
      </c>
      <c r="R33" s="96"/>
      <c r="S33"/>
    </row>
    <row r="34" spans="1:19" ht="14.4" customHeight="1" x14ac:dyDescent="0.3">
      <c r="A34" s="95" t="s">
        <v>102</v>
      </c>
      <c r="B34" s="96" t="s">
        <v>103</v>
      </c>
      <c r="C34" s="97" t="s">
        <v>20</v>
      </c>
      <c r="D34" s="97">
        <v>30</v>
      </c>
      <c r="E34" s="97"/>
      <c r="F34" s="97"/>
      <c r="G34" s="97"/>
      <c r="H34" s="97">
        <v>30</v>
      </c>
      <c r="I34" s="95" t="s">
        <v>21</v>
      </c>
      <c r="J34" s="96"/>
      <c r="K34" s="96" t="s">
        <v>104</v>
      </c>
      <c r="L34" s="95"/>
      <c r="M34" s="96"/>
      <c r="N34" s="96"/>
      <c r="O34" s="96"/>
      <c r="P34" s="96"/>
      <c r="Q34" s="98" t="b">
        <v>1</v>
      </c>
      <c r="R34" s="96"/>
      <c r="S34"/>
    </row>
    <row r="35" spans="1:19" ht="14.4" customHeight="1" x14ac:dyDescent="0.3">
      <c r="A35" s="95" t="s">
        <v>105</v>
      </c>
      <c r="B35" s="96" t="s">
        <v>106</v>
      </c>
      <c r="C35" s="97" t="s">
        <v>20</v>
      </c>
      <c r="D35" s="97"/>
      <c r="E35" s="97">
        <v>30</v>
      </c>
      <c r="F35" s="97"/>
      <c r="G35" s="97"/>
      <c r="H35" s="97">
        <v>30</v>
      </c>
      <c r="I35" s="95" t="s">
        <v>21</v>
      </c>
      <c r="J35" s="96"/>
      <c r="K35" s="96" t="s">
        <v>107</v>
      </c>
      <c r="L35" s="95"/>
      <c r="M35" s="96"/>
      <c r="N35" s="96"/>
      <c r="O35" s="96"/>
      <c r="P35" s="96"/>
      <c r="Q35" s="98" t="b">
        <v>1</v>
      </c>
      <c r="R35" s="96"/>
      <c r="S35"/>
    </row>
    <row r="36" spans="1:19" ht="14.4" customHeight="1" x14ac:dyDescent="0.3">
      <c r="A36" s="95" t="s">
        <v>108</v>
      </c>
      <c r="B36" s="96" t="s">
        <v>109</v>
      </c>
      <c r="C36" s="97" t="s">
        <v>20</v>
      </c>
      <c r="D36" s="97"/>
      <c r="E36" s="97"/>
      <c r="F36" s="97"/>
      <c r="G36" s="97"/>
      <c r="H36" s="97">
        <v>120</v>
      </c>
      <c r="I36" s="95" t="s">
        <v>110</v>
      </c>
      <c r="J36" s="96" t="s">
        <v>22</v>
      </c>
      <c r="K36" s="96"/>
      <c r="L36" s="95"/>
      <c r="M36" s="96"/>
      <c r="N36" s="96"/>
      <c r="O36" s="96"/>
      <c r="P36" s="96"/>
      <c r="Q36" s="98" t="b">
        <v>1</v>
      </c>
      <c r="R36" s="96"/>
      <c r="S36"/>
    </row>
    <row r="37" spans="1:19" ht="14.4" customHeight="1" x14ac:dyDescent="0.3">
      <c r="A37" s="95" t="s">
        <v>111</v>
      </c>
      <c r="B37" s="96" t="s">
        <v>112</v>
      </c>
      <c r="C37" s="97" t="s">
        <v>51</v>
      </c>
      <c r="D37" s="97">
        <v>30</v>
      </c>
      <c r="E37" s="97">
        <v>30</v>
      </c>
      <c r="F37" s="97"/>
      <c r="G37" s="97"/>
      <c r="H37" s="97">
        <v>60</v>
      </c>
      <c r="I37" s="95" t="s">
        <v>21</v>
      </c>
      <c r="J37" s="96" t="s">
        <v>41</v>
      </c>
      <c r="K37" s="96"/>
      <c r="L37" s="95"/>
      <c r="M37" s="96"/>
      <c r="N37" s="96"/>
      <c r="O37" s="96"/>
      <c r="P37" s="96"/>
      <c r="Q37" s="98" t="b">
        <v>1</v>
      </c>
      <c r="R37" s="96"/>
      <c r="S37"/>
    </row>
    <row r="38" spans="1:19" ht="14.4" customHeight="1" x14ac:dyDescent="0.3">
      <c r="A38" s="95" t="s">
        <v>113</v>
      </c>
      <c r="B38" s="96" t="s">
        <v>114</v>
      </c>
      <c r="C38" s="97" t="s">
        <v>34</v>
      </c>
      <c r="D38" s="97">
        <v>30</v>
      </c>
      <c r="E38" s="97">
        <v>30</v>
      </c>
      <c r="F38" s="97"/>
      <c r="G38" s="97"/>
      <c r="H38" s="97">
        <v>60</v>
      </c>
      <c r="I38" s="95" t="s">
        <v>21</v>
      </c>
      <c r="J38" s="96" t="s">
        <v>111</v>
      </c>
      <c r="K38" s="96"/>
      <c r="L38" s="95"/>
      <c r="M38" s="96"/>
      <c r="N38" s="96"/>
      <c r="O38" s="96"/>
      <c r="P38" s="96"/>
      <c r="Q38" s="98" t="b">
        <v>1</v>
      </c>
      <c r="R38" s="96"/>
      <c r="S38"/>
    </row>
    <row r="39" spans="1:19" ht="14.4" customHeight="1" x14ac:dyDescent="0.3">
      <c r="A39" s="95" t="s">
        <v>115</v>
      </c>
      <c r="B39" s="96" t="s">
        <v>64</v>
      </c>
      <c r="C39" s="97" t="s">
        <v>38</v>
      </c>
      <c r="D39" s="97"/>
      <c r="E39" s="97">
        <v>30</v>
      </c>
      <c r="F39" s="97"/>
      <c r="G39" s="97"/>
      <c r="H39" s="97">
        <v>30</v>
      </c>
      <c r="I39" s="95" t="s">
        <v>21</v>
      </c>
      <c r="J39" s="96"/>
      <c r="K39" s="96" t="s">
        <v>116</v>
      </c>
      <c r="L39" s="95"/>
      <c r="M39" s="96"/>
      <c r="N39" s="96"/>
      <c r="O39" s="96"/>
      <c r="P39" s="96"/>
      <c r="Q39" s="98" t="b">
        <v>1</v>
      </c>
      <c r="R39" s="96"/>
      <c r="S39"/>
    </row>
    <row r="40" spans="1:19" ht="14.4" customHeight="1" x14ac:dyDescent="0.3">
      <c r="A40" s="95" t="s">
        <v>75</v>
      </c>
      <c r="B40" s="96" t="s">
        <v>117</v>
      </c>
      <c r="C40" s="97" t="s">
        <v>38</v>
      </c>
      <c r="D40" s="97">
        <v>60</v>
      </c>
      <c r="E40" s="97"/>
      <c r="F40" s="97">
        <v>15</v>
      </c>
      <c r="G40" s="97"/>
      <c r="H40" s="97">
        <v>75</v>
      </c>
      <c r="I40" s="95" t="s">
        <v>21</v>
      </c>
      <c r="J40" s="96"/>
      <c r="K40" s="96" t="s">
        <v>118</v>
      </c>
      <c r="L40" s="95"/>
      <c r="M40" s="96"/>
      <c r="N40" s="96"/>
      <c r="O40" s="96"/>
      <c r="P40" s="96"/>
      <c r="Q40" s="98" t="b">
        <v>1</v>
      </c>
      <c r="R40" s="96"/>
      <c r="S40"/>
    </row>
    <row r="41" spans="1:19" ht="14.4" customHeight="1" x14ac:dyDescent="0.3">
      <c r="A41" s="95" t="s">
        <v>119</v>
      </c>
      <c r="B41" s="96" t="s">
        <v>120</v>
      </c>
      <c r="C41" s="97" t="s">
        <v>25</v>
      </c>
      <c r="D41" s="97">
        <v>60</v>
      </c>
      <c r="E41" s="97"/>
      <c r="F41" s="97"/>
      <c r="G41" s="97"/>
      <c r="H41" s="97">
        <v>60</v>
      </c>
      <c r="I41" s="95" t="s">
        <v>21</v>
      </c>
      <c r="J41" s="96"/>
      <c r="K41" s="96"/>
      <c r="L41" s="95"/>
      <c r="M41" s="96"/>
      <c r="N41" s="96"/>
      <c r="O41" s="96"/>
      <c r="P41" s="96"/>
      <c r="Q41" s="98" t="b">
        <v>1</v>
      </c>
      <c r="R41" s="96"/>
      <c r="S41"/>
    </row>
    <row r="42" spans="1:19" ht="14.4" customHeight="1" x14ac:dyDescent="0.3">
      <c r="A42" s="95" t="s">
        <v>121</v>
      </c>
      <c r="B42" s="96" t="s">
        <v>122</v>
      </c>
      <c r="C42" s="97" t="s">
        <v>34</v>
      </c>
      <c r="D42" s="97">
        <v>45</v>
      </c>
      <c r="E42" s="97">
        <v>15</v>
      </c>
      <c r="F42" s="97"/>
      <c r="G42" s="97"/>
      <c r="H42" s="97">
        <v>60</v>
      </c>
      <c r="I42" s="95" t="s">
        <v>21</v>
      </c>
      <c r="J42" s="96" t="s">
        <v>123</v>
      </c>
      <c r="K42" s="96"/>
      <c r="L42" s="95"/>
      <c r="M42" s="96"/>
      <c r="N42" s="96"/>
      <c r="O42" s="96"/>
      <c r="P42" s="96"/>
      <c r="Q42" s="98" t="b">
        <v>1</v>
      </c>
      <c r="R42" s="96"/>
      <c r="S42"/>
    </row>
    <row r="43" spans="1:19" ht="14.4" customHeight="1" x14ac:dyDescent="0.3">
      <c r="A43" s="95" t="s">
        <v>123</v>
      </c>
      <c r="B43" s="96" t="s">
        <v>124</v>
      </c>
      <c r="C43" s="97" t="s">
        <v>51</v>
      </c>
      <c r="D43" s="97">
        <v>60</v>
      </c>
      <c r="E43" s="97"/>
      <c r="F43" s="97"/>
      <c r="G43" s="97"/>
      <c r="H43" s="97">
        <v>60</v>
      </c>
      <c r="I43" s="95" t="s">
        <v>21</v>
      </c>
      <c r="J43" s="96" t="s">
        <v>23</v>
      </c>
      <c r="K43" s="96"/>
      <c r="L43" s="95"/>
      <c r="M43" s="96"/>
      <c r="N43" s="96"/>
      <c r="O43" s="96"/>
      <c r="P43" s="96"/>
      <c r="Q43" s="98" t="b">
        <v>1</v>
      </c>
      <c r="R43" s="96"/>
      <c r="S43"/>
    </row>
    <row r="44" spans="1:19" ht="14.4" customHeight="1" x14ac:dyDescent="0.3">
      <c r="A44" s="95" t="s">
        <v>125</v>
      </c>
      <c r="B44" s="96" t="s">
        <v>126</v>
      </c>
      <c r="C44" s="97" t="s">
        <v>28</v>
      </c>
      <c r="D44" s="97">
        <v>60</v>
      </c>
      <c r="E44" s="97"/>
      <c r="F44" s="97"/>
      <c r="G44" s="97"/>
      <c r="H44" s="97">
        <v>60</v>
      </c>
      <c r="I44" s="95" t="s">
        <v>21</v>
      </c>
      <c r="J44" s="96" t="s">
        <v>23</v>
      </c>
      <c r="K44" s="96" t="s">
        <v>127</v>
      </c>
      <c r="L44" s="95"/>
      <c r="M44" s="96"/>
      <c r="N44" s="96"/>
      <c r="O44" s="96"/>
      <c r="P44" s="96"/>
      <c r="Q44" s="98" t="b">
        <v>1</v>
      </c>
      <c r="R44" s="96"/>
      <c r="S44"/>
    </row>
    <row r="45" spans="1:19" ht="14.4" customHeight="1" x14ac:dyDescent="0.3">
      <c r="A45" s="95" t="s">
        <v>127</v>
      </c>
      <c r="B45" s="96" t="s">
        <v>128</v>
      </c>
      <c r="C45" s="97" t="s">
        <v>28</v>
      </c>
      <c r="D45" s="97"/>
      <c r="E45" s="97">
        <v>30</v>
      </c>
      <c r="F45" s="97"/>
      <c r="G45" s="97"/>
      <c r="H45" s="97">
        <v>30</v>
      </c>
      <c r="I45" s="95" t="s">
        <v>21</v>
      </c>
      <c r="J45" s="96" t="s">
        <v>23</v>
      </c>
      <c r="K45" s="96" t="s">
        <v>125</v>
      </c>
      <c r="L45" s="95"/>
      <c r="M45" s="96"/>
      <c r="N45" s="96"/>
      <c r="O45" s="96"/>
      <c r="P45" s="96"/>
      <c r="Q45" s="98" t="b">
        <v>1</v>
      </c>
      <c r="R45" s="96"/>
      <c r="S45"/>
    </row>
  </sheetData>
  <sortState xmlns:xlrd2="http://schemas.microsoft.com/office/spreadsheetml/2017/richdata2" ref="A2:S45">
    <sortCondition ref="S2:S45"/>
  </sortState>
  <conditionalFormatting sqref="A2:R28 A29:H32 A33:R44 J29:R32">
    <cfRule type="expression" dxfId="20" priority="4">
      <formula>MOD(ROW(),2)=0</formula>
    </cfRule>
  </conditionalFormatting>
  <conditionalFormatting sqref="J2:J45">
    <cfRule type="expression" dxfId="19" priority="5">
      <formula>J2=TRUE</formula>
    </cfRule>
    <cfRule type="expression" dxfId="18" priority="6">
      <formula>J2=FALSE</formula>
    </cfRule>
  </conditionalFormatting>
  <conditionalFormatting sqref="R2:R45">
    <cfRule type="expression" dxfId="17" priority="7">
      <formula>R2=TRUE</formula>
    </cfRule>
    <cfRule type="expression" dxfId="16" priority="8">
      <formula>R2=FALSE</formula>
    </cfRule>
  </conditionalFormatting>
  <conditionalFormatting sqref="A45:R45">
    <cfRule type="expression" dxfId="15" priority="3">
      <formula>MOD(ROW(),2)=0</formula>
    </cfRule>
  </conditionalFormatting>
  <conditionalFormatting sqref="I29:I30">
    <cfRule type="expression" dxfId="14" priority="2">
      <formula>MOD(ROW(),2)=0</formula>
    </cfRule>
  </conditionalFormatting>
  <conditionalFormatting sqref="I31:I32">
    <cfRule type="expression" dxfId="13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6640625" customWidth="1"/>
    <col min="3" max="3" width="77.6640625" customWidth="1"/>
  </cols>
  <sheetData>
    <row r="1" spans="1:3" ht="22.2" customHeight="1" x14ac:dyDescent="0.3">
      <c r="A1" s="94" t="s">
        <v>275</v>
      </c>
      <c r="B1" s="94" t="s">
        <v>276</v>
      </c>
      <c r="C1" s="94" t="s">
        <v>277</v>
      </c>
    </row>
    <row r="2" spans="1:3" x14ac:dyDescent="0.3">
      <c r="A2" s="99" t="s">
        <v>278</v>
      </c>
      <c r="B2" s="99" t="s">
        <v>279</v>
      </c>
      <c r="C2" s="100" t="s">
        <v>280</v>
      </c>
    </row>
    <row r="3" spans="1:3" x14ac:dyDescent="0.3">
      <c r="A3" s="99" t="s">
        <v>281</v>
      </c>
      <c r="B3" s="99" t="s">
        <v>282</v>
      </c>
      <c r="C3" s="100" t="s">
        <v>283</v>
      </c>
    </row>
    <row r="4" spans="1:3" x14ac:dyDescent="0.3">
      <c r="A4" s="99" t="s">
        <v>284</v>
      </c>
      <c r="B4" s="99" t="s">
        <v>285</v>
      </c>
      <c r="C4" s="100" t="s">
        <v>286</v>
      </c>
    </row>
    <row r="5" spans="1:3" x14ac:dyDescent="0.3">
      <c r="A5" s="99" t="s">
        <v>287</v>
      </c>
      <c r="B5" s="99" t="s">
        <v>288</v>
      </c>
      <c r="C5" s="100" t="s">
        <v>289</v>
      </c>
    </row>
    <row r="6" spans="1:3" x14ac:dyDescent="0.3">
      <c r="A6" s="99" t="s">
        <v>290</v>
      </c>
      <c r="B6" s="99" t="s">
        <v>291</v>
      </c>
      <c r="C6" s="100" t="s">
        <v>292</v>
      </c>
    </row>
    <row r="7" spans="1:3" x14ac:dyDescent="0.3">
      <c r="A7" s="99" t="s">
        <v>293</v>
      </c>
      <c r="B7" s="99" t="s">
        <v>294</v>
      </c>
      <c r="C7" s="100" t="s">
        <v>295</v>
      </c>
    </row>
    <row r="8" spans="1:3" x14ac:dyDescent="0.3">
      <c r="A8" s="99" t="s">
        <v>296</v>
      </c>
      <c r="B8" s="99" t="s">
        <v>294</v>
      </c>
      <c r="C8" s="100" t="s">
        <v>295</v>
      </c>
    </row>
    <row r="9" spans="1:3" x14ac:dyDescent="0.3">
      <c r="A9" s="99" t="s">
        <v>297</v>
      </c>
      <c r="B9" s="99" t="s">
        <v>279</v>
      </c>
      <c r="C9" s="100" t="s">
        <v>298</v>
      </c>
    </row>
    <row r="10" spans="1:3" x14ac:dyDescent="0.3">
      <c r="A10" s="99" t="s">
        <v>299</v>
      </c>
      <c r="B10" s="99" t="s">
        <v>300</v>
      </c>
      <c r="C10" s="100" t="s">
        <v>301</v>
      </c>
    </row>
    <row r="11" spans="1:3" x14ac:dyDescent="0.3">
      <c r="A11" s="99" t="s">
        <v>302</v>
      </c>
      <c r="B11" s="99" t="s">
        <v>300</v>
      </c>
      <c r="C11" s="100" t="s">
        <v>301</v>
      </c>
    </row>
    <row r="12" spans="1:3" x14ac:dyDescent="0.3">
      <c r="A12" s="99" t="s">
        <v>303</v>
      </c>
      <c r="B12" s="99" t="s">
        <v>304</v>
      </c>
      <c r="C12" s="100" t="s">
        <v>305</v>
      </c>
    </row>
    <row r="13" spans="1:3" x14ac:dyDescent="0.3">
      <c r="A13" s="99" t="s">
        <v>306</v>
      </c>
      <c r="B13" s="99" t="s">
        <v>307</v>
      </c>
      <c r="C13" s="100" t="s">
        <v>308</v>
      </c>
    </row>
    <row r="14" spans="1:3" x14ac:dyDescent="0.3">
      <c r="A14" s="99" t="s">
        <v>309</v>
      </c>
      <c r="B14" s="99" t="s">
        <v>291</v>
      </c>
      <c r="C14" s="100" t="s">
        <v>310</v>
      </c>
    </row>
    <row r="15" spans="1:3" x14ac:dyDescent="0.3">
      <c r="A15" s="99" t="s">
        <v>311</v>
      </c>
      <c r="B15" s="99" t="s">
        <v>288</v>
      </c>
      <c r="C15" s="100" t="s">
        <v>312</v>
      </c>
    </row>
    <row r="16" spans="1:3" x14ac:dyDescent="0.3">
      <c r="A16" s="99" t="s">
        <v>313</v>
      </c>
      <c r="B16" s="99" t="s">
        <v>314</v>
      </c>
      <c r="C16" s="100" t="s">
        <v>315</v>
      </c>
    </row>
    <row r="17" spans="1:3" x14ac:dyDescent="0.3">
      <c r="A17" s="99" t="s">
        <v>316</v>
      </c>
      <c r="B17" s="99" t="s">
        <v>314</v>
      </c>
      <c r="C17" s="100" t="s">
        <v>315</v>
      </c>
    </row>
    <row r="18" spans="1:3" x14ac:dyDescent="0.3">
      <c r="A18" s="99" t="s">
        <v>317</v>
      </c>
      <c r="B18" s="99" t="s">
        <v>318</v>
      </c>
      <c r="C18" s="100" t="s">
        <v>319</v>
      </c>
    </row>
    <row r="19" spans="1:3" x14ac:dyDescent="0.3">
      <c r="A19" s="99" t="s">
        <v>320</v>
      </c>
      <c r="B19" s="99" t="s">
        <v>321</v>
      </c>
      <c r="C19" s="100" t="s">
        <v>322</v>
      </c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2.33203125" customWidth="1"/>
    <col min="2" max="2" width="48.109375" customWidth="1"/>
    <col min="3" max="4" width="83.33203125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60" customHeight="1" x14ac:dyDescent="0.3">
      <c r="A2" s="100" t="s">
        <v>326</v>
      </c>
      <c r="B2" s="100" t="s">
        <v>327</v>
      </c>
      <c r="C2" s="100" t="s">
        <v>328</v>
      </c>
      <c r="D2" s="100" t="s">
        <v>329</v>
      </c>
    </row>
    <row r="3" spans="1:4" ht="60" customHeight="1" x14ac:dyDescent="0.3">
      <c r="A3" s="100" t="s">
        <v>330</v>
      </c>
      <c r="B3" s="100" t="s">
        <v>331</v>
      </c>
      <c r="C3" s="100" t="s">
        <v>332</v>
      </c>
      <c r="D3" s="100" t="s">
        <v>1000</v>
      </c>
    </row>
    <row r="4" spans="1:4" ht="60" customHeight="1" x14ac:dyDescent="0.3">
      <c r="A4" s="100" t="s">
        <v>333</v>
      </c>
      <c r="B4" s="100" t="s">
        <v>334</v>
      </c>
      <c r="C4" s="100" t="s">
        <v>335</v>
      </c>
      <c r="D4" s="100" t="s">
        <v>998</v>
      </c>
    </row>
    <row r="5" spans="1:4" ht="100.95" customHeight="1" x14ac:dyDescent="0.3">
      <c r="A5" s="100" t="s">
        <v>336</v>
      </c>
      <c r="B5" s="100" t="s">
        <v>337</v>
      </c>
      <c r="C5" s="100" t="s">
        <v>338</v>
      </c>
      <c r="D5" s="100" t="s">
        <v>999</v>
      </c>
    </row>
    <row r="6" spans="1:4" ht="28.95" customHeight="1" x14ac:dyDescent="0.3">
      <c r="A6" s="100" t="s">
        <v>339</v>
      </c>
      <c r="B6" s="100" t="s">
        <v>340</v>
      </c>
      <c r="C6" s="100" t="s">
        <v>341</v>
      </c>
      <c r="D6" s="100" t="s">
        <v>342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57.6" customHeight="1" x14ac:dyDescent="0.3">
      <c r="A2" s="100" t="s">
        <v>343</v>
      </c>
      <c r="B2" s="100" t="s">
        <v>344</v>
      </c>
      <c r="C2" s="100" t="s">
        <v>345</v>
      </c>
      <c r="D2" s="100" t="s">
        <v>346</v>
      </c>
    </row>
    <row r="3" spans="1:4" ht="28.95" customHeight="1" x14ac:dyDescent="0.3">
      <c r="A3" s="100" t="s">
        <v>347</v>
      </c>
      <c r="B3" s="100" t="s">
        <v>348</v>
      </c>
      <c r="C3" s="100" t="s">
        <v>349</v>
      </c>
      <c r="D3" s="100" t="s">
        <v>350</v>
      </c>
    </row>
    <row r="4" spans="1:4" ht="28.95" customHeight="1" x14ac:dyDescent="0.3">
      <c r="A4" s="100" t="s">
        <v>351</v>
      </c>
      <c r="B4" s="100" t="s">
        <v>352</v>
      </c>
      <c r="C4" s="100" t="s">
        <v>353</v>
      </c>
      <c r="D4" s="100" t="s">
        <v>354</v>
      </c>
    </row>
    <row r="5" spans="1:4" ht="28.95" customHeight="1" x14ac:dyDescent="0.3">
      <c r="A5" s="100" t="s">
        <v>355</v>
      </c>
      <c r="B5" s="100" t="s">
        <v>356</v>
      </c>
      <c r="C5" s="100" t="s">
        <v>357</v>
      </c>
      <c r="D5" s="100" t="s">
        <v>358</v>
      </c>
    </row>
    <row r="6" spans="1:4" ht="28.95" customHeight="1" x14ac:dyDescent="0.3">
      <c r="A6" s="100" t="s">
        <v>359</v>
      </c>
      <c r="B6" s="100" t="s">
        <v>360</v>
      </c>
      <c r="C6" s="100" t="s">
        <v>361</v>
      </c>
      <c r="D6" s="100" t="s">
        <v>362</v>
      </c>
    </row>
    <row r="7" spans="1:4" ht="28.95" customHeight="1" x14ac:dyDescent="0.3">
      <c r="A7" s="100" t="s">
        <v>363</v>
      </c>
      <c r="B7" s="100" t="s">
        <v>364</v>
      </c>
      <c r="C7" s="100" t="s">
        <v>365</v>
      </c>
      <c r="D7" s="100" t="s">
        <v>366</v>
      </c>
    </row>
    <row r="8" spans="1:4" ht="28.95" customHeight="1" x14ac:dyDescent="0.3">
      <c r="A8" s="100" t="s">
        <v>367</v>
      </c>
      <c r="B8" s="100" t="s">
        <v>368</v>
      </c>
      <c r="C8" s="100" t="s">
        <v>369</v>
      </c>
      <c r="D8" s="100" t="s">
        <v>370</v>
      </c>
    </row>
    <row r="9" spans="1:4" ht="28.95" customHeight="1" x14ac:dyDescent="0.3">
      <c r="A9" s="100" t="s">
        <v>371</v>
      </c>
      <c r="B9" s="100" t="s">
        <v>372</v>
      </c>
      <c r="C9" s="100" t="s">
        <v>373</v>
      </c>
      <c r="D9" s="100" t="s">
        <v>374</v>
      </c>
    </row>
    <row r="10" spans="1:4" ht="28.95" customHeight="1" x14ac:dyDescent="0.3">
      <c r="A10" s="100" t="s">
        <v>375</v>
      </c>
      <c r="B10" s="100" t="s">
        <v>376</v>
      </c>
      <c r="C10" s="100" t="s">
        <v>377</v>
      </c>
      <c r="D10" s="100" t="s">
        <v>378</v>
      </c>
    </row>
    <row r="11" spans="1:4" ht="28.95" customHeight="1" x14ac:dyDescent="0.3">
      <c r="A11" s="100" t="s">
        <v>379</v>
      </c>
      <c r="B11" s="100" t="s">
        <v>380</v>
      </c>
      <c r="C11" s="100" t="s">
        <v>381</v>
      </c>
      <c r="D11" s="100" t="s">
        <v>382</v>
      </c>
    </row>
    <row r="12" spans="1:4" ht="28.95" customHeight="1" x14ac:dyDescent="0.3">
      <c r="A12" s="100" t="s">
        <v>383</v>
      </c>
      <c r="B12" s="100" t="s">
        <v>384</v>
      </c>
      <c r="C12" s="100" t="s">
        <v>385</v>
      </c>
      <c r="D12" s="100" t="s">
        <v>386</v>
      </c>
    </row>
    <row r="13" spans="1:4" ht="28.95" customHeight="1" x14ac:dyDescent="0.3">
      <c r="A13" s="100" t="s">
        <v>387</v>
      </c>
      <c r="B13" s="100" t="s">
        <v>388</v>
      </c>
      <c r="C13" s="100" t="s">
        <v>389</v>
      </c>
      <c r="D13" s="100" t="s">
        <v>390</v>
      </c>
    </row>
    <row r="14" spans="1:4" ht="28.95" customHeight="1" x14ac:dyDescent="0.3">
      <c r="A14" s="100" t="s">
        <v>391</v>
      </c>
      <c r="B14" s="100" t="s">
        <v>392</v>
      </c>
      <c r="C14" s="100" t="s">
        <v>393</v>
      </c>
      <c r="D14" s="100" t="s">
        <v>121</v>
      </c>
    </row>
    <row r="15" spans="1:4" ht="28.95" customHeight="1" x14ac:dyDescent="0.3">
      <c r="A15" s="100" t="s">
        <v>394</v>
      </c>
      <c r="B15" s="100" t="s">
        <v>395</v>
      </c>
      <c r="C15" s="100" t="s">
        <v>396</v>
      </c>
      <c r="D15" s="100" t="s">
        <v>397</v>
      </c>
    </row>
    <row r="16" spans="1:4" ht="28.95" customHeight="1" x14ac:dyDescent="0.3">
      <c r="A16" s="100" t="s">
        <v>398</v>
      </c>
      <c r="B16" s="100" t="s">
        <v>399</v>
      </c>
      <c r="C16" s="100" t="s">
        <v>400</v>
      </c>
      <c r="D16" s="100" t="s">
        <v>401</v>
      </c>
    </row>
    <row r="17" spans="1:4" ht="28.95" customHeight="1" x14ac:dyDescent="0.3">
      <c r="A17" s="100" t="s">
        <v>402</v>
      </c>
      <c r="B17" s="100" t="s">
        <v>403</v>
      </c>
      <c r="C17" s="100" t="s">
        <v>404</v>
      </c>
      <c r="D17" s="100" t="s">
        <v>405</v>
      </c>
    </row>
    <row r="18" spans="1:4" ht="28.95" customHeight="1" x14ac:dyDescent="0.3">
      <c r="A18" s="100" t="s">
        <v>406</v>
      </c>
      <c r="B18" s="100" t="s">
        <v>407</v>
      </c>
      <c r="C18" s="100" t="s">
        <v>408</v>
      </c>
      <c r="D18" s="100" t="s">
        <v>409</v>
      </c>
    </row>
    <row r="19" spans="1:4" ht="28.95" customHeight="1" x14ac:dyDescent="0.3">
      <c r="A19" s="100" t="s">
        <v>410</v>
      </c>
      <c r="B19" s="100" t="s">
        <v>411</v>
      </c>
      <c r="C19" s="100" t="s">
        <v>412</v>
      </c>
      <c r="D19" s="100" t="s">
        <v>413</v>
      </c>
    </row>
    <row r="20" spans="1:4" ht="28.95" customHeight="1" x14ac:dyDescent="0.3">
      <c r="A20" s="100" t="s">
        <v>414</v>
      </c>
      <c r="B20" s="100" t="s">
        <v>415</v>
      </c>
      <c r="C20" s="100" t="s">
        <v>416</v>
      </c>
      <c r="D20" s="100" t="s">
        <v>417</v>
      </c>
    </row>
    <row r="21" spans="1:4" ht="28.95" customHeight="1" x14ac:dyDescent="0.3">
      <c r="A21" s="100" t="s">
        <v>418</v>
      </c>
      <c r="B21" s="100" t="s">
        <v>419</v>
      </c>
      <c r="C21" s="100" t="s">
        <v>420</v>
      </c>
      <c r="D21" s="100" t="s">
        <v>421</v>
      </c>
    </row>
    <row r="22" spans="1:4" ht="28.95" customHeight="1" x14ac:dyDescent="0.3">
      <c r="A22" s="100" t="s">
        <v>422</v>
      </c>
      <c r="B22" s="100" t="s">
        <v>423</v>
      </c>
      <c r="C22" s="100" t="s">
        <v>424</v>
      </c>
      <c r="D22" s="100" t="s">
        <v>425</v>
      </c>
    </row>
    <row r="23" spans="1:4" ht="28.95" customHeight="1" x14ac:dyDescent="0.3">
      <c r="A23" s="100" t="s">
        <v>426</v>
      </c>
      <c r="B23" s="100" t="s">
        <v>427</v>
      </c>
      <c r="C23" s="100" t="s">
        <v>428</v>
      </c>
      <c r="D23" s="100" t="s">
        <v>429</v>
      </c>
    </row>
    <row r="24" spans="1:4" ht="28.95" customHeight="1" x14ac:dyDescent="0.3">
      <c r="A24" s="100" t="s">
        <v>430</v>
      </c>
      <c r="B24" s="100" t="s">
        <v>340</v>
      </c>
      <c r="C24" s="100" t="s">
        <v>431</v>
      </c>
      <c r="D24" s="100" t="s">
        <v>432</v>
      </c>
    </row>
    <row r="25" spans="1:4" ht="28.95" customHeight="1" x14ac:dyDescent="0.3">
      <c r="A25" s="100" t="s">
        <v>433</v>
      </c>
      <c r="B25" s="100" t="s">
        <v>434</v>
      </c>
      <c r="C25" s="100" t="s">
        <v>435</v>
      </c>
      <c r="D25" s="100" t="s">
        <v>436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6640625" customWidth="1"/>
    <col min="2" max="2" width="51.88671875" customWidth="1"/>
    <col min="3" max="3" width="74.109375" customWidth="1"/>
    <col min="4" max="4" width="59.33203125" customWidth="1"/>
    <col min="5" max="5" width="31.44140625" customWidth="1"/>
    <col min="6" max="6" width="46.33203125" customWidth="1"/>
  </cols>
  <sheetData>
    <row r="1" spans="1:6" s="78" customFormat="1" ht="22.2" customHeight="1" x14ac:dyDescent="0.3">
      <c r="A1" s="94" t="s">
        <v>323</v>
      </c>
      <c r="B1" s="94" t="s">
        <v>1</v>
      </c>
      <c r="C1" s="94" t="s">
        <v>324</v>
      </c>
      <c r="D1" s="94" t="s">
        <v>437</v>
      </c>
      <c r="E1" s="94" t="s">
        <v>438</v>
      </c>
      <c r="F1" s="94" t="s">
        <v>325</v>
      </c>
    </row>
    <row r="2" spans="1:6" ht="100.95" customHeight="1" x14ac:dyDescent="0.3">
      <c r="A2" s="100" t="s">
        <v>439</v>
      </c>
      <c r="B2" s="100" t="s">
        <v>440</v>
      </c>
      <c r="C2" s="100" t="s">
        <v>441</v>
      </c>
      <c r="D2" s="100" t="s">
        <v>442</v>
      </c>
      <c r="E2" s="100" t="s">
        <v>443</v>
      </c>
      <c r="F2" s="100" t="s">
        <v>444</v>
      </c>
    </row>
    <row r="3" spans="1:6" ht="43.2" customHeight="1" x14ac:dyDescent="0.3">
      <c r="A3" s="100" t="s">
        <v>445</v>
      </c>
      <c r="B3" s="100" t="s">
        <v>446</v>
      </c>
      <c r="C3" s="100" t="s">
        <v>447</v>
      </c>
      <c r="D3" s="100" t="s">
        <v>448</v>
      </c>
      <c r="E3" s="100" t="s">
        <v>449</v>
      </c>
      <c r="F3" s="100"/>
    </row>
    <row r="4" spans="1:6" ht="43.2" customHeight="1" x14ac:dyDescent="0.3">
      <c r="A4" s="100" t="s">
        <v>450</v>
      </c>
      <c r="B4" s="100" t="s">
        <v>451</v>
      </c>
      <c r="C4" s="100" t="s">
        <v>452</v>
      </c>
      <c r="D4" s="100" t="s">
        <v>453</v>
      </c>
      <c r="E4" s="100" t="s">
        <v>443</v>
      </c>
      <c r="F4" s="100" t="s">
        <v>444</v>
      </c>
    </row>
    <row r="5" spans="1:6" ht="57.6" customHeight="1" x14ac:dyDescent="0.3">
      <c r="A5" s="100" t="s">
        <v>454</v>
      </c>
      <c r="B5" s="100" t="s">
        <v>455</v>
      </c>
      <c r="C5" s="100" t="s">
        <v>456</v>
      </c>
      <c r="D5" s="100" t="s">
        <v>457</v>
      </c>
      <c r="E5" s="100" t="s">
        <v>458</v>
      </c>
      <c r="F5" s="100" t="s">
        <v>459</v>
      </c>
    </row>
    <row r="6" spans="1:6" ht="43.2" customHeight="1" x14ac:dyDescent="0.3">
      <c r="A6" s="100" t="s">
        <v>460</v>
      </c>
      <c r="B6" s="100" t="s">
        <v>461</v>
      </c>
      <c r="C6" s="100" t="s">
        <v>462</v>
      </c>
      <c r="D6" s="100" t="s">
        <v>463</v>
      </c>
      <c r="E6" s="100" t="s">
        <v>464</v>
      </c>
      <c r="F6" s="100" t="s">
        <v>465</v>
      </c>
    </row>
    <row r="7" spans="1:6" ht="100.95" customHeight="1" x14ac:dyDescent="0.3">
      <c r="A7" s="100" t="s">
        <v>466</v>
      </c>
      <c r="B7" s="100" t="s">
        <v>467</v>
      </c>
      <c r="C7" s="100" t="s">
        <v>468</v>
      </c>
      <c r="D7" s="100" t="s">
        <v>469</v>
      </c>
      <c r="E7" s="100" t="s">
        <v>470</v>
      </c>
      <c r="F7" s="100" t="s">
        <v>471</v>
      </c>
    </row>
    <row r="8" spans="1:6" ht="72" customHeight="1" x14ac:dyDescent="0.3">
      <c r="A8" s="100" t="s">
        <v>472</v>
      </c>
      <c r="B8" s="100" t="s">
        <v>473</v>
      </c>
      <c r="C8" s="100" t="s">
        <v>474</v>
      </c>
      <c r="D8" s="100" t="s">
        <v>475</v>
      </c>
      <c r="E8" s="100" t="s">
        <v>476</v>
      </c>
      <c r="F8" s="100" t="s">
        <v>477</v>
      </c>
    </row>
    <row r="9" spans="1:6" ht="43.2" customHeight="1" x14ac:dyDescent="0.3">
      <c r="A9" s="100" t="s">
        <v>478</v>
      </c>
      <c r="B9" s="100" t="s">
        <v>479</v>
      </c>
      <c r="C9" s="100" t="s">
        <v>480</v>
      </c>
      <c r="D9" s="100" t="s">
        <v>481</v>
      </c>
      <c r="E9" s="100" t="s">
        <v>482</v>
      </c>
      <c r="F9" s="100" t="s">
        <v>483</v>
      </c>
    </row>
    <row r="10" spans="1:6" ht="72" customHeight="1" x14ac:dyDescent="0.3">
      <c r="A10" s="100" t="s">
        <v>484</v>
      </c>
      <c r="B10" s="100" t="s">
        <v>485</v>
      </c>
      <c r="C10" s="100" t="s">
        <v>486</v>
      </c>
      <c r="D10" s="100" t="s">
        <v>487</v>
      </c>
      <c r="E10" s="100" t="s">
        <v>488</v>
      </c>
      <c r="F10" s="100" t="s">
        <v>489</v>
      </c>
    </row>
    <row r="11" spans="1:6" ht="57.6" customHeight="1" x14ac:dyDescent="0.3">
      <c r="A11" s="100" t="s">
        <v>490</v>
      </c>
      <c r="B11" s="100" t="s">
        <v>491</v>
      </c>
      <c r="C11" s="100" t="s">
        <v>492</v>
      </c>
      <c r="D11" s="100" t="s">
        <v>493</v>
      </c>
      <c r="E11" s="100" t="s">
        <v>494</v>
      </c>
      <c r="F11" s="100" t="s">
        <v>495</v>
      </c>
    </row>
    <row r="12" spans="1:6" ht="57.6" customHeight="1" x14ac:dyDescent="0.3">
      <c r="A12" s="100" t="s">
        <v>496</v>
      </c>
      <c r="B12" s="100" t="s">
        <v>497</v>
      </c>
      <c r="C12" s="100" t="s">
        <v>498</v>
      </c>
      <c r="D12" s="100" t="s">
        <v>493</v>
      </c>
      <c r="E12" s="100" t="s">
        <v>494</v>
      </c>
      <c r="F12" s="100" t="s">
        <v>499</v>
      </c>
    </row>
    <row r="13" spans="1:6" ht="43.2" customHeight="1" x14ac:dyDescent="0.3">
      <c r="A13" s="100" t="s">
        <v>500</v>
      </c>
      <c r="B13" s="100" t="s">
        <v>501</v>
      </c>
      <c r="C13" s="100" t="s">
        <v>502</v>
      </c>
      <c r="D13" s="100" t="s">
        <v>503</v>
      </c>
      <c r="E13" s="100" t="s">
        <v>504</v>
      </c>
      <c r="F13" s="100" t="s">
        <v>505</v>
      </c>
    </row>
    <row r="14" spans="1:6" ht="43.2" customHeight="1" x14ac:dyDescent="0.3">
      <c r="A14" s="100" t="s">
        <v>506</v>
      </c>
      <c r="B14" s="100" t="s">
        <v>507</v>
      </c>
      <c r="C14" s="100" t="s">
        <v>508</v>
      </c>
      <c r="D14" s="100" t="s">
        <v>509</v>
      </c>
      <c r="E14" s="100" t="s">
        <v>510</v>
      </c>
      <c r="F14" s="100" t="s">
        <v>511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2" customHeight="1" x14ac:dyDescent="0.3">
      <c r="A1" s="94" t="s">
        <v>323</v>
      </c>
      <c r="B1" s="94" t="s">
        <v>324</v>
      </c>
      <c r="C1" s="94" t="s">
        <v>512</v>
      </c>
      <c r="D1" s="94" t="s">
        <v>513</v>
      </c>
      <c r="E1" s="94" t="s">
        <v>325</v>
      </c>
    </row>
    <row r="2" spans="1:5" ht="172.95" customHeight="1" x14ac:dyDescent="0.3">
      <c r="A2" s="100" t="s">
        <v>514</v>
      </c>
      <c r="B2" s="100" t="s">
        <v>515</v>
      </c>
      <c r="C2" s="101" t="b">
        <v>1</v>
      </c>
      <c r="D2" s="100" t="s">
        <v>516</v>
      </c>
      <c r="E2" s="100" t="s">
        <v>517</v>
      </c>
    </row>
    <row r="3" spans="1:5" ht="172.95" customHeight="1" x14ac:dyDescent="0.3">
      <c r="A3" s="100" t="s">
        <v>518</v>
      </c>
      <c r="B3" s="100" t="s">
        <v>519</v>
      </c>
      <c r="C3" s="101" t="b">
        <v>1</v>
      </c>
      <c r="D3" s="100" t="s">
        <v>516</v>
      </c>
      <c r="E3" s="100" t="s">
        <v>520</v>
      </c>
    </row>
    <row r="4" spans="1:5" ht="172.95" customHeight="1" x14ac:dyDescent="0.3">
      <c r="A4" s="100" t="s">
        <v>521</v>
      </c>
      <c r="B4" s="100" t="s">
        <v>522</v>
      </c>
      <c r="C4" s="101" t="b">
        <v>1</v>
      </c>
      <c r="D4" s="100" t="s">
        <v>516</v>
      </c>
      <c r="E4" s="100" t="s">
        <v>520</v>
      </c>
    </row>
    <row r="5" spans="1:5" ht="172.95" customHeight="1" x14ac:dyDescent="0.3">
      <c r="A5" s="100" t="s">
        <v>523</v>
      </c>
      <c r="B5" s="100" t="s">
        <v>524</v>
      </c>
      <c r="C5" s="101" t="b">
        <v>1</v>
      </c>
      <c r="D5" s="100" t="s">
        <v>516</v>
      </c>
      <c r="E5" s="100" t="s">
        <v>44</v>
      </c>
    </row>
    <row r="6" spans="1:5" ht="115.2" customHeight="1" x14ac:dyDescent="0.3">
      <c r="A6" s="100" t="s">
        <v>525</v>
      </c>
      <c r="B6" s="100" t="s">
        <v>526</v>
      </c>
      <c r="C6" s="101" t="b">
        <v>1</v>
      </c>
      <c r="D6" s="100" t="s">
        <v>527</v>
      </c>
      <c r="E6" s="100" t="s">
        <v>528</v>
      </c>
    </row>
    <row r="7" spans="1:5" ht="115.2" customHeight="1" x14ac:dyDescent="0.3">
      <c r="A7" s="100" t="s">
        <v>529</v>
      </c>
      <c r="B7" s="100" t="s">
        <v>530</v>
      </c>
      <c r="C7" s="101" t="b">
        <v>1</v>
      </c>
      <c r="D7" s="100" t="s">
        <v>527</v>
      </c>
      <c r="E7" s="100" t="s">
        <v>119</v>
      </c>
    </row>
    <row r="8" spans="1:5" ht="115.2" customHeight="1" x14ac:dyDescent="0.3">
      <c r="A8" s="100" t="s">
        <v>531</v>
      </c>
      <c r="B8" s="100" t="s">
        <v>532</v>
      </c>
      <c r="C8" s="101" t="b">
        <v>1</v>
      </c>
      <c r="D8" s="100" t="s">
        <v>533</v>
      </c>
      <c r="E8" s="100" t="s">
        <v>436</v>
      </c>
    </row>
    <row r="9" spans="1:5" ht="172.95" customHeight="1" x14ac:dyDescent="0.3">
      <c r="A9" s="100" t="s">
        <v>534</v>
      </c>
      <c r="B9" s="100" t="s">
        <v>535</v>
      </c>
      <c r="C9" s="101" t="b">
        <v>1</v>
      </c>
      <c r="D9" s="100" t="s">
        <v>516</v>
      </c>
      <c r="E9" s="100" t="s">
        <v>536</v>
      </c>
    </row>
    <row r="10" spans="1:5" ht="172.95" customHeight="1" x14ac:dyDescent="0.3">
      <c r="A10" s="100" t="s">
        <v>537</v>
      </c>
      <c r="B10" s="100" t="s">
        <v>538</v>
      </c>
      <c r="C10" s="101" t="b">
        <v>1</v>
      </c>
      <c r="D10" s="100" t="s">
        <v>516</v>
      </c>
      <c r="E10" s="100" t="s">
        <v>539</v>
      </c>
    </row>
    <row r="11" spans="1:5" ht="115.2" customHeight="1" x14ac:dyDescent="0.3">
      <c r="A11" s="100" t="s">
        <v>540</v>
      </c>
      <c r="B11" s="100" t="s">
        <v>541</v>
      </c>
      <c r="C11" s="101" t="b">
        <v>1</v>
      </c>
      <c r="D11" s="100" t="s">
        <v>527</v>
      </c>
      <c r="E11" s="100" t="s">
        <v>542</v>
      </c>
    </row>
    <row r="12" spans="1:5" ht="115.2" customHeight="1" x14ac:dyDescent="0.3">
      <c r="A12" s="100" t="s">
        <v>543</v>
      </c>
      <c r="B12" s="100" t="s">
        <v>544</v>
      </c>
      <c r="C12" s="101" t="b">
        <v>1</v>
      </c>
      <c r="D12" s="100" t="s">
        <v>527</v>
      </c>
      <c r="E12" s="100" t="s">
        <v>545</v>
      </c>
    </row>
    <row r="13" spans="1:5" ht="115.2" customHeight="1" x14ac:dyDescent="0.3">
      <c r="A13" s="100" t="s">
        <v>546</v>
      </c>
      <c r="B13" s="100" t="s">
        <v>547</v>
      </c>
      <c r="C13" s="101" t="b">
        <v>1</v>
      </c>
      <c r="D13" s="100" t="s">
        <v>527</v>
      </c>
      <c r="E13" s="100" t="s">
        <v>548</v>
      </c>
    </row>
    <row r="14" spans="1:5" ht="115.2" customHeight="1" x14ac:dyDescent="0.3">
      <c r="A14" s="100" t="s">
        <v>549</v>
      </c>
      <c r="B14" s="100" t="s">
        <v>550</v>
      </c>
      <c r="C14" s="101" t="b">
        <v>1</v>
      </c>
      <c r="D14" s="100" t="s">
        <v>527</v>
      </c>
      <c r="E14" s="100" t="s">
        <v>539</v>
      </c>
    </row>
    <row r="15" spans="1:5" ht="115.2" customHeight="1" x14ac:dyDescent="0.3">
      <c r="A15" s="100" t="s">
        <v>551</v>
      </c>
      <c r="B15" s="100" t="s">
        <v>552</v>
      </c>
      <c r="C15" s="101" t="b">
        <v>1</v>
      </c>
      <c r="D15" s="100" t="s">
        <v>527</v>
      </c>
      <c r="E15" s="100" t="s">
        <v>553</v>
      </c>
    </row>
    <row r="16" spans="1:5" ht="115.2" customHeight="1" x14ac:dyDescent="0.3">
      <c r="A16" s="100" t="s">
        <v>554</v>
      </c>
      <c r="B16" s="100" t="s">
        <v>555</v>
      </c>
      <c r="C16" s="101" t="b">
        <v>1</v>
      </c>
      <c r="D16" s="100" t="s">
        <v>527</v>
      </c>
      <c r="E16" s="100" t="s">
        <v>556</v>
      </c>
    </row>
    <row r="17" spans="1:5" ht="115.2" customHeight="1" x14ac:dyDescent="0.3">
      <c r="A17" s="100" t="s">
        <v>557</v>
      </c>
      <c r="B17" s="100" t="s">
        <v>558</v>
      </c>
      <c r="C17" s="101" t="b">
        <v>1</v>
      </c>
      <c r="D17" s="100" t="s">
        <v>527</v>
      </c>
      <c r="E17" s="100" t="s">
        <v>559</v>
      </c>
    </row>
    <row r="18" spans="1:5" ht="115.2" customHeight="1" x14ac:dyDescent="0.3">
      <c r="A18" s="100" t="s">
        <v>560</v>
      </c>
      <c r="B18" s="100" t="s">
        <v>561</v>
      </c>
      <c r="C18" s="101" t="b">
        <v>1</v>
      </c>
      <c r="D18" s="100" t="s">
        <v>527</v>
      </c>
      <c r="E18" s="100" t="s">
        <v>374</v>
      </c>
    </row>
    <row r="19" spans="1:5" ht="172.95" customHeight="1" x14ac:dyDescent="0.3">
      <c r="A19" s="100" t="s">
        <v>562</v>
      </c>
      <c r="B19" s="100" t="s">
        <v>563</v>
      </c>
      <c r="C19" s="101" t="b">
        <v>1</v>
      </c>
      <c r="D19" s="100" t="s">
        <v>516</v>
      </c>
      <c r="E19" s="100" t="s">
        <v>564</v>
      </c>
    </row>
    <row r="20" spans="1:5" ht="172.95" customHeight="1" x14ac:dyDescent="0.3">
      <c r="A20" s="100" t="s">
        <v>565</v>
      </c>
      <c r="B20" s="100" t="s">
        <v>566</v>
      </c>
      <c r="C20" s="101" t="b">
        <v>1</v>
      </c>
      <c r="D20" s="100" t="s">
        <v>516</v>
      </c>
      <c r="E20" s="100" t="s">
        <v>65</v>
      </c>
    </row>
    <row r="21" spans="1:5" ht="115.2" customHeight="1" x14ac:dyDescent="0.3">
      <c r="A21" s="100" t="s">
        <v>567</v>
      </c>
      <c r="B21" s="100" t="s">
        <v>568</v>
      </c>
      <c r="C21" s="101" t="b">
        <v>1</v>
      </c>
      <c r="D21" s="100" t="s">
        <v>527</v>
      </c>
      <c r="E21" s="100" t="s">
        <v>569</v>
      </c>
    </row>
    <row r="22" spans="1:5" ht="115.2" customHeight="1" x14ac:dyDescent="0.3">
      <c r="A22" s="100" t="s">
        <v>570</v>
      </c>
      <c r="B22" s="100" t="s">
        <v>571</v>
      </c>
      <c r="C22" s="101" t="b">
        <v>1</v>
      </c>
      <c r="D22" s="100" t="s">
        <v>527</v>
      </c>
      <c r="E22" s="100" t="s">
        <v>572</v>
      </c>
    </row>
    <row r="23" spans="1:5" ht="115.2" customHeight="1" x14ac:dyDescent="0.3">
      <c r="A23" s="100" t="s">
        <v>573</v>
      </c>
      <c r="B23" s="100" t="s">
        <v>574</v>
      </c>
      <c r="C23" s="101" t="b">
        <v>1</v>
      </c>
      <c r="D23" s="100" t="s">
        <v>527</v>
      </c>
      <c r="E23" s="100" t="s">
        <v>572</v>
      </c>
    </row>
    <row r="24" spans="1:5" ht="115.2" customHeight="1" x14ac:dyDescent="0.3">
      <c r="A24" s="100" t="s">
        <v>575</v>
      </c>
      <c r="B24" s="100" t="s">
        <v>576</v>
      </c>
      <c r="C24" s="101" t="b">
        <v>1</v>
      </c>
      <c r="D24" s="100" t="s">
        <v>527</v>
      </c>
      <c r="E24" s="100" t="s">
        <v>577</v>
      </c>
    </row>
    <row r="25" spans="1:5" ht="115.2" customHeight="1" x14ac:dyDescent="0.3">
      <c r="A25" s="100" t="s">
        <v>578</v>
      </c>
      <c r="B25" s="100" t="s">
        <v>579</v>
      </c>
      <c r="C25" s="101" t="b">
        <v>1</v>
      </c>
      <c r="D25" s="100" t="s">
        <v>527</v>
      </c>
      <c r="E25" s="100" t="s">
        <v>577</v>
      </c>
    </row>
    <row r="26" spans="1:5" ht="115.2" customHeight="1" x14ac:dyDescent="0.3">
      <c r="A26" s="100" t="s">
        <v>580</v>
      </c>
      <c r="B26" s="100" t="s">
        <v>581</v>
      </c>
      <c r="C26" s="101" t="b">
        <v>1</v>
      </c>
      <c r="D26" s="100" t="s">
        <v>527</v>
      </c>
      <c r="E26" s="100" t="s">
        <v>582</v>
      </c>
    </row>
    <row r="27" spans="1:5" ht="115.2" customHeight="1" x14ac:dyDescent="0.3">
      <c r="A27" s="100" t="s">
        <v>583</v>
      </c>
      <c r="B27" s="100" t="s">
        <v>584</v>
      </c>
      <c r="C27" s="101" t="b">
        <v>1</v>
      </c>
      <c r="D27" s="100" t="s">
        <v>527</v>
      </c>
      <c r="E27" s="100" t="s">
        <v>585</v>
      </c>
    </row>
    <row r="28" spans="1:5" ht="115.2" customHeight="1" x14ac:dyDescent="0.3">
      <c r="A28" s="100" t="s">
        <v>586</v>
      </c>
      <c r="B28" s="100" t="s">
        <v>587</v>
      </c>
      <c r="C28" s="101" t="b">
        <v>1</v>
      </c>
      <c r="D28" s="100" t="s">
        <v>527</v>
      </c>
      <c r="E28" s="100" t="s">
        <v>588</v>
      </c>
    </row>
    <row r="29" spans="1:5" ht="172.95" customHeight="1" x14ac:dyDescent="0.3">
      <c r="A29" s="100" t="s">
        <v>589</v>
      </c>
      <c r="B29" s="100" t="s">
        <v>590</v>
      </c>
      <c r="C29" s="101" t="b">
        <v>1</v>
      </c>
      <c r="D29" s="100" t="s">
        <v>516</v>
      </c>
      <c r="E29" s="100" t="s">
        <v>591</v>
      </c>
    </row>
    <row r="30" spans="1:5" ht="115.2" customHeight="1" x14ac:dyDescent="0.3">
      <c r="A30" s="100" t="s">
        <v>592</v>
      </c>
      <c r="B30" s="100" t="s">
        <v>593</v>
      </c>
      <c r="C30" s="101" t="b">
        <v>1</v>
      </c>
      <c r="D30" s="100" t="s">
        <v>527</v>
      </c>
      <c r="E30" s="100" t="s">
        <v>121</v>
      </c>
    </row>
    <row r="31" spans="1:5" ht="115.2" customHeight="1" x14ac:dyDescent="0.3">
      <c r="A31" s="100" t="s">
        <v>594</v>
      </c>
      <c r="B31" s="100" t="s">
        <v>389</v>
      </c>
      <c r="C31" s="101" t="b">
        <v>1</v>
      </c>
      <c r="D31" s="100" t="s">
        <v>527</v>
      </c>
      <c r="E31" s="100" t="s">
        <v>390</v>
      </c>
    </row>
    <row r="32" spans="1:5" ht="115.2" customHeight="1" x14ac:dyDescent="0.3">
      <c r="A32" s="100" t="s">
        <v>595</v>
      </c>
      <c r="B32" s="100" t="s">
        <v>596</v>
      </c>
      <c r="C32" s="101" t="b">
        <v>1</v>
      </c>
      <c r="D32" s="100" t="s">
        <v>527</v>
      </c>
      <c r="E32" s="100" t="s">
        <v>597</v>
      </c>
    </row>
    <row r="33" spans="1:5" ht="115.2" customHeight="1" x14ac:dyDescent="0.3">
      <c r="A33" s="100" t="s">
        <v>598</v>
      </c>
      <c r="B33" s="100" t="s">
        <v>599</v>
      </c>
      <c r="C33" s="101" t="b">
        <v>1</v>
      </c>
      <c r="D33" s="100" t="s">
        <v>527</v>
      </c>
      <c r="E33" s="100" t="s">
        <v>73</v>
      </c>
    </row>
    <row r="34" spans="1:5" ht="115.2" customHeight="1" x14ac:dyDescent="0.3">
      <c r="A34" s="100" t="s">
        <v>600</v>
      </c>
      <c r="B34" s="100" t="s">
        <v>601</v>
      </c>
      <c r="C34" s="101" t="b">
        <v>0</v>
      </c>
      <c r="D34" s="100" t="s">
        <v>527</v>
      </c>
      <c r="E34" s="100" t="s">
        <v>401</v>
      </c>
    </row>
    <row r="35" spans="1:5" ht="115.2" customHeight="1" x14ac:dyDescent="0.3">
      <c r="A35" s="100" t="s">
        <v>602</v>
      </c>
      <c r="B35" s="100" t="s">
        <v>603</v>
      </c>
      <c r="C35" s="101" t="b">
        <v>1</v>
      </c>
      <c r="D35" s="100" t="s">
        <v>527</v>
      </c>
      <c r="E35" s="100" t="s">
        <v>604</v>
      </c>
    </row>
    <row r="36" spans="1:5" ht="115.2" customHeight="1" x14ac:dyDescent="0.3">
      <c r="A36" s="100" t="s">
        <v>605</v>
      </c>
      <c r="B36" s="100" t="s">
        <v>606</v>
      </c>
      <c r="C36" s="101" t="b">
        <v>1</v>
      </c>
      <c r="D36" s="100" t="s">
        <v>527</v>
      </c>
      <c r="E36" s="100" t="s">
        <v>417</v>
      </c>
    </row>
    <row r="37" spans="1:5" ht="115.2" customHeight="1" x14ac:dyDescent="0.3">
      <c r="A37" s="100" t="s">
        <v>607</v>
      </c>
      <c r="B37" s="100" t="s">
        <v>608</v>
      </c>
      <c r="C37" s="101" t="b">
        <v>0</v>
      </c>
      <c r="D37" s="100" t="s">
        <v>527</v>
      </c>
      <c r="E37" s="100" t="s">
        <v>609</v>
      </c>
    </row>
    <row r="38" spans="1:5" ht="115.2" customHeight="1" x14ac:dyDescent="0.3">
      <c r="A38" s="100" t="s">
        <v>610</v>
      </c>
      <c r="B38" s="100" t="s">
        <v>611</v>
      </c>
      <c r="C38" s="101" t="b">
        <v>1</v>
      </c>
      <c r="D38" s="100" t="s">
        <v>527</v>
      </c>
      <c r="E38" s="100" t="s">
        <v>436</v>
      </c>
    </row>
    <row r="39" spans="1:5" ht="115.2" customHeight="1" x14ac:dyDescent="0.3">
      <c r="A39" s="100" t="s">
        <v>612</v>
      </c>
      <c r="B39" s="100" t="s">
        <v>613</v>
      </c>
      <c r="C39" s="101" t="b">
        <v>1</v>
      </c>
      <c r="D39" s="100" t="s">
        <v>527</v>
      </c>
      <c r="E39" s="100" t="s">
        <v>413</v>
      </c>
    </row>
    <row r="40" spans="1:5" ht="172.95" customHeight="1" x14ac:dyDescent="0.3">
      <c r="A40" s="100" t="s">
        <v>614</v>
      </c>
      <c r="B40" s="100" t="s">
        <v>615</v>
      </c>
      <c r="C40" s="101" t="b">
        <v>1</v>
      </c>
      <c r="D40" s="100" t="s">
        <v>516</v>
      </c>
      <c r="E40" s="100" t="s">
        <v>80</v>
      </c>
    </row>
    <row r="41" spans="1:5" ht="158.4" customHeight="1" x14ac:dyDescent="0.3">
      <c r="A41" s="100" t="s">
        <v>616</v>
      </c>
      <c r="B41" s="100" t="s">
        <v>617</v>
      </c>
      <c r="C41" s="101" t="b">
        <v>1</v>
      </c>
      <c r="D41" s="100" t="s">
        <v>618</v>
      </c>
      <c r="E41" s="100" t="s">
        <v>471</v>
      </c>
    </row>
    <row r="42" spans="1:5" ht="115.2" customHeight="1" x14ac:dyDescent="0.3">
      <c r="A42" s="100" t="s">
        <v>619</v>
      </c>
      <c r="B42" s="100" t="s">
        <v>620</v>
      </c>
      <c r="C42" s="101" t="b">
        <v>1</v>
      </c>
      <c r="D42" s="100" t="s">
        <v>533</v>
      </c>
      <c r="E42" s="100" t="s">
        <v>29</v>
      </c>
    </row>
    <row r="43" spans="1:5" ht="115.2" customHeight="1" x14ac:dyDescent="0.3">
      <c r="A43" s="100" t="s">
        <v>621</v>
      </c>
      <c r="B43" s="100" t="s">
        <v>622</v>
      </c>
      <c r="C43" s="101" t="b">
        <v>1</v>
      </c>
      <c r="D43" s="100" t="s">
        <v>527</v>
      </c>
      <c r="E43" s="100" t="s">
        <v>623</v>
      </c>
    </row>
    <row r="44" spans="1:5" ht="115.2" customHeight="1" x14ac:dyDescent="0.3">
      <c r="A44" s="100" t="s">
        <v>624</v>
      </c>
      <c r="B44" s="100" t="s">
        <v>625</v>
      </c>
      <c r="C44" s="101" t="b">
        <v>1</v>
      </c>
      <c r="D44" s="100" t="s">
        <v>527</v>
      </c>
      <c r="E44" s="100" t="s">
        <v>413</v>
      </c>
    </row>
    <row r="45" spans="1:5" ht="172.95" customHeight="1" x14ac:dyDescent="0.3">
      <c r="A45" s="100" t="s">
        <v>626</v>
      </c>
      <c r="B45" s="100" t="s">
        <v>627</v>
      </c>
      <c r="C45" s="101" t="b">
        <v>1</v>
      </c>
      <c r="D45" s="100" t="s">
        <v>516</v>
      </c>
      <c r="E45" s="100" t="s">
        <v>628</v>
      </c>
    </row>
    <row r="46" spans="1:5" ht="172.95" customHeight="1" x14ac:dyDescent="0.3">
      <c r="A46" s="100" t="s">
        <v>629</v>
      </c>
      <c r="B46" s="100" t="s">
        <v>630</v>
      </c>
      <c r="C46" s="101" t="b">
        <v>1</v>
      </c>
      <c r="D46" s="100" t="s">
        <v>631</v>
      </c>
      <c r="E46" s="100" t="s">
        <v>489</v>
      </c>
    </row>
    <row r="47" spans="1:5" ht="115.2" customHeight="1" x14ac:dyDescent="0.3">
      <c r="A47" s="100" t="s">
        <v>632</v>
      </c>
      <c r="B47" s="100" t="s">
        <v>633</v>
      </c>
      <c r="C47" s="101" t="b">
        <v>1</v>
      </c>
      <c r="D47" s="100" t="s">
        <v>533</v>
      </c>
      <c r="E47" s="100" t="s">
        <v>499</v>
      </c>
    </row>
    <row r="48" spans="1:5" ht="100.95" customHeight="1" x14ac:dyDescent="0.3">
      <c r="A48" s="100" t="s">
        <v>634</v>
      </c>
      <c r="B48" s="100" t="s">
        <v>635</v>
      </c>
      <c r="C48" s="101" t="b">
        <v>1</v>
      </c>
      <c r="D48" s="100" t="s">
        <v>636</v>
      </c>
      <c r="E48" s="100" t="s">
        <v>637</v>
      </c>
    </row>
    <row r="49" spans="1:5" ht="172.95" customHeight="1" x14ac:dyDescent="0.3">
      <c r="A49" s="100" t="s">
        <v>638</v>
      </c>
      <c r="B49" s="100" t="s">
        <v>639</v>
      </c>
      <c r="C49" s="101" t="b">
        <v>1</v>
      </c>
      <c r="D49" s="100" t="s">
        <v>640</v>
      </c>
      <c r="E49" s="100" t="s">
        <v>641</v>
      </c>
    </row>
    <row r="50" spans="1:5" ht="86.4" customHeight="1" x14ac:dyDescent="0.3">
      <c r="A50" s="100" t="s">
        <v>642</v>
      </c>
      <c r="B50" s="100" t="s">
        <v>643</v>
      </c>
      <c r="C50" s="101" t="b">
        <v>0</v>
      </c>
      <c r="D50" s="100" t="s">
        <v>644</v>
      </c>
      <c r="E50" s="100" t="s">
        <v>641</v>
      </c>
    </row>
    <row r="51" spans="1:5" ht="100.95" customHeight="1" x14ac:dyDescent="0.3">
      <c r="A51" s="100" t="s">
        <v>645</v>
      </c>
      <c r="B51" s="100" t="s">
        <v>646</v>
      </c>
      <c r="C51" s="101" t="b">
        <v>1</v>
      </c>
      <c r="D51" s="100" t="s">
        <v>647</v>
      </c>
      <c r="E51" s="100" t="s">
        <v>648</v>
      </c>
    </row>
    <row r="52" spans="1:5" ht="115.2" customHeight="1" x14ac:dyDescent="0.3">
      <c r="A52" s="100" t="s">
        <v>649</v>
      </c>
      <c r="B52" s="100" t="s">
        <v>650</v>
      </c>
      <c r="C52" s="101" t="b">
        <v>1</v>
      </c>
      <c r="D52" s="100" t="s">
        <v>533</v>
      </c>
      <c r="E52" s="100" t="s">
        <v>651</v>
      </c>
    </row>
    <row r="53" spans="1:5" ht="115.2" customHeight="1" x14ac:dyDescent="0.3">
      <c r="A53" s="100" t="s">
        <v>652</v>
      </c>
      <c r="B53" s="100" t="s">
        <v>653</v>
      </c>
      <c r="C53" s="101" t="b">
        <v>1</v>
      </c>
      <c r="D53" s="100" t="s">
        <v>654</v>
      </c>
      <c r="E53" s="100" t="s">
        <v>511</v>
      </c>
    </row>
    <row r="54" spans="1:5" ht="115.2" customHeight="1" x14ac:dyDescent="0.3">
      <c r="A54" s="100" t="s">
        <v>655</v>
      </c>
      <c r="B54" s="100" t="s">
        <v>656</v>
      </c>
      <c r="C54" s="101" t="b">
        <v>1</v>
      </c>
      <c r="D54" s="100" t="s">
        <v>657</v>
      </c>
      <c r="E54" s="100" t="s">
        <v>405</v>
      </c>
    </row>
    <row r="55" spans="1:5" ht="115.2" customHeight="1" x14ac:dyDescent="0.3">
      <c r="A55" s="100" t="s">
        <v>658</v>
      </c>
      <c r="B55" s="100" t="s">
        <v>659</v>
      </c>
      <c r="C55" s="101" t="b">
        <v>0</v>
      </c>
      <c r="D55" s="100" t="s">
        <v>657</v>
      </c>
      <c r="E55" s="100" t="s">
        <v>660</v>
      </c>
    </row>
    <row r="56" spans="1:5" ht="115.2" customHeight="1" x14ac:dyDescent="0.3">
      <c r="A56" s="100" t="s">
        <v>661</v>
      </c>
      <c r="B56" s="100" t="s">
        <v>662</v>
      </c>
      <c r="C56" s="101" t="b">
        <v>0</v>
      </c>
      <c r="D56" s="100" t="s">
        <v>657</v>
      </c>
      <c r="E56" s="100" t="s">
        <v>409</v>
      </c>
    </row>
    <row r="57" spans="1:5" ht="115.2" customHeight="1" x14ac:dyDescent="0.3">
      <c r="A57" s="100" t="s">
        <v>663</v>
      </c>
      <c r="B57" s="100" t="s">
        <v>664</v>
      </c>
      <c r="C57" s="101" t="b">
        <v>0</v>
      </c>
      <c r="D57" s="100" t="s">
        <v>657</v>
      </c>
      <c r="E57" s="100" t="s">
        <v>665</v>
      </c>
    </row>
    <row r="58" spans="1:5" ht="115.2" customHeight="1" x14ac:dyDescent="0.3">
      <c r="A58" s="100" t="s">
        <v>666</v>
      </c>
      <c r="B58" s="100" t="s">
        <v>667</v>
      </c>
      <c r="C58" s="101" t="b">
        <v>0</v>
      </c>
      <c r="D58" s="100" t="s">
        <v>657</v>
      </c>
      <c r="E58" s="100" t="s">
        <v>668</v>
      </c>
    </row>
    <row r="59" spans="1:5" ht="115.2" customHeight="1" x14ac:dyDescent="0.3">
      <c r="A59" s="100" t="s">
        <v>669</v>
      </c>
      <c r="B59" s="100" t="s">
        <v>670</v>
      </c>
      <c r="C59" s="101" t="b">
        <v>0</v>
      </c>
      <c r="D59" s="100" t="s">
        <v>657</v>
      </c>
      <c r="E59" s="100" t="s">
        <v>73</v>
      </c>
    </row>
    <row r="60" spans="1:5" ht="115.2" customHeight="1" x14ac:dyDescent="0.3">
      <c r="A60" s="100" t="s">
        <v>671</v>
      </c>
      <c r="B60" s="100" t="s">
        <v>672</v>
      </c>
      <c r="C60" s="101" t="b">
        <v>0</v>
      </c>
      <c r="D60" s="100" t="s">
        <v>657</v>
      </c>
      <c r="E60" s="100" t="s">
        <v>673</v>
      </c>
    </row>
    <row r="61" spans="1:5" ht="115.2" customHeight="1" x14ac:dyDescent="0.3">
      <c r="A61" s="100" t="s">
        <v>674</v>
      </c>
      <c r="B61" s="100" t="s">
        <v>675</v>
      </c>
      <c r="C61" s="101" t="b">
        <v>0</v>
      </c>
      <c r="D61" s="100" t="s">
        <v>657</v>
      </c>
      <c r="E61" s="100" t="s">
        <v>676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3" width="8.88671875" style="83" customWidth="1"/>
    <col min="14" max="16384" width="8.88671875" style="83"/>
  </cols>
  <sheetData>
    <row r="1" spans="1:5" ht="22.2" customHeight="1" x14ac:dyDescent="0.3">
      <c r="A1" s="94" t="s">
        <v>323</v>
      </c>
      <c r="B1" s="94" t="s">
        <v>324</v>
      </c>
      <c r="C1" s="94" t="s">
        <v>677</v>
      </c>
      <c r="D1" s="94" t="s">
        <v>513</v>
      </c>
      <c r="E1" s="94" t="s">
        <v>325</v>
      </c>
    </row>
    <row r="2" spans="1:5" ht="28.95" customHeight="1" x14ac:dyDescent="0.3">
      <c r="A2" s="99" t="s">
        <v>678</v>
      </c>
      <c r="B2" s="100" t="s">
        <v>679</v>
      </c>
      <c r="C2" s="101" t="b">
        <v>1</v>
      </c>
      <c r="D2" s="99" t="s">
        <v>680</v>
      </c>
      <c r="E2" s="100" t="s">
        <v>681</v>
      </c>
    </row>
    <row r="3" spans="1:5" ht="28.95" customHeight="1" x14ac:dyDescent="0.3">
      <c r="A3" s="99" t="s">
        <v>682</v>
      </c>
      <c r="B3" s="100" t="s">
        <v>683</v>
      </c>
      <c r="C3" s="101" t="b">
        <v>1</v>
      </c>
      <c r="D3" s="99" t="s">
        <v>680</v>
      </c>
      <c r="E3" s="100" t="s">
        <v>684</v>
      </c>
    </row>
    <row r="4" spans="1:5" ht="28.95" customHeight="1" x14ac:dyDescent="0.3">
      <c r="A4" s="99" t="s">
        <v>685</v>
      </c>
      <c r="B4" s="100" t="s">
        <v>686</v>
      </c>
      <c r="C4" s="101" t="b">
        <v>1</v>
      </c>
      <c r="D4" s="99" t="s">
        <v>680</v>
      </c>
      <c r="E4" s="100" t="s">
        <v>559</v>
      </c>
    </row>
    <row r="5" spans="1:5" ht="28.95" customHeight="1" x14ac:dyDescent="0.3">
      <c r="A5" s="99" t="s">
        <v>687</v>
      </c>
      <c r="B5" s="100" t="s">
        <v>688</v>
      </c>
      <c r="C5" s="101" t="b">
        <v>1</v>
      </c>
      <c r="D5" s="99" t="s">
        <v>680</v>
      </c>
      <c r="E5" s="100" t="s">
        <v>390</v>
      </c>
    </row>
    <row r="6" spans="1:5" ht="28.95" customHeight="1" x14ac:dyDescent="0.3">
      <c r="A6" s="99" t="s">
        <v>689</v>
      </c>
      <c r="B6" s="100" t="s">
        <v>690</v>
      </c>
      <c r="C6" s="101" t="b">
        <v>1</v>
      </c>
      <c r="D6" s="99" t="s">
        <v>680</v>
      </c>
      <c r="E6" s="100" t="s">
        <v>691</v>
      </c>
    </row>
    <row r="7" spans="1:5" ht="28.95" customHeight="1" x14ac:dyDescent="0.3">
      <c r="A7" s="99" t="s">
        <v>692</v>
      </c>
      <c r="B7" s="100" t="s">
        <v>693</v>
      </c>
      <c r="C7" s="101" t="b">
        <v>0</v>
      </c>
      <c r="D7" s="99" t="s">
        <v>680</v>
      </c>
      <c r="E7" s="100" t="s">
        <v>556</v>
      </c>
    </row>
    <row r="8" spans="1:5" ht="28.95" customHeight="1" x14ac:dyDescent="0.3">
      <c r="A8" s="99" t="s">
        <v>694</v>
      </c>
      <c r="B8" s="100" t="s">
        <v>695</v>
      </c>
      <c r="C8" s="101" t="b">
        <v>1</v>
      </c>
      <c r="D8" s="99" t="s">
        <v>680</v>
      </c>
      <c r="E8" s="100" t="s">
        <v>609</v>
      </c>
    </row>
    <row r="9" spans="1:5" ht="28.95" customHeight="1" x14ac:dyDescent="0.3">
      <c r="A9" s="99" t="s">
        <v>696</v>
      </c>
      <c r="B9" s="100" t="s">
        <v>697</v>
      </c>
      <c r="C9" s="101" t="b">
        <v>0</v>
      </c>
      <c r="D9" s="99" t="s">
        <v>680</v>
      </c>
      <c r="E9" s="100" t="s">
        <v>413</v>
      </c>
    </row>
    <row r="10" spans="1:5" ht="28.95" customHeight="1" x14ac:dyDescent="0.3">
      <c r="A10" s="99" t="s">
        <v>698</v>
      </c>
      <c r="B10" s="100" t="s">
        <v>699</v>
      </c>
      <c r="C10" s="101" t="b">
        <v>1</v>
      </c>
      <c r="D10" s="99" t="s">
        <v>680</v>
      </c>
      <c r="E10" s="100" t="s">
        <v>700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6640625" customWidth="1"/>
    <col min="4" max="4" width="51.88671875" customWidth="1"/>
    <col min="5" max="6" width="10.33203125" customWidth="1"/>
    <col min="7" max="7" width="8.33203125" customWidth="1"/>
    <col min="8" max="8" width="31.44140625" customWidth="1"/>
    <col min="9" max="9" width="20.33203125" customWidth="1"/>
    <col min="10" max="11" width="27.6640625" customWidth="1"/>
    <col min="12" max="12" width="11.109375" customWidth="1"/>
    <col min="13" max="14" width="18.5546875" customWidth="1"/>
    <col min="15" max="15" width="11.109375" customWidth="1"/>
    <col min="16" max="16" width="40.6640625" customWidth="1"/>
    <col min="17" max="17" width="59.33203125" customWidth="1"/>
  </cols>
  <sheetData>
    <row r="1" spans="1:17" ht="22.2" customHeight="1" x14ac:dyDescent="0.3">
      <c r="A1" s="94" t="s">
        <v>129</v>
      </c>
      <c r="B1" s="94" t="s">
        <v>8</v>
      </c>
      <c r="C1" s="94" t="s">
        <v>701</v>
      </c>
      <c r="D1" s="94" t="s">
        <v>702</v>
      </c>
      <c r="E1" s="94" t="s">
        <v>703</v>
      </c>
      <c r="F1" s="94" t="s">
        <v>704</v>
      </c>
      <c r="G1" s="94" t="s">
        <v>705</v>
      </c>
      <c r="H1" s="94" t="s">
        <v>706</v>
      </c>
      <c r="I1" s="94" t="s">
        <v>707</v>
      </c>
      <c r="J1" s="94" t="s">
        <v>708</v>
      </c>
      <c r="K1" s="94" t="s">
        <v>709</v>
      </c>
      <c r="L1" s="94" t="s">
        <v>710</v>
      </c>
      <c r="M1" s="94" t="s">
        <v>711</v>
      </c>
      <c r="N1" s="94" t="s">
        <v>712</v>
      </c>
      <c r="O1" s="94" t="s">
        <v>713</v>
      </c>
      <c r="P1" s="94" t="s">
        <v>714</v>
      </c>
      <c r="Q1" s="94" t="s">
        <v>715</v>
      </c>
    </row>
    <row r="2" spans="1:17" ht="43.2" customHeight="1" x14ac:dyDescent="0.3">
      <c r="A2" s="99" t="s">
        <v>716</v>
      </c>
      <c r="B2" s="99" t="s">
        <v>717</v>
      </c>
      <c r="C2" s="100" t="s">
        <v>718</v>
      </c>
      <c r="D2" s="100" t="s">
        <v>719</v>
      </c>
      <c r="E2" s="97" t="s">
        <v>720</v>
      </c>
      <c r="F2" s="99"/>
      <c r="G2" s="97"/>
      <c r="H2" s="100" t="s">
        <v>721</v>
      </c>
      <c r="I2" s="99"/>
      <c r="J2" s="99"/>
      <c r="K2" s="99"/>
      <c r="L2" s="99" t="s">
        <v>722</v>
      </c>
      <c r="M2" s="99"/>
      <c r="N2" s="99"/>
      <c r="O2" s="99"/>
      <c r="P2" s="100" t="s">
        <v>723</v>
      </c>
      <c r="Q2" s="100"/>
    </row>
    <row r="3" spans="1:17" ht="28.95" customHeight="1" x14ac:dyDescent="0.3">
      <c r="A3" s="99" t="s">
        <v>724</v>
      </c>
      <c r="B3" s="99" t="s">
        <v>725</v>
      </c>
      <c r="C3" s="100" t="s">
        <v>726</v>
      </c>
      <c r="D3" s="100" t="s">
        <v>727</v>
      </c>
      <c r="E3" s="97" t="s">
        <v>728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729</v>
      </c>
      <c r="Q3" s="100"/>
    </row>
    <row r="4" spans="1:17" ht="43.2" customHeight="1" x14ac:dyDescent="0.3">
      <c r="A4" s="99" t="s">
        <v>730</v>
      </c>
      <c r="B4" s="99" t="s">
        <v>725</v>
      </c>
      <c r="C4" s="100" t="s">
        <v>731</v>
      </c>
      <c r="D4" s="100" t="s">
        <v>732</v>
      </c>
      <c r="E4" s="97" t="s">
        <v>733</v>
      </c>
      <c r="F4" s="99"/>
      <c r="G4" s="97"/>
      <c r="H4" s="100" t="s">
        <v>721</v>
      </c>
      <c r="I4" s="99"/>
      <c r="J4" s="99"/>
      <c r="K4" s="99"/>
      <c r="L4" s="99"/>
      <c r="M4" s="99"/>
      <c r="N4" s="99"/>
      <c r="O4" s="99"/>
      <c r="P4" s="100" t="s">
        <v>734</v>
      </c>
      <c r="Q4" s="100" t="s">
        <v>735</v>
      </c>
    </row>
    <row r="5" spans="1:17" ht="28.95" customHeight="1" x14ac:dyDescent="0.3">
      <c r="A5" s="99" t="s">
        <v>736</v>
      </c>
      <c r="B5" s="99" t="s">
        <v>717</v>
      </c>
      <c r="C5" s="100" t="s">
        <v>737</v>
      </c>
      <c r="D5" s="100" t="s">
        <v>738</v>
      </c>
      <c r="E5" s="97" t="s">
        <v>720</v>
      </c>
      <c r="F5" s="99"/>
      <c r="G5" s="97"/>
      <c r="H5" s="100" t="s">
        <v>739</v>
      </c>
      <c r="I5" s="99" t="s">
        <v>740</v>
      </c>
      <c r="J5" s="99"/>
      <c r="K5" s="99"/>
      <c r="L5" s="99"/>
      <c r="M5" s="99"/>
      <c r="N5" s="99"/>
      <c r="O5" s="99"/>
      <c r="P5" s="100" t="s">
        <v>741</v>
      </c>
      <c r="Q5" s="100" t="s">
        <v>742</v>
      </c>
    </row>
    <row r="6" spans="1:17" ht="28.95" customHeight="1" x14ac:dyDescent="0.3">
      <c r="A6" s="99" t="s">
        <v>743</v>
      </c>
      <c r="B6" s="99" t="s">
        <v>725</v>
      </c>
      <c r="C6" s="100" t="s">
        <v>731</v>
      </c>
      <c r="D6" s="100" t="s">
        <v>744</v>
      </c>
      <c r="E6" s="97" t="s">
        <v>745</v>
      </c>
      <c r="F6" s="99" t="s">
        <v>746</v>
      </c>
      <c r="G6" s="97"/>
      <c r="H6" s="100" t="s">
        <v>721</v>
      </c>
      <c r="I6" s="99"/>
      <c r="J6" s="99"/>
      <c r="K6" s="99"/>
      <c r="L6" s="99"/>
      <c r="M6" s="99"/>
      <c r="N6" s="99"/>
      <c r="O6" s="99"/>
      <c r="P6" s="100" t="s">
        <v>747</v>
      </c>
      <c r="Q6" s="100" t="s">
        <v>748</v>
      </c>
    </row>
    <row r="7" spans="1:17" ht="28.95" customHeight="1" x14ac:dyDescent="0.3">
      <c r="A7" s="99" t="s">
        <v>749</v>
      </c>
      <c r="B7" s="99" t="s">
        <v>725</v>
      </c>
      <c r="C7" s="100" t="s">
        <v>750</v>
      </c>
      <c r="D7" s="100" t="s">
        <v>751</v>
      </c>
      <c r="E7" s="97" t="s">
        <v>752</v>
      </c>
      <c r="F7" s="99" t="s">
        <v>753</v>
      </c>
      <c r="G7" s="97" t="s">
        <v>754</v>
      </c>
      <c r="H7" s="100"/>
      <c r="I7" s="99"/>
      <c r="J7" s="99"/>
      <c r="K7" s="99"/>
      <c r="L7" s="99"/>
      <c r="M7" s="99"/>
      <c r="N7" s="99"/>
      <c r="O7" s="99"/>
      <c r="P7" s="100" t="s">
        <v>755</v>
      </c>
      <c r="Q7" s="100" t="s">
        <v>756</v>
      </c>
    </row>
    <row r="8" spans="1:17" ht="86.4" customHeight="1" x14ac:dyDescent="0.3">
      <c r="A8" s="99" t="s">
        <v>757</v>
      </c>
      <c r="B8" s="99" t="s">
        <v>758</v>
      </c>
      <c r="C8" s="100" t="s">
        <v>759</v>
      </c>
      <c r="D8" s="100" t="s">
        <v>760</v>
      </c>
      <c r="E8" s="97" t="s">
        <v>761</v>
      </c>
      <c r="F8" s="99"/>
      <c r="G8" s="97"/>
      <c r="H8" s="100" t="s">
        <v>762</v>
      </c>
      <c r="I8" s="99"/>
      <c r="J8" s="99"/>
      <c r="K8" s="99" t="s">
        <v>763</v>
      </c>
      <c r="L8" s="99"/>
      <c r="M8" s="99"/>
      <c r="N8" s="99" t="s">
        <v>764</v>
      </c>
      <c r="O8" s="99"/>
      <c r="P8" s="100" t="s">
        <v>765</v>
      </c>
      <c r="Q8" s="100"/>
    </row>
    <row r="9" spans="1:17" ht="201.6" customHeight="1" x14ac:dyDescent="0.3">
      <c r="A9" s="99" t="s">
        <v>766</v>
      </c>
      <c r="B9" s="99" t="s">
        <v>758</v>
      </c>
      <c r="C9" s="100" t="s">
        <v>767</v>
      </c>
      <c r="D9" s="100" t="s">
        <v>768</v>
      </c>
      <c r="E9" s="97" t="s">
        <v>769</v>
      </c>
      <c r="F9" s="99"/>
      <c r="G9" s="97"/>
      <c r="H9" s="100"/>
      <c r="I9" s="99"/>
      <c r="J9" s="99"/>
      <c r="K9" s="99" t="s">
        <v>767</v>
      </c>
      <c r="L9" s="99"/>
      <c r="M9" s="99" t="s">
        <v>770</v>
      </c>
      <c r="N9" s="99"/>
      <c r="O9" s="99"/>
      <c r="P9" s="100"/>
      <c r="Q9" s="100" t="s">
        <v>771</v>
      </c>
    </row>
    <row r="10" spans="1:17" ht="28.95" customHeight="1" x14ac:dyDescent="0.3">
      <c r="A10" s="99" t="s">
        <v>772</v>
      </c>
      <c r="B10" s="99" t="s">
        <v>758</v>
      </c>
      <c r="C10" s="100" t="s">
        <v>773</v>
      </c>
      <c r="D10" s="100" t="s">
        <v>774</v>
      </c>
      <c r="E10" s="97" t="s">
        <v>769</v>
      </c>
      <c r="F10" s="99" t="s">
        <v>775</v>
      </c>
      <c r="G10" s="97"/>
      <c r="H10" s="100"/>
      <c r="I10" s="99"/>
      <c r="J10" s="99"/>
      <c r="K10" s="99" t="s">
        <v>181</v>
      </c>
      <c r="L10" s="99"/>
      <c r="M10" s="99"/>
      <c r="N10" s="99"/>
      <c r="O10" s="99"/>
      <c r="P10" s="100"/>
      <c r="Q10" s="100" t="s">
        <v>776</v>
      </c>
    </row>
    <row r="11" spans="1:17" ht="28.95" customHeight="1" x14ac:dyDescent="0.3"/>
    <row r="12" spans="1:17" ht="28.95" customHeight="1" x14ac:dyDescent="0.3"/>
    <row r="13" spans="1:17" ht="57.6" customHeight="1" x14ac:dyDescent="0.3"/>
    <row r="14" spans="1:17" ht="43.2" customHeight="1" x14ac:dyDescent="0.3"/>
    <row r="15" spans="1:17" ht="28.95" customHeight="1" x14ac:dyDescent="0.3"/>
    <row r="16" spans="1:17" ht="43.2" customHeight="1" x14ac:dyDescent="0.3"/>
    <row r="17" ht="72" customHeight="1" x14ac:dyDescent="0.3"/>
    <row r="18" ht="115.2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57.6" customHeight="1" x14ac:dyDescent="0.3"/>
    <row r="26" ht="28.95" customHeight="1" x14ac:dyDescent="0.3"/>
    <row r="27" ht="28.95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95" customHeight="1" x14ac:dyDescent="0.3"/>
    <row r="34" ht="28.95" customHeight="1" x14ac:dyDescent="0.3"/>
    <row r="35" ht="28.95" customHeight="1" x14ac:dyDescent="0.3"/>
    <row r="36" ht="28.95" customHeight="1" x14ac:dyDescent="0.3"/>
    <row r="37" ht="57.6" customHeight="1" x14ac:dyDescent="0.3"/>
    <row r="38" ht="43.2" customHeight="1" x14ac:dyDescent="0.3"/>
    <row r="39" ht="72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5" ht="43.2" customHeight="1" x14ac:dyDescent="0.3"/>
    <row r="46" ht="57.6" customHeight="1" x14ac:dyDescent="0.3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6640625" customWidth="1"/>
    <col min="2" max="2" width="52.6640625" customWidth="1"/>
    <col min="3" max="3" width="22.6640625" customWidth="1"/>
    <col min="4" max="4" width="13" hidden="1" customWidth="1"/>
    <col min="26" max="26" width="13" hidden="1" customWidth="1"/>
  </cols>
  <sheetData>
    <row r="1" spans="1:26" ht="28.2" customHeight="1" x14ac:dyDescent="0.3">
      <c r="A1" s="140" t="s">
        <v>777</v>
      </c>
      <c r="B1" s="141"/>
      <c r="C1" s="141"/>
      <c r="D1" s="141"/>
      <c r="Z1" t="s">
        <v>778</v>
      </c>
    </row>
    <row r="2" spans="1:26" ht="36" customHeight="1" x14ac:dyDescent="0.3">
      <c r="A2" s="142" t="s">
        <v>779</v>
      </c>
      <c r="B2" s="141"/>
      <c r="C2" s="141"/>
      <c r="D2" s="141"/>
      <c r="Z2" t="s">
        <v>780</v>
      </c>
    </row>
    <row r="3" spans="1:26" ht="30" customHeight="1" x14ac:dyDescent="0.3">
      <c r="Z3">
        <v>48</v>
      </c>
    </row>
    <row r="5" spans="1:26" x14ac:dyDescent="0.3">
      <c r="A5" s="102" t="s">
        <v>781</v>
      </c>
      <c r="B5" s="102" t="s">
        <v>782</v>
      </c>
      <c r="C5" s="102" t="s">
        <v>783</v>
      </c>
    </row>
    <row r="6" spans="1:26" ht="22.2" customHeight="1" x14ac:dyDescent="0.3">
      <c r="A6" s="103"/>
      <c r="B6" s="104" t="s">
        <v>42</v>
      </c>
      <c r="C6" s="103" t="s">
        <v>41</v>
      </c>
      <c r="D6" t="b">
        <v>1</v>
      </c>
    </row>
    <row r="7" spans="1:26" ht="22.2" customHeight="1" x14ac:dyDescent="0.3">
      <c r="A7" s="103"/>
      <c r="B7" s="104" t="s">
        <v>30</v>
      </c>
      <c r="C7" s="103" t="s">
        <v>29</v>
      </c>
      <c r="D7" t="b">
        <v>0</v>
      </c>
    </row>
    <row r="8" spans="1:26" ht="22.2" customHeight="1" x14ac:dyDescent="0.3">
      <c r="A8" s="103"/>
      <c r="B8" s="104" t="s">
        <v>33</v>
      </c>
      <c r="C8" s="103" t="s">
        <v>32</v>
      </c>
      <c r="D8" t="b">
        <v>0</v>
      </c>
    </row>
    <row r="9" spans="1:26" ht="22.2" customHeight="1" x14ac:dyDescent="0.3">
      <c r="A9" s="103"/>
      <c r="B9" s="104" t="s">
        <v>37</v>
      </c>
      <c r="C9" s="103" t="s">
        <v>36</v>
      </c>
      <c r="D9" t="b">
        <v>0</v>
      </c>
    </row>
    <row r="10" spans="1:26" ht="22.2" customHeight="1" x14ac:dyDescent="0.3">
      <c r="A10" s="103"/>
      <c r="B10" s="104" t="s">
        <v>40</v>
      </c>
      <c r="C10" s="103" t="s">
        <v>39</v>
      </c>
      <c r="D10" t="b">
        <v>1</v>
      </c>
    </row>
    <row r="11" spans="1:26" ht="22.2" customHeight="1" x14ac:dyDescent="0.3">
      <c r="A11" s="103"/>
      <c r="B11" s="104" t="s">
        <v>24</v>
      </c>
      <c r="C11" s="103" t="s">
        <v>23</v>
      </c>
      <c r="D11" t="b">
        <v>0</v>
      </c>
    </row>
    <row r="12" spans="1:26" ht="22.2" customHeight="1" x14ac:dyDescent="0.3">
      <c r="A12" s="103"/>
      <c r="B12" s="104" t="s">
        <v>27</v>
      </c>
      <c r="C12" s="103" t="s">
        <v>26</v>
      </c>
      <c r="D12" t="b">
        <v>1</v>
      </c>
    </row>
    <row r="13" spans="1:26" ht="22.2" customHeight="1" x14ac:dyDescent="0.3">
      <c r="A13" s="103"/>
      <c r="B13" s="104" t="s">
        <v>45</v>
      </c>
      <c r="C13" s="103" t="s">
        <v>44</v>
      </c>
      <c r="D13" t="b">
        <v>0</v>
      </c>
    </row>
    <row r="14" spans="1:26" ht="22.2" customHeight="1" x14ac:dyDescent="0.3">
      <c r="A14" s="103"/>
      <c r="B14" s="104" t="s">
        <v>47</v>
      </c>
      <c r="C14" s="103" t="s">
        <v>46</v>
      </c>
      <c r="D14" t="b">
        <v>0</v>
      </c>
    </row>
    <row r="15" spans="1:26" ht="22.2" customHeight="1" x14ac:dyDescent="0.3">
      <c r="A15" s="103"/>
      <c r="B15" s="104" t="s">
        <v>50</v>
      </c>
      <c r="C15" s="103" t="s">
        <v>49</v>
      </c>
      <c r="D15" t="b">
        <v>1</v>
      </c>
    </row>
    <row r="16" spans="1:26" ht="22.2" customHeight="1" x14ac:dyDescent="0.3">
      <c r="A16" s="103"/>
      <c r="B16" s="104" t="s">
        <v>54</v>
      </c>
      <c r="C16" s="103" t="s">
        <v>53</v>
      </c>
      <c r="D16" t="b">
        <v>0</v>
      </c>
    </row>
    <row r="17" spans="1:4" ht="22.2" customHeight="1" x14ac:dyDescent="0.3">
      <c r="A17" s="103"/>
      <c r="B17" s="104" t="s">
        <v>57</v>
      </c>
      <c r="C17" s="103" t="s">
        <v>56</v>
      </c>
      <c r="D17" t="b">
        <v>0</v>
      </c>
    </row>
    <row r="18" spans="1:4" ht="22.2" customHeight="1" x14ac:dyDescent="0.3">
      <c r="A18" s="103"/>
      <c r="B18" s="104" t="s">
        <v>19</v>
      </c>
      <c r="C18" s="103" t="s">
        <v>18</v>
      </c>
      <c r="D18" t="b">
        <v>0</v>
      </c>
    </row>
    <row r="19" spans="1:4" ht="22.2" customHeight="1" x14ac:dyDescent="0.3">
      <c r="A19" s="103"/>
      <c r="B19" s="104" t="s">
        <v>109</v>
      </c>
      <c r="C19" s="103" t="s">
        <v>108</v>
      </c>
      <c r="D19" t="b">
        <v>0</v>
      </c>
    </row>
    <row r="20" spans="1:4" ht="22.2" customHeight="1" x14ac:dyDescent="0.3">
      <c r="A20" s="103"/>
      <c r="B20" s="104" t="s">
        <v>59</v>
      </c>
      <c r="C20" s="103" t="s">
        <v>58</v>
      </c>
      <c r="D20" t="b">
        <v>0</v>
      </c>
    </row>
    <row r="21" spans="1:4" ht="22.2" customHeight="1" x14ac:dyDescent="0.3">
      <c r="A21" s="103"/>
      <c r="B21" s="104" t="s">
        <v>62</v>
      </c>
      <c r="C21" s="103" t="s">
        <v>61</v>
      </c>
      <c r="D21" t="b">
        <v>0</v>
      </c>
    </row>
    <row r="22" spans="1:4" ht="22.2" customHeight="1" x14ac:dyDescent="0.3">
      <c r="A22" s="103"/>
      <c r="B22" s="104" t="s">
        <v>128</v>
      </c>
      <c r="C22" s="103" t="s">
        <v>127</v>
      </c>
      <c r="D22" t="b">
        <v>0</v>
      </c>
    </row>
    <row r="23" spans="1:4" ht="22.2" customHeight="1" x14ac:dyDescent="0.3">
      <c r="A23" s="103"/>
      <c r="B23" s="104" t="s">
        <v>106</v>
      </c>
      <c r="C23" s="103" t="s">
        <v>105</v>
      </c>
      <c r="D23" t="b">
        <v>0</v>
      </c>
    </row>
    <row r="24" spans="1:4" ht="22.2" customHeight="1" x14ac:dyDescent="0.3">
      <c r="A24" s="103"/>
      <c r="B24" s="104" t="s">
        <v>64</v>
      </c>
      <c r="C24" s="103" t="s">
        <v>63</v>
      </c>
      <c r="D24" t="b">
        <v>0</v>
      </c>
    </row>
    <row r="25" spans="1:4" ht="22.2" customHeight="1" x14ac:dyDescent="0.3">
      <c r="A25" s="103"/>
      <c r="B25" s="104" t="s">
        <v>64</v>
      </c>
      <c r="C25" s="103" t="s">
        <v>115</v>
      </c>
      <c r="D25" t="b">
        <v>0</v>
      </c>
    </row>
    <row r="26" spans="1:4" ht="22.2" customHeight="1" x14ac:dyDescent="0.3">
      <c r="A26" s="103"/>
      <c r="B26" s="104" t="s">
        <v>120</v>
      </c>
      <c r="C26" s="103" t="s">
        <v>119</v>
      </c>
      <c r="D26" t="b">
        <v>0</v>
      </c>
    </row>
    <row r="27" spans="1:4" ht="22.2" customHeight="1" x14ac:dyDescent="0.3">
      <c r="A27" s="103"/>
      <c r="B27" s="104" t="s">
        <v>124</v>
      </c>
      <c r="C27" s="103" t="s">
        <v>123</v>
      </c>
      <c r="D27" t="b">
        <v>0</v>
      </c>
    </row>
    <row r="28" spans="1:4" ht="22.2" customHeight="1" x14ac:dyDescent="0.3">
      <c r="A28" s="103"/>
      <c r="B28" s="104" t="s">
        <v>126</v>
      </c>
      <c r="C28" s="103" t="s">
        <v>125</v>
      </c>
      <c r="D28" t="b">
        <v>0</v>
      </c>
    </row>
    <row r="29" spans="1:4" ht="22.2" customHeight="1" x14ac:dyDescent="0.3">
      <c r="A29" s="103"/>
      <c r="B29" s="104" t="s">
        <v>112</v>
      </c>
      <c r="C29" s="103" t="s">
        <v>111</v>
      </c>
      <c r="D29" t="b">
        <v>0</v>
      </c>
    </row>
    <row r="30" spans="1:4" ht="22.2" customHeight="1" x14ac:dyDescent="0.3">
      <c r="A30" s="103"/>
      <c r="B30" s="104" t="s">
        <v>114</v>
      </c>
      <c r="C30" s="103" t="s">
        <v>113</v>
      </c>
      <c r="D30" t="b">
        <v>0</v>
      </c>
    </row>
    <row r="31" spans="1:4" ht="22.2" customHeight="1" x14ac:dyDescent="0.3">
      <c r="A31" s="103"/>
      <c r="B31" s="104" t="s">
        <v>103</v>
      </c>
      <c r="C31" s="103" t="s">
        <v>102</v>
      </c>
      <c r="D31" t="b">
        <v>0</v>
      </c>
    </row>
    <row r="32" spans="1:4" ht="22.2" customHeight="1" x14ac:dyDescent="0.3">
      <c r="A32" s="103"/>
      <c r="B32" s="104" t="s">
        <v>67</v>
      </c>
      <c r="C32" s="103" t="s">
        <v>66</v>
      </c>
      <c r="D32" t="b">
        <v>0</v>
      </c>
    </row>
    <row r="33" spans="1:4" ht="22.2" customHeight="1" x14ac:dyDescent="0.3">
      <c r="A33" s="103"/>
      <c r="B33" s="104" t="s">
        <v>70</v>
      </c>
      <c r="C33" s="103" t="s">
        <v>69</v>
      </c>
      <c r="D33" t="b">
        <v>0</v>
      </c>
    </row>
    <row r="34" spans="1:4" ht="22.2" customHeight="1" x14ac:dyDescent="0.3">
      <c r="A34" s="103"/>
      <c r="B34" s="104" t="s">
        <v>74</v>
      </c>
      <c r="C34" s="103" t="s">
        <v>73</v>
      </c>
      <c r="D34" t="b">
        <v>0</v>
      </c>
    </row>
    <row r="35" spans="1:4" ht="22.2" customHeight="1" x14ac:dyDescent="0.3">
      <c r="A35" s="103"/>
      <c r="B35" s="104" t="s">
        <v>72</v>
      </c>
      <c r="C35" s="103" t="s">
        <v>71</v>
      </c>
      <c r="D35" t="b">
        <v>0</v>
      </c>
    </row>
    <row r="36" spans="1:4" ht="22.2" customHeight="1" x14ac:dyDescent="0.3">
      <c r="A36" s="103"/>
      <c r="B36" s="104" t="s">
        <v>81</v>
      </c>
      <c r="C36" s="103" t="s">
        <v>80</v>
      </c>
      <c r="D36" t="b">
        <v>0</v>
      </c>
    </row>
    <row r="37" spans="1:4" ht="22.2" customHeight="1" x14ac:dyDescent="0.3">
      <c r="A37" s="103"/>
      <c r="B37" s="104" t="s">
        <v>79</v>
      </c>
      <c r="C37" s="103" t="s">
        <v>78</v>
      </c>
      <c r="D37" t="b">
        <v>0</v>
      </c>
    </row>
    <row r="38" spans="1:4" ht="22.2" customHeight="1" x14ac:dyDescent="0.3">
      <c r="A38" s="103"/>
      <c r="B38" s="104" t="s">
        <v>83</v>
      </c>
      <c r="C38" s="103" t="s">
        <v>82</v>
      </c>
      <c r="D38" t="b">
        <v>0</v>
      </c>
    </row>
    <row r="39" spans="1:4" ht="22.2" customHeight="1" x14ac:dyDescent="0.3">
      <c r="A39" s="103"/>
      <c r="B39" s="104" t="s">
        <v>85</v>
      </c>
      <c r="C39" s="103" t="s">
        <v>84</v>
      </c>
      <c r="D39" t="b">
        <v>0</v>
      </c>
    </row>
    <row r="40" spans="1:4" ht="22.2" customHeight="1" x14ac:dyDescent="0.3">
      <c r="A40" s="103"/>
      <c r="B40" s="104" t="s">
        <v>88</v>
      </c>
      <c r="C40" s="103" t="s">
        <v>87</v>
      </c>
      <c r="D40" t="b">
        <v>0</v>
      </c>
    </row>
    <row r="41" spans="1:4" ht="22.2" customHeight="1" x14ac:dyDescent="0.3">
      <c r="A41" s="103"/>
      <c r="B41" s="104" t="s">
        <v>90</v>
      </c>
      <c r="C41" s="103" t="s">
        <v>89</v>
      </c>
      <c r="D41" t="b">
        <v>0</v>
      </c>
    </row>
    <row r="42" spans="1:4" ht="22.2" customHeight="1" x14ac:dyDescent="0.3">
      <c r="A42" s="103"/>
      <c r="B42" s="104" t="s">
        <v>122</v>
      </c>
      <c r="C42" s="103" t="s">
        <v>121</v>
      </c>
      <c r="D42" t="b">
        <v>0</v>
      </c>
    </row>
    <row r="43" spans="1:4" ht="22.2" customHeight="1" x14ac:dyDescent="0.3">
      <c r="A43" s="103"/>
      <c r="B43" s="104" t="s">
        <v>117</v>
      </c>
      <c r="C43" s="103" t="s">
        <v>75</v>
      </c>
      <c r="D43" t="b">
        <v>0</v>
      </c>
    </row>
    <row r="44" spans="1:4" ht="22.2" customHeight="1" x14ac:dyDescent="0.3">
      <c r="A44" s="103"/>
      <c r="B44" s="104" t="s">
        <v>101</v>
      </c>
      <c r="C44" s="103" t="s">
        <v>43</v>
      </c>
      <c r="D44" t="b">
        <v>1</v>
      </c>
    </row>
    <row r="45" spans="1:4" ht="22.2" customHeight="1" x14ac:dyDescent="0.3">
      <c r="A45" s="103"/>
      <c r="B45" s="104" t="s">
        <v>92</v>
      </c>
      <c r="C45" s="103" t="s">
        <v>91</v>
      </c>
      <c r="D45" t="b">
        <v>1</v>
      </c>
    </row>
    <row r="46" spans="1:4" ht="22.2" customHeight="1" x14ac:dyDescent="0.3">
      <c r="A46" s="103"/>
      <c r="B46" s="104" t="s">
        <v>96</v>
      </c>
      <c r="C46" s="103" t="s">
        <v>95</v>
      </c>
      <c r="D46" t="b">
        <v>0</v>
      </c>
    </row>
    <row r="47" spans="1:4" ht="22.2" customHeight="1" x14ac:dyDescent="0.3">
      <c r="A47" s="103"/>
      <c r="B47" s="104" t="s">
        <v>98</v>
      </c>
      <c r="C47" s="103" t="s">
        <v>97</v>
      </c>
      <c r="D47" t="b">
        <v>1</v>
      </c>
    </row>
    <row r="48" spans="1:4" ht="22.2" customHeight="1" x14ac:dyDescent="0.3">
      <c r="A48" s="103"/>
      <c r="B48" s="104" t="s">
        <v>100</v>
      </c>
      <c r="C48" s="103" t="s">
        <v>99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33203125" customWidth="1"/>
    <col min="7" max="7" width="172.6640625" bestFit="1" customWidth="1"/>
    <col min="8" max="8" width="28.44140625" bestFit="1" customWidth="1"/>
  </cols>
  <sheetData>
    <row r="1" spans="1:8" ht="22.2" customHeight="1" x14ac:dyDescent="0.3">
      <c r="A1" s="94" t="s">
        <v>323</v>
      </c>
      <c r="B1" s="94" t="s">
        <v>1</v>
      </c>
      <c r="C1" s="94" t="s">
        <v>8</v>
      </c>
      <c r="D1" s="94" t="s">
        <v>784</v>
      </c>
      <c r="E1" s="94" t="s">
        <v>703</v>
      </c>
      <c r="F1" s="94" t="s">
        <v>17</v>
      </c>
      <c r="G1" s="94" t="s">
        <v>714</v>
      </c>
      <c r="H1" s="94" t="s">
        <v>785</v>
      </c>
    </row>
    <row r="2" spans="1:8" ht="230.4" customHeight="1" x14ac:dyDescent="0.3">
      <c r="A2" s="99" t="s">
        <v>786</v>
      </c>
      <c r="B2" s="100" t="s">
        <v>787</v>
      </c>
      <c r="C2" s="99" t="s">
        <v>788</v>
      </c>
      <c r="D2" s="100" t="s">
        <v>789</v>
      </c>
      <c r="E2" s="99">
        <v>2024</v>
      </c>
      <c r="F2" s="100" t="s">
        <v>790</v>
      </c>
      <c r="G2" t="s">
        <v>791</v>
      </c>
      <c r="H2" t="s">
        <v>792</v>
      </c>
    </row>
    <row r="3" spans="1:8" ht="57.6" customHeight="1" x14ac:dyDescent="0.3">
      <c r="A3" s="99" t="s">
        <v>793</v>
      </c>
      <c r="B3" s="100" t="s">
        <v>794</v>
      </c>
      <c r="C3" s="99" t="s">
        <v>795</v>
      </c>
      <c r="D3" s="100" t="s">
        <v>796</v>
      </c>
      <c r="E3" s="99">
        <v>2021</v>
      </c>
      <c r="F3" s="100" t="s">
        <v>797</v>
      </c>
      <c r="G3" t="s">
        <v>798</v>
      </c>
      <c r="H3" t="s">
        <v>799</v>
      </c>
    </row>
    <row r="4" spans="1:8" ht="57.6" customHeight="1" x14ac:dyDescent="0.3">
      <c r="A4" s="99" t="s">
        <v>800</v>
      </c>
      <c r="B4" s="100" t="s">
        <v>801</v>
      </c>
      <c r="C4" s="99" t="s">
        <v>795</v>
      </c>
      <c r="D4" s="100" t="s">
        <v>802</v>
      </c>
      <c r="E4" s="99">
        <v>1986</v>
      </c>
      <c r="F4" s="100" t="s">
        <v>803</v>
      </c>
      <c r="G4" t="s">
        <v>804</v>
      </c>
      <c r="H4" t="s">
        <v>805</v>
      </c>
    </row>
    <row r="5" spans="1:8" ht="72" customHeight="1" x14ac:dyDescent="0.3">
      <c r="A5" s="99" t="s">
        <v>806</v>
      </c>
      <c r="B5" s="100" t="s">
        <v>807</v>
      </c>
      <c r="C5" s="99" t="s">
        <v>795</v>
      </c>
      <c r="D5" s="100" t="s">
        <v>808</v>
      </c>
      <c r="E5" s="99">
        <v>2016</v>
      </c>
      <c r="F5" s="100" t="s">
        <v>809</v>
      </c>
      <c r="G5" t="s">
        <v>810</v>
      </c>
      <c r="H5" t="s">
        <v>811</v>
      </c>
    </row>
    <row r="6" spans="1:8" ht="72" customHeight="1" x14ac:dyDescent="0.3">
      <c r="A6" s="99" t="s">
        <v>812</v>
      </c>
      <c r="B6" s="100" t="s">
        <v>813</v>
      </c>
      <c r="C6" s="99" t="s">
        <v>814</v>
      </c>
      <c r="D6" s="100" t="s">
        <v>815</v>
      </c>
      <c r="E6" s="99">
        <v>2025</v>
      </c>
      <c r="F6" s="100" t="s">
        <v>816</v>
      </c>
      <c r="G6" t="s">
        <v>817</v>
      </c>
      <c r="H6" t="s">
        <v>818</v>
      </c>
    </row>
    <row r="7" spans="1:8" ht="43.2" customHeight="1" x14ac:dyDescent="0.3">
      <c r="A7" s="99" t="s">
        <v>819</v>
      </c>
      <c r="B7" s="100" t="s">
        <v>820</v>
      </c>
      <c r="C7" s="99" t="s">
        <v>795</v>
      </c>
      <c r="D7" s="100" t="s">
        <v>821</v>
      </c>
      <c r="E7" s="99">
        <v>2018</v>
      </c>
      <c r="F7" s="100" t="s">
        <v>822</v>
      </c>
      <c r="G7" t="s">
        <v>823</v>
      </c>
      <c r="H7" t="s">
        <v>824</v>
      </c>
    </row>
    <row r="8" spans="1:8" ht="158.4" customHeight="1" x14ac:dyDescent="0.3">
      <c r="A8" s="99" t="s">
        <v>825</v>
      </c>
      <c r="B8" s="100" t="s">
        <v>826</v>
      </c>
      <c r="C8" s="99" t="s">
        <v>795</v>
      </c>
      <c r="D8" s="100" t="s">
        <v>827</v>
      </c>
      <c r="E8" s="99">
        <v>2026</v>
      </c>
      <c r="F8" s="100" t="s">
        <v>828</v>
      </c>
      <c r="G8" t="s">
        <v>829</v>
      </c>
      <c r="H8" t="s">
        <v>830</v>
      </c>
    </row>
    <row r="9" spans="1:8" ht="72" customHeight="1" x14ac:dyDescent="0.3">
      <c r="A9" s="99" t="s">
        <v>831</v>
      </c>
      <c r="B9" s="100" t="s">
        <v>832</v>
      </c>
      <c r="C9" s="99" t="s">
        <v>795</v>
      </c>
      <c r="D9" s="100" t="s">
        <v>833</v>
      </c>
      <c r="E9" s="99">
        <v>2022</v>
      </c>
      <c r="F9" s="100" t="s">
        <v>834</v>
      </c>
      <c r="G9" t="s">
        <v>835</v>
      </c>
      <c r="H9" t="s">
        <v>836</v>
      </c>
    </row>
    <row r="10" spans="1:8" x14ac:dyDescent="0.3">
      <c r="A10" s="99" t="s">
        <v>837</v>
      </c>
      <c r="B10" s="100" t="s">
        <v>838</v>
      </c>
      <c r="C10" s="99" t="s">
        <v>795</v>
      </c>
      <c r="D10" s="100" t="s">
        <v>839</v>
      </c>
      <c r="E10" s="99">
        <v>2012</v>
      </c>
      <c r="F10" s="100"/>
      <c r="H10" t="s">
        <v>840</v>
      </c>
    </row>
    <row r="11" spans="1:8" x14ac:dyDescent="0.3">
      <c r="A11" s="99" t="s">
        <v>841</v>
      </c>
      <c r="B11" s="100" t="s">
        <v>451</v>
      </c>
      <c r="C11" s="99" t="s">
        <v>795</v>
      </c>
      <c r="D11" s="100" t="s">
        <v>842</v>
      </c>
      <c r="E11" s="99">
        <v>2012</v>
      </c>
      <c r="F11" s="100"/>
      <c r="H11" t="s">
        <v>843</v>
      </c>
    </row>
    <row r="12" spans="1:8" x14ac:dyDescent="0.3">
      <c r="A12" s="99" t="s">
        <v>844</v>
      </c>
      <c r="B12" s="100" t="s">
        <v>845</v>
      </c>
      <c r="C12" s="99" t="s">
        <v>846</v>
      </c>
      <c r="D12" s="100" t="s">
        <v>847</v>
      </c>
      <c r="E12" s="99">
        <v>2005</v>
      </c>
      <c r="F12" s="100"/>
      <c r="H12" t="s">
        <v>848</v>
      </c>
    </row>
    <row r="13" spans="1:8" ht="30" customHeight="1" x14ac:dyDescent="0.3">
      <c r="A13" s="99" t="s">
        <v>849</v>
      </c>
      <c r="B13" s="100" t="s">
        <v>440</v>
      </c>
      <c r="C13" s="99" t="s">
        <v>795</v>
      </c>
      <c r="D13" s="100" t="s">
        <v>850</v>
      </c>
      <c r="E13" s="99">
        <v>2004</v>
      </c>
      <c r="F13" s="100"/>
      <c r="H13" t="s">
        <v>851</v>
      </c>
    </row>
    <row r="14" spans="1:8" ht="57.6" customHeight="1" x14ac:dyDescent="0.3">
      <c r="A14" s="99" t="s">
        <v>852</v>
      </c>
      <c r="B14" s="100" t="s">
        <v>853</v>
      </c>
      <c r="C14" s="99" t="s">
        <v>854</v>
      </c>
      <c r="D14" s="100" t="s">
        <v>855</v>
      </c>
      <c r="E14" s="99">
        <v>2017</v>
      </c>
      <c r="F14" s="100" t="s">
        <v>856</v>
      </c>
      <c r="H14" t="s">
        <v>857</v>
      </c>
    </row>
    <row r="15" spans="1:8" ht="28.95" customHeight="1" x14ac:dyDescent="0.3">
      <c r="A15" s="99" t="s">
        <v>858</v>
      </c>
      <c r="B15" s="100" t="s">
        <v>859</v>
      </c>
      <c r="C15" s="99" t="s">
        <v>860</v>
      </c>
      <c r="D15" s="100" t="s">
        <v>859</v>
      </c>
      <c r="E15" s="99" t="s">
        <v>861</v>
      </c>
      <c r="F15" s="100" t="s">
        <v>862</v>
      </c>
      <c r="G15" t="s">
        <v>863</v>
      </c>
      <c r="H15" t="s">
        <v>864</v>
      </c>
    </row>
    <row r="16" spans="1:8" ht="28.95" customHeight="1" x14ac:dyDescent="0.3">
      <c r="A16" s="99" t="s">
        <v>865</v>
      </c>
      <c r="B16" s="100" t="s">
        <v>866</v>
      </c>
      <c r="C16" s="99" t="s">
        <v>860</v>
      </c>
      <c r="D16" s="100" t="s">
        <v>866</v>
      </c>
      <c r="E16" s="99" t="s">
        <v>867</v>
      </c>
      <c r="F16" s="100" t="s">
        <v>862</v>
      </c>
      <c r="G16" t="s">
        <v>868</v>
      </c>
      <c r="H16" t="s">
        <v>869</v>
      </c>
    </row>
    <row r="17" spans="1:8" ht="28.95" customHeight="1" x14ac:dyDescent="0.3">
      <c r="A17" s="99" t="s">
        <v>870</v>
      </c>
      <c r="B17" s="100" t="s">
        <v>871</v>
      </c>
      <c r="C17" s="99" t="s">
        <v>860</v>
      </c>
      <c r="D17" s="100" t="s">
        <v>871</v>
      </c>
      <c r="E17" s="99" t="s">
        <v>872</v>
      </c>
      <c r="F17" s="100" t="s">
        <v>862</v>
      </c>
      <c r="G17" t="s">
        <v>873</v>
      </c>
      <c r="H17" t="s">
        <v>874</v>
      </c>
    </row>
    <row r="18" spans="1:8" ht="28.95" customHeight="1" x14ac:dyDescent="0.3">
      <c r="A18" s="99" t="s">
        <v>875</v>
      </c>
      <c r="B18" s="100" t="s">
        <v>876</v>
      </c>
      <c r="C18" s="99" t="s">
        <v>860</v>
      </c>
      <c r="D18" s="100" t="s">
        <v>876</v>
      </c>
      <c r="E18" s="99" t="s">
        <v>872</v>
      </c>
      <c r="F18" s="100" t="s">
        <v>862</v>
      </c>
      <c r="G18" t="s">
        <v>877</v>
      </c>
      <c r="H18" t="s">
        <v>878</v>
      </c>
    </row>
    <row r="19" spans="1:8" ht="28.95" customHeight="1" x14ac:dyDescent="0.3">
      <c r="A19" s="99" t="s">
        <v>879</v>
      </c>
      <c r="B19" s="100" t="s">
        <v>880</v>
      </c>
      <c r="C19" s="99" t="s">
        <v>860</v>
      </c>
      <c r="D19" s="100" t="s">
        <v>880</v>
      </c>
      <c r="E19" s="99" t="s">
        <v>769</v>
      </c>
      <c r="F19" s="100" t="s">
        <v>862</v>
      </c>
      <c r="G19" t="s">
        <v>881</v>
      </c>
      <c r="H19" t="s">
        <v>882</v>
      </c>
    </row>
    <row r="20" spans="1:8" ht="28.95" customHeight="1" x14ac:dyDescent="0.3">
      <c r="A20" s="99" t="s">
        <v>883</v>
      </c>
      <c r="B20" s="100" t="s">
        <v>884</v>
      </c>
      <c r="C20" s="99" t="s">
        <v>860</v>
      </c>
      <c r="D20" s="100" t="s">
        <v>884</v>
      </c>
      <c r="E20" s="99" t="s">
        <v>745</v>
      </c>
      <c r="F20" s="100" t="s">
        <v>862</v>
      </c>
      <c r="G20" t="s">
        <v>885</v>
      </c>
      <c r="H20" t="s">
        <v>886</v>
      </c>
    </row>
    <row r="21" spans="1:8" ht="28.95" customHeight="1" x14ac:dyDescent="0.3">
      <c r="A21" s="99" t="s">
        <v>887</v>
      </c>
      <c r="B21" s="100" t="s">
        <v>888</v>
      </c>
      <c r="C21" s="99" t="s">
        <v>860</v>
      </c>
      <c r="D21" s="100" t="s">
        <v>888</v>
      </c>
      <c r="E21" s="99" t="s">
        <v>733</v>
      </c>
      <c r="F21" s="100" t="s">
        <v>862</v>
      </c>
      <c r="G21" t="s">
        <v>889</v>
      </c>
      <c r="H21" t="s">
        <v>890</v>
      </c>
    </row>
    <row r="22" spans="1:8" ht="28.95" customHeight="1" x14ac:dyDescent="0.3">
      <c r="A22" s="99" t="s">
        <v>891</v>
      </c>
      <c r="B22" s="100" t="s">
        <v>892</v>
      </c>
      <c r="C22" s="99" t="s">
        <v>860</v>
      </c>
      <c r="D22" s="100" t="s">
        <v>892</v>
      </c>
      <c r="E22" s="99" t="s">
        <v>761</v>
      </c>
      <c r="F22" s="100" t="s">
        <v>862</v>
      </c>
      <c r="G22" t="s">
        <v>893</v>
      </c>
      <c r="H22" t="s">
        <v>894</v>
      </c>
    </row>
    <row r="23" spans="1:8" ht="28.95" customHeight="1" x14ac:dyDescent="0.3">
      <c r="A23" s="99" t="s">
        <v>895</v>
      </c>
      <c r="B23" s="100" t="s">
        <v>896</v>
      </c>
      <c r="C23" s="99" t="s">
        <v>860</v>
      </c>
      <c r="D23" s="100" t="s">
        <v>896</v>
      </c>
      <c r="E23" s="99" t="s">
        <v>897</v>
      </c>
      <c r="F23" s="100" t="s">
        <v>862</v>
      </c>
      <c r="G23" t="s">
        <v>898</v>
      </c>
      <c r="H23" t="s">
        <v>899</v>
      </c>
    </row>
    <row r="24" spans="1:8" ht="28.95" customHeight="1" x14ac:dyDescent="0.3">
      <c r="A24" s="99" t="s">
        <v>900</v>
      </c>
      <c r="B24" s="100" t="s">
        <v>901</v>
      </c>
      <c r="C24" s="99" t="s">
        <v>860</v>
      </c>
      <c r="D24" s="100" t="s">
        <v>901</v>
      </c>
      <c r="E24" s="99" t="s">
        <v>733</v>
      </c>
      <c r="F24" s="100" t="s">
        <v>862</v>
      </c>
      <c r="G24" t="s">
        <v>902</v>
      </c>
      <c r="H24" t="s">
        <v>903</v>
      </c>
    </row>
    <row r="25" spans="1:8" ht="28.95" customHeight="1" x14ac:dyDescent="0.3">
      <c r="A25" s="99" t="s">
        <v>904</v>
      </c>
      <c r="B25" s="100" t="s">
        <v>905</v>
      </c>
      <c r="C25" s="99" t="s">
        <v>860</v>
      </c>
      <c r="D25" s="100" t="s">
        <v>905</v>
      </c>
      <c r="E25" s="99" t="s">
        <v>906</v>
      </c>
      <c r="F25" s="100" t="s">
        <v>862</v>
      </c>
      <c r="G25" t="s">
        <v>907</v>
      </c>
      <c r="H25" t="s">
        <v>908</v>
      </c>
    </row>
    <row r="26" spans="1:8" ht="28.95" customHeight="1" x14ac:dyDescent="0.3">
      <c r="A26" s="99" t="s">
        <v>909</v>
      </c>
      <c r="B26" s="100" t="s">
        <v>910</v>
      </c>
      <c r="C26" s="99" t="s">
        <v>860</v>
      </c>
      <c r="D26" s="100" t="s">
        <v>910</v>
      </c>
      <c r="E26" s="99" t="s">
        <v>911</v>
      </c>
      <c r="F26" s="100" t="s">
        <v>862</v>
      </c>
      <c r="G26" t="s">
        <v>912</v>
      </c>
      <c r="H26" t="s">
        <v>913</v>
      </c>
    </row>
    <row r="27" spans="1:8" ht="28.95" customHeight="1" x14ac:dyDescent="0.3">
      <c r="A27" s="99" t="s">
        <v>914</v>
      </c>
      <c r="B27" s="100" t="s">
        <v>915</v>
      </c>
      <c r="C27" s="99" t="s">
        <v>860</v>
      </c>
      <c r="D27" s="100" t="s">
        <v>915</v>
      </c>
      <c r="E27" s="99" t="s">
        <v>769</v>
      </c>
      <c r="F27" s="100" t="s">
        <v>862</v>
      </c>
      <c r="G27" t="s">
        <v>916</v>
      </c>
      <c r="H27" t="s">
        <v>917</v>
      </c>
    </row>
    <row r="28" spans="1:8" ht="28.95" customHeight="1" x14ac:dyDescent="0.3">
      <c r="A28" s="99" t="s">
        <v>918</v>
      </c>
      <c r="B28" s="100" t="s">
        <v>919</v>
      </c>
      <c r="C28" s="99" t="s">
        <v>860</v>
      </c>
      <c r="D28" s="100" t="s">
        <v>919</v>
      </c>
      <c r="E28" s="99" t="s">
        <v>920</v>
      </c>
      <c r="F28" s="100" t="s">
        <v>862</v>
      </c>
      <c r="G28" t="s">
        <v>921</v>
      </c>
      <c r="H28" t="s">
        <v>922</v>
      </c>
    </row>
    <row r="29" spans="1:8" ht="28.95" customHeight="1" x14ac:dyDescent="0.3">
      <c r="A29" s="99" t="s">
        <v>923</v>
      </c>
      <c r="B29" s="100" t="s">
        <v>924</v>
      </c>
      <c r="C29" s="99" t="s">
        <v>860</v>
      </c>
      <c r="D29" s="100" t="s">
        <v>924</v>
      </c>
      <c r="E29" s="99" t="s">
        <v>872</v>
      </c>
      <c r="F29" s="100" t="s">
        <v>862</v>
      </c>
      <c r="G29" t="s">
        <v>925</v>
      </c>
      <c r="H29" t="s">
        <v>926</v>
      </c>
    </row>
    <row r="30" spans="1:8" ht="28.95" customHeight="1" x14ac:dyDescent="0.3">
      <c r="A30" s="99" t="s">
        <v>927</v>
      </c>
      <c r="B30" s="100" t="s">
        <v>928</v>
      </c>
      <c r="C30" s="99" t="s">
        <v>860</v>
      </c>
      <c r="D30" s="100" t="s">
        <v>928</v>
      </c>
      <c r="E30" s="99" t="s">
        <v>929</v>
      </c>
      <c r="F30" s="100" t="s">
        <v>862</v>
      </c>
      <c r="G30" t="s">
        <v>930</v>
      </c>
      <c r="H30" t="s">
        <v>931</v>
      </c>
    </row>
    <row r="31" spans="1:8" ht="28.95" customHeight="1" x14ac:dyDescent="0.3">
      <c r="A31" s="99" t="s">
        <v>932</v>
      </c>
      <c r="B31" s="100" t="s">
        <v>933</v>
      </c>
      <c r="C31" s="99" t="s">
        <v>860</v>
      </c>
      <c r="D31" s="100" t="s">
        <v>933</v>
      </c>
      <c r="E31" s="99" t="s">
        <v>934</v>
      </c>
      <c r="F31" s="100" t="s">
        <v>862</v>
      </c>
      <c r="G31" t="s">
        <v>935</v>
      </c>
      <c r="H31" t="s">
        <v>936</v>
      </c>
    </row>
    <row r="32" spans="1:8" ht="28.95" customHeight="1" x14ac:dyDescent="0.3">
      <c r="A32" s="99" t="s">
        <v>937</v>
      </c>
      <c r="B32" s="100" t="s">
        <v>938</v>
      </c>
      <c r="C32" s="99" t="s">
        <v>860</v>
      </c>
      <c r="D32" s="100" t="s">
        <v>938</v>
      </c>
      <c r="E32" s="99" t="s">
        <v>939</v>
      </c>
      <c r="F32" s="100" t="s">
        <v>862</v>
      </c>
      <c r="G32" t="s">
        <v>940</v>
      </c>
      <c r="H32" t="s">
        <v>941</v>
      </c>
    </row>
    <row r="33" spans="1:8" ht="28.95" customHeight="1" x14ac:dyDescent="0.3">
      <c r="A33" s="99" t="s">
        <v>942</v>
      </c>
      <c r="B33" s="100" t="s">
        <v>943</v>
      </c>
      <c r="C33" s="99" t="s">
        <v>860</v>
      </c>
      <c r="D33" s="100" t="s">
        <v>943</v>
      </c>
      <c r="E33" s="99" t="s">
        <v>944</v>
      </c>
      <c r="F33" s="100" t="s">
        <v>862</v>
      </c>
      <c r="G33" t="s">
        <v>945</v>
      </c>
      <c r="H33" t="s">
        <v>946</v>
      </c>
    </row>
    <row r="34" spans="1:8" ht="28.95" customHeight="1" x14ac:dyDescent="0.3">
      <c r="A34" s="99" t="s">
        <v>947</v>
      </c>
      <c r="B34" s="100" t="s">
        <v>948</v>
      </c>
      <c r="C34" s="99" t="s">
        <v>860</v>
      </c>
      <c r="D34" s="100" t="s">
        <v>948</v>
      </c>
      <c r="E34" s="99" t="s">
        <v>949</v>
      </c>
      <c r="F34" s="100" t="s">
        <v>862</v>
      </c>
      <c r="G34" t="s">
        <v>950</v>
      </c>
      <c r="H34" t="s">
        <v>951</v>
      </c>
    </row>
    <row r="35" spans="1:8" ht="28.95" customHeight="1" x14ac:dyDescent="0.3">
      <c r="A35" s="99" t="s">
        <v>952</v>
      </c>
      <c r="B35" s="100" t="s">
        <v>953</v>
      </c>
      <c r="C35" s="99" t="s">
        <v>860</v>
      </c>
      <c r="D35" s="100" t="s">
        <v>953</v>
      </c>
      <c r="E35" s="99" t="s">
        <v>929</v>
      </c>
      <c r="F35" s="100" t="s">
        <v>862</v>
      </c>
      <c r="G35" t="s">
        <v>954</v>
      </c>
      <c r="H35" t="s">
        <v>955</v>
      </c>
    </row>
    <row r="36" spans="1:8" ht="28.95" customHeight="1" x14ac:dyDescent="0.3">
      <c r="A36" s="99" t="s">
        <v>956</v>
      </c>
      <c r="B36" s="100" t="s">
        <v>957</v>
      </c>
      <c r="C36" s="99" t="s">
        <v>860</v>
      </c>
      <c r="D36" s="100" t="s">
        <v>957</v>
      </c>
      <c r="E36" s="99" t="s">
        <v>958</v>
      </c>
      <c r="F36" s="100" t="s">
        <v>862</v>
      </c>
      <c r="G36" t="s">
        <v>959</v>
      </c>
      <c r="H36" t="s">
        <v>960</v>
      </c>
    </row>
    <row r="37" spans="1:8" ht="28.95" customHeight="1" x14ac:dyDescent="0.3">
      <c r="A37" s="99" t="s">
        <v>961</v>
      </c>
      <c r="B37" s="100" t="s">
        <v>962</v>
      </c>
      <c r="C37" s="99" t="s">
        <v>860</v>
      </c>
      <c r="D37" s="100" t="s">
        <v>962</v>
      </c>
      <c r="E37" s="99" t="s">
        <v>920</v>
      </c>
      <c r="F37" s="100" t="s">
        <v>862</v>
      </c>
      <c r="G37" t="s">
        <v>963</v>
      </c>
      <c r="H37" t="s">
        <v>964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59.33203125" customWidth="1"/>
    <col min="2" max="2" width="44.44140625" customWidth="1"/>
    <col min="3" max="3" width="70.33203125" customWidth="1"/>
  </cols>
  <sheetData>
    <row r="1" spans="1:3" ht="15.75" customHeight="1" x14ac:dyDescent="0.3">
      <c r="A1" s="105" t="s">
        <v>965</v>
      </c>
      <c r="B1" s="105" t="s">
        <v>1</v>
      </c>
      <c r="C1" s="105" t="s">
        <v>17</v>
      </c>
    </row>
    <row r="2" spans="1:3" x14ac:dyDescent="0.3">
      <c r="A2" s="106" t="s">
        <v>966</v>
      </c>
      <c r="B2" s="106" t="s">
        <v>967</v>
      </c>
      <c r="C2" s="106"/>
    </row>
    <row r="3" spans="1:3" x14ac:dyDescent="0.3">
      <c r="A3" s="107" t="s">
        <v>968</v>
      </c>
      <c r="B3" s="107" t="s">
        <v>969</v>
      </c>
      <c r="C3" s="107"/>
    </row>
    <row r="4" spans="1:3" x14ac:dyDescent="0.3">
      <c r="A4" s="106" t="s">
        <v>970</v>
      </c>
      <c r="B4" s="106" t="s">
        <v>971</v>
      </c>
      <c r="C4" s="106"/>
    </row>
    <row r="5" spans="1:3" x14ac:dyDescent="0.3">
      <c r="A5" s="107" t="s">
        <v>972</v>
      </c>
      <c r="B5" s="107" t="s">
        <v>973</v>
      </c>
      <c r="C5" s="107"/>
    </row>
    <row r="6" spans="1:3" x14ac:dyDescent="0.3">
      <c r="A6" s="106" t="s">
        <v>974</v>
      </c>
      <c r="B6" s="106" t="s">
        <v>975</v>
      </c>
      <c r="C6" s="106"/>
    </row>
    <row r="7" spans="1:3" x14ac:dyDescent="0.3">
      <c r="A7" s="107" t="s">
        <v>976</v>
      </c>
      <c r="B7" s="107" t="s">
        <v>977</v>
      </c>
      <c r="C7" s="107"/>
    </row>
    <row r="8" spans="1:3" x14ac:dyDescent="0.3">
      <c r="A8" s="106" t="s">
        <v>978</v>
      </c>
      <c r="B8" s="106" t="s">
        <v>979</v>
      </c>
      <c r="C8" s="106"/>
    </row>
    <row r="9" spans="1:3" x14ac:dyDescent="0.3">
      <c r="A9" s="107" t="s">
        <v>980</v>
      </c>
      <c r="B9" s="107" t="s">
        <v>981</v>
      </c>
      <c r="C9" s="107"/>
    </row>
    <row r="10" spans="1:3" x14ac:dyDescent="0.3">
      <c r="A10" s="106" t="s">
        <v>982</v>
      </c>
      <c r="B10" s="106" t="s">
        <v>983</v>
      </c>
      <c r="C10" s="106"/>
    </row>
    <row r="11" spans="1:3" x14ac:dyDescent="0.3">
      <c r="A11" s="107" t="s">
        <v>984</v>
      </c>
      <c r="B11" s="107" t="s">
        <v>985</v>
      </c>
      <c r="C11" s="107"/>
    </row>
    <row r="12" spans="1:3" ht="30" customHeight="1" x14ac:dyDescent="0.3">
      <c r="A12" s="106" t="s">
        <v>986</v>
      </c>
      <c r="B12" s="106" t="s">
        <v>987</v>
      </c>
      <c r="C12" s="106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4.4" x14ac:dyDescent="0.3"/>
  <cols>
    <col min="1" max="1" width="88.88671875" customWidth="1"/>
  </cols>
  <sheetData>
    <row r="1" spans="1:1" ht="15.75" customHeight="1" x14ac:dyDescent="0.3">
      <c r="A1" s="105" t="s">
        <v>988</v>
      </c>
    </row>
    <row r="2" spans="1:1" x14ac:dyDescent="0.3">
      <c r="A2" s="106" t="s">
        <v>989</v>
      </c>
    </row>
    <row r="3" spans="1:1" x14ac:dyDescent="0.3">
      <c r="A3" s="107" t="s">
        <v>990</v>
      </c>
    </row>
    <row r="4" spans="1:1" x14ac:dyDescent="0.3">
      <c r="A4" s="106" t="s">
        <v>991</v>
      </c>
    </row>
    <row r="5" spans="1:1" x14ac:dyDescent="0.3">
      <c r="A5" s="107" t="s">
        <v>992</v>
      </c>
    </row>
    <row r="6" spans="1:1" x14ac:dyDescent="0.3">
      <c r="A6" s="106" t="s">
        <v>993</v>
      </c>
    </row>
    <row r="7" spans="1:1" x14ac:dyDescent="0.3">
      <c r="A7" s="107" t="s">
        <v>994</v>
      </c>
    </row>
    <row r="8" spans="1:1" x14ac:dyDescent="0.3">
      <c r="A8" s="106" t="s">
        <v>995</v>
      </c>
    </row>
    <row r="9" spans="1:1" x14ac:dyDescent="0.3">
      <c r="A9" s="107" t="s">
        <v>996</v>
      </c>
    </row>
    <row r="10" spans="1:1" x14ac:dyDescent="0.3">
      <c r="A10" s="106" t="s">
        <v>996</v>
      </c>
    </row>
    <row r="11" spans="1:1" x14ac:dyDescent="0.3">
      <c r="A11" s="108" t="s">
        <v>997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2026-08-04T10:58:15Z</dcterms:modified>
</cp:coreProperties>
</file>