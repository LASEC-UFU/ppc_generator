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C:\Source Local\ppc_generator\dados\tecnologo_automacao_2027_1\"/>
    </mc:Choice>
  </mc:AlternateContent>
  <xr:revisionPtr revIDLastSave="0" documentId="13_ncr:1_{EF3BABAA-165E-4EC4-948F-0E729ABF6AEB}" xr6:coauthVersionLast="47" xr6:coauthVersionMax="47" xr10:uidLastSave="{00000000-0000-0000-0000-000000000000}"/>
  <bookViews>
    <workbookView xWindow="-28920" yWindow="-120" windowWidth="29040" windowHeight="15720" activeTab="8" xr2:uid="{00000000-000D-0000-FFFF-FFFF00000000}"/>
  </bookViews>
  <sheets>
    <sheet name="Fluxograma" sheetId="1" r:id="rId1"/>
    <sheet name="Componentes" sheetId="2" r:id="rId2"/>
    <sheet name="Equivalencias" sheetId="3" r:id="rId3"/>
    <sheet name="Nucleos" sheetId="4" r:id="rId4"/>
    <sheet name="Areas" sheetId="5" r:id="rId5"/>
    <sheet name="Temas" sheetId="6" r:id="rId6"/>
    <sheet name="Conteudos" sheetId="7" r:id="rId7"/>
    <sheet name="Competencias" sheetId="9" r:id="rId8"/>
    <sheet name="Bibliografia" sheetId="11" r:id="rId9"/>
    <sheet name="_Seletor_Componentes" sheetId="10" state="veryHidden" r:id="rId10"/>
  </sheets>
  <functionGroups builtInGroupCount="19"/>
  <definedNames>
    <definedName name="_xleta.AND" hidden="1" xlm="1">#NAME?</definedName>
    <definedName name="_xlnm.Print_Area" localSheetId="0">Fluxograma!$A$1:$BT$63</definedName>
    <definedName name="Z_03057C24_3972_48DC_9925_6C2B4C888F74_.wvu.PrintArea" localSheetId="0" hidden="1">Fluxograma!$A$1:$BU$61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5" i="1" l="1"/>
  <c r="AG5" i="1"/>
  <c r="AF5" i="1"/>
  <c r="AE5" i="1"/>
  <c r="AI7" i="1" s="1"/>
  <c r="AL39" i="1"/>
  <c r="AL34" i="1"/>
  <c r="AL9" i="1"/>
  <c r="AI42" i="1"/>
  <c r="AO5" i="1"/>
  <c r="AN5" i="1"/>
  <c r="AM5" i="1"/>
  <c r="AL5" i="1"/>
  <c r="AP7" i="1" s="1"/>
  <c r="AP32" i="1"/>
  <c r="C14" i="1"/>
  <c r="C19" i="1" s="1"/>
  <c r="C24" i="1" s="1"/>
  <c r="C29" i="1" s="1"/>
  <c r="C34" i="1" s="1"/>
  <c r="J9" i="1" s="1"/>
  <c r="J14" i="1" s="1"/>
  <c r="J19" i="1" s="1"/>
  <c r="J24" i="1" s="1"/>
  <c r="AI5" i="1" l="1"/>
  <c r="AI6" i="1"/>
  <c r="J29" i="1"/>
  <c r="J34" i="1" s="1"/>
  <c r="Q9" i="1" s="1"/>
  <c r="AK31" i="1"/>
  <c r="AP5" i="1"/>
  <c r="AP6" i="1"/>
  <c r="BC10" i="1"/>
  <c r="BC9" i="1"/>
  <c r="G12" i="1"/>
  <c r="U12" i="1"/>
  <c r="N32" i="1"/>
  <c r="U32" i="1"/>
  <c r="N27" i="1"/>
  <c r="U27" i="1"/>
  <c r="AB37" i="1"/>
  <c r="AA5" i="1"/>
  <c r="Z5" i="1"/>
  <c r="Y5" i="1"/>
  <c r="X5" i="1"/>
  <c r="Q14" i="1" l="1"/>
  <c r="Q19" i="1" s="1"/>
  <c r="Q24" i="1" s="1"/>
  <c r="Q29" i="1" s="1"/>
  <c r="Q34" i="1" s="1"/>
  <c r="X9" i="1" s="1"/>
  <c r="X14" i="1" s="1"/>
  <c r="AB7" i="1"/>
  <c r="AB5" i="1"/>
  <c r="AB6" i="1"/>
  <c r="T5" i="1" l="1"/>
  <c r="S5" i="1"/>
  <c r="R5" i="1"/>
  <c r="Q5" i="1"/>
  <c r="M5" i="1"/>
  <c r="L5" i="1"/>
  <c r="K5" i="1"/>
  <c r="J5" i="1"/>
  <c r="AP22" i="1"/>
  <c r="AP27" i="1"/>
  <c r="AP17" i="1"/>
  <c r="AI27" i="1"/>
  <c r="AI22" i="1"/>
  <c r="AI17" i="1"/>
  <c r="U17" i="1"/>
  <c r="N17" i="1"/>
  <c r="N22" i="1"/>
  <c r="U22" i="1"/>
  <c r="AB22" i="1"/>
  <c r="AB17" i="1"/>
  <c r="AI32" i="1"/>
  <c r="AP37" i="1"/>
  <c r="AI37" i="1"/>
  <c r="AB32" i="1"/>
  <c r="AB27" i="1"/>
  <c r="U37" i="1"/>
  <c r="N37" i="1"/>
  <c r="G32" i="1"/>
  <c r="G27" i="1"/>
  <c r="G17" i="1"/>
  <c r="N12" i="1"/>
  <c r="AP12" i="1"/>
  <c r="AB12" i="1"/>
  <c r="AI12" i="1"/>
  <c r="F5" i="1"/>
  <c r="BC11" i="1" l="1"/>
  <c r="N7" i="1"/>
  <c r="U7" i="1"/>
  <c r="U5" i="1"/>
  <c r="U6" i="1"/>
  <c r="N5" i="1"/>
  <c r="N6" i="1"/>
  <c r="AB56" i="1"/>
  <c r="U56" i="1"/>
  <c r="N56" i="1"/>
  <c r="G56" i="1"/>
  <c r="G37" i="1"/>
  <c r="W26" i="1"/>
  <c r="P35" i="1"/>
  <c r="P31" i="1"/>
  <c r="I30" i="1"/>
  <c r="I25" i="1"/>
  <c r="C22" i="1"/>
  <c r="G22" i="1" s="1"/>
  <c r="I21" i="1"/>
  <c r="I16" i="1"/>
  <c r="I11" i="1"/>
  <c r="E5" i="1"/>
  <c r="D5" i="1"/>
  <c r="B36" i="1" l="1"/>
  <c r="C5" i="1"/>
  <c r="G6" i="1" l="1"/>
  <c r="G5" i="1"/>
  <c r="G7" i="1"/>
  <c r="BC8" i="1" l="1"/>
  <c r="BC14" i="1" s="1"/>
  <c r="BX28" i="1" s="1"/>
  <c r="I36" i="1"/>
  <c r="P11" i="1" l="1"/>
  <c r="P26" i="1"/>
  <c r="P16" i="1"/>
  <c r="P21" i="1"/>
  <c r="I20" i="1"/>
  <c r="AD15" i="1"/>
  <c r="AK26" i="1" l="1"/>
  <c r="I15" i="1"/>
  <c r="I31" i="1" l="1"/>
  <c r="W36" i="1" l="1"/>
  <c r="W16" i="1"/>
  <c r="W15" i="1"/>
  <c r="I26" i="1" l="1"/>
  <c r="P36" i="1" l="1"/>
  <c r="W25" i="1"/>
  <c r="AD25" i="1" l="1"/>
  <c r="W31" i="1"/>
  <c r="P20" i="1" l="1"/>
  <c r="AD16" i="1"/>
  <c r="P15" i="1" l="1"/>
  <c r="X19" i="1" l="1"/>
  <c r="X24" i="1" s="1"/>
  <c r="X29" i="1" s="1"/>
  <c r="X34" i="1" s="1"/>
  <c r="AD41" i="1" s="1"/>
  <c r="W21" i="1"/>
  <c r="AD30" i="1" l="1"/>
  <c r="AE9" i="1" l="1"/>
  <c r="AE14" i="1" s="1"/>
  <c r="AE19" i="1" s="1"/>
  <c r="AE24" i="1" s="1"/>
  <c r="AD40" i="1" s="1"/>
  <c r="AD31" i="1"/>
  <c r="AD21" i="1" l="1"/>
  <c r="AE29" i="1"/>
  <c r="AE34" i="1" s="1"/>
  <c r="AE39" i="1" s="1"/>
  <c r="AD36" i="1"/>
  <c r="AD35" i="1" l="1"/>
  <c r="AD26" i="1" l="1"/>
  <c r="AL14" i="1"/>
  <c r="AL19" i="1" s="1"/>
  <c r="AD20" i="1"/>
  <c r="AL24" i="1" l="1"/>
  <c r="AS9" i="1" s="1"/>
  <c r="C53" i="1" s="1"/>
  <c r="J53" i="1" s="1"/>
  <c r="Q53" i="1" s="1"/>
  <c r="X53" i="1" s="1"/>
  <c r="AL29" i="1" l="1"/>
  <c r="AK30" i="1"/>
  <c r="AK2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Josué Morais</author>
  </authors>
  <commentList>
    <comment ref="C5" authorId="0" shapeId="0" xr:uid="{18826EB6-911E-4385-BA07-1C8165845EF1}">
      <text>
        <r>
          <rPr>
            <b/>
            <sz val="9"/>
            <color indexed="81"/>
            <rFont val="Segoe UI"/>
            <family val="2"/>
          </rPr>
          <t>Carga horária teórica do período</t>
        </r>
      </text>
    </comment>
    <comment ref="D5" authorId="0" shapeId="0" xr:uid="{CAE0A5B1-5CA1-4A9F-973B-177F32065C01}">
      <text>
        <r>
          <rPr>
            <b/>
            <sz val="9"/>
            <color indexed="81"/>
            <rFont val="Segoe UI"/>
            <family val="2"/>
          </rPr>
          <t>Carga horária remota do período</t>
        </r>
      </text>
    </comment>
    <comment ref="E5" authorId="0" shapeId="0" xr:uid="{CBABE889-6F62-4159-9D19-8322FED7C752}">
      <text>
        <r>
          <rPr>
            <b/>
            <sz val="9"/>
            <color indexed="81"/>
            <rFont val="Segoe UI"/>
            <family val="2"/>
          </rPr>
          <t>Carga horária prática do período</t>
        </r>
      </text>
    </comment>
    <comment ref="F5" authorId="0" shapeId="0" xr:uid="{69A47393-C192-4099-8808-A7456C69A995}">
      <text>
        <r>
          <rPr>
            <b/>
            <sz val="9"/>
            <color indexed="81"/>
            <rFont val="Segoe UI"/>
            <family val="2"/>
          </rPr>
          <t>Carga horária de extensão do período</t>
        </r>
      </text>
    </comment>
    <comment ref="G5" authorId="0" shapeId="0" xr:uid="{CE50F437-3EC4-4624-86CE-3AFFAED42896}">
      <text>
        <r>
          <rPr>
            <b/>
            <sz val="9"/>
            <color indexed="81"/>
            <rFont val="Segoe UI"/>
            <family val="2"/>
          </rPr>
          <t>Carga horária total do período</t>
        </r>
      </text>
    </comment>
    <comment ref="J5" authorId="0" shapeId="0" xr:uid="{9E96EE53-1874-4157-89F0-173BCA14B965}">
      <text>
        <r>
          <rPr>
            <b/>
            <sz val="9"/>
            <color indexed="81"/>
            <rFont val="Segoe UI"/>
            <family val="2"/>
          </rPr>
          <t>Carga horária teórica do período</t>
        </r>
      </text>
    </comment>
    <comment ref="K5" authorId="0" shapeId="0" xr:uid="{BB0FA4B4-D7F9-4B15-BECE-DE4B5E6F5C6B}">
      <text>
        <r>
          <rPr>
            <b/>
            <sz val="9"/>
            <color indexed="81"/>
            <rFont val="Segoe UI"/>
            <family val="2"/>
          </rPr>
          <t>Carga horária remota do período</t>
        </r>
      </text>
    </comment>
    <comment ref="L5" authorId="0" shapeId="0" xr:uid="{AD66EE66-4659-412A-8043-A08ED2020103}">
      <text>
        <r>
          <rPr>
            <b/>
            <sz val="9"/>
            <color indexed="81"/>
            <rFont val="Segoe UI"/>
            <family val="2"/>
          </rPr>
          <t>Carga horária prática do período</t>
        </r>
      </text>
    </comment>
    <comment ref="M5" authorId="0" shapeId="0" xr:uid="{A7CB91D2-E653-420C-B37B-20B20C779AD2}">
      <text>
        <r>
          <rPr>
            <b/>
            <sz val="9"/>
            <color indexed="81"/>
            <rFont val="Segoe UI"/>
            <family val="2"/>
          </rPr>
          <t>Carga horária de extensão do período</t>
        </r>
      </text>
    </comment>
    <comment ref="N5" authorId="0" shapeId="0" xr:uid="{D5E2869B-CE83-44B9-8C5C-A969A4B2D5A3}">
      <text>
        <r>
          <rPr>
            <b/>
            <sz val="9"/>
            <color indexed="81"/>
            <rFont val="Segoe UI"/>
            <family val="2"/>
          </rPr>
          <t>Carga horária total do período</t>
        </r>
      </text>
    </comment>
    <comment ref="Q5" authorId="0" shapeId="0" xr:uid="{343BC0E7-6C6E-4255-B6EC-5A86AEF48748}">
      <text>
        <r>
          <rPr>
            <b/>
            <sz val="9"/>
            <color indexed="81"/>
            <rFont val="Segoe UI"/>
            <family val="2"/>
          </rPr>
          <t>Carga horária teórica do período</t>
        </r>
      </text>
    </comment>
    <comment ref="R5" authorId="0" shapeId="0" xr:uid="{DD2614D9-E28C-46EA-BDD9-2F0CE7638ABF}">
      <text>
        <r>
          <rPr>
            <b/>
            <sz val="9"/>
            <color indexed="81"/>
            <rFont val="Segoe UI"/>
            <family val="2"/>
          </rPr>
          <t>Carga horária remota do período</t>
        </r>
      </text>
    </comment>
    <comment ref="S5" authorId="0" shapeId="0" xr:uid="{BE9EF9BB-F2D9-46F5-AB15-2854A8F9E16A}">
      <text>
        <r>
          <rPr>
            <b/>
            <sz val="9"/>
            <color indexed="81"/>
            <rFont val="Segoe UI"/>
            <family val="2"/>
          </rPr>
          <t>Carga horária prática do período</t>
        </r>
      </text>
    </comment>
    <comment ref="T5" authorId="0" shapeId="0" xr:uid="{F5B78711-FE6B-4E8D-9D93-3DBCB1D9D7E2}">
      <text>
        <r>
          <rPr>
            <b/>
            <sz val="9"/>
            <color indexed="81"/>
            <rFont val="Segoe UI"/>
            <family val="2"/>
          </rPr>
          <t>Carga horária de extensão do período</t>
        </r>
      </text>
    </comment>
    <comment ref="U5" authorId="0" shapeId="0" xr:uid="{04945FA9-5FA8-4A3C-8BEB-51A7A607BCA2}">
      <text>
        <r>
          <rPr>
            <b/>
            <sz val="9"/>
            <color indexed="81"/>
            <rFont val="Segoe UI"/>
            <family val="2"/>
          </rPr>
          <t>Carga horária total do período</t>
        </r>
      </text>
    </comment>
    <comment ref="X5" authorId="0" shapeId="0" xr:uid="{7E3CBD32-16D7-4D93-B110-6ED97841231C}">
      <text>
        <r>
          <rPr>
            <b/>
            <sz val="9"/>
            <color indexed="81"/>
            <rFont val="Segoe UI"/>
            <family val="2"/>
          </rPr>
          <t>Carga horária teórica do período</t>
        </r>
      </text>
    </comment>
    <comment ref="Y5" authorId="0" shapeId="0" xr:uid="{DBC80C23-D3B8-40F1-81DB-FCBAB68324CA}">
      <text>
        <r>
          <rPr>
            <b/>
            <sz val="9"/>
            <color indexed="81"/>
            <rFont val="Segoe UI"/>
            <family val="2"/>
          </rPr>
          <t>Carga horária remota do período</t>
        </r>
      </text>
    </comment>
    <comment ref="Z5" authorId="0" shapeId="0" xr:uid="{5ABFA89F-B377-462B-BA17-06D1397994D7}">
      <text>
        <r>
          <rPr>
            <b/>
            <sz val="9"/>
            <color indexed="81"/>
            <rFont val="Segoe UI"/>
            <family val="2"/>
          </rPr>
          <t>Carga horária prática do período</t>
        </r>
      </text>
    </comment>
    <comment ref="AA5" authorId="0" shapeId="0" xr:uid="{67DF0B96-19E0-4A34-8AFC-EAB84C290213}">
      <text>
        <r>
          <rPr>
            <b/>
            <sz val="9"/>
            <color indexed="81"/>
            <rFont val="Segoe UI"/>
            <family val="2"/>
          </rPr>
          <t>Carga horária de extensão do período</t>
        </r>
      </text>
    </comment>
    <comment ref="AB5" authorId="0" shapeId="0" xr:uid="{A09B130E-7F95-4434-8345-3B127D7FDE1B}">
      <text>
        <r>
          <rPr>
            <b/>
            <sz val="9"/>
            <color indexed="81"/>
            <rFont val="Segoe UI"/>
            <family val="2"/>
          </rPr>
          <t>Carga horária total do período</t>
        </r>
      </text>
    </comment>
    <comment ref="AE5" authorId="0" shapeId="0" xr:uid="{B46E5C94-E926-4D82-8DF7-E877C1C379AE}">
      <text>
        <r>
          <rPr>
            <b/>
            <sz val="9"/>
            <color indexed="81"/>
            <rFont val="Segoe UI"/>
            <family val="2"/>
          </rPr>
          <t>Carga horária teórica do período</t>
        </r>
      </text>
    </comment>
    <comment ref="AF5" authorId="0" shapeId="0" xr:uid="{85AB499F-2F54-426F-9AA9-BAE03476B199}">
      <text>
        <r>
          <rPr>
            <b/>
            <sz val="9"/>
            <color indexed="81"/>
            <rFont val="Segoe UI"/>
            <family val="2"/>
          </rPr>
          <t>Carga horária remota do período</t>
        </r>
      </text>
    </comment>
    <comment ref="AG5" authorId="0" shapeId="0" xr:uid="{3D768FF7-798C-467C-9090-3F1D4BC279EB}">
      <text>
        <r>
          <rPr>
            <b/>
            <sz val="9"/>
            <color indexed="81"/>
            <rFont val="Segoe UI"/>
            <family val="2"/>
          </rPr>
          <t>Carga horária prática do período</t>
        </r>
      </text>
    </comment>
    <comment ref="AH5" authorId="0" shapeId="0" xr:uid="{8A848561-D3C7-4216-A1ED-371AF3D7F79F}">
      <text>
        <r>
          <rPr>
            <b/>
            <sz val="9"/>
            <color indexed="81"/>
            <rFont val="Segoe UI"/>
            <family val="2"/>
          </rPr>
          <t>Carga horária de extensão do período</t>
        </r>
      </text>
    </comment>
    <comment ref="AI5" authorId="0" shapeId="0" xr:uid="{3D6C2D2E-6383-4A81-9446-048B7D0E3EBC}">
      <text>
        <r>
          <rPr>
            <b/>
            <sz val="9"/>
            <color indexed="81"/>
            <rFont val="Segoe UI"/>
            <family val="2"/>
          </rPr>
          <t>Carga horária total do período</t>
        </r>
      </text>
    </comment>
    <comment ref="AL5" authorId="0" shapeId="0" xr:uid="{48906976-FD7E-4F4C-82C5-41495B08E196}">
      <text>
        <r>
          <rPr>
            <b/>
            <sz val="9"/>
            <color indexed="81"/>
            <rFont val="Segoe UI"/>
            <family val="2"/>
          </rPr>
          <t>Carga horária teórica do período</t>
        </r>
      </text>
    </comment>
    <comment ref="AM5" authorId="0" shapeId="0" xr:uid="{F954DACF-1502-405F-9BCD-F4726E898073}">
      <text>
        <r>
          <rPr>
            <b/>
            <sz val="9"/>
            <color indexed="81"/>
            <rFont val="Segoe UI"/>
            <family val="2"/>
          </rPr>
          <t>Carga horária remota do período</t>
        </r>
      </text>
    </comment>
    <comment ref="AN5" authorId="0" shapeId="0" xr:uid="{2B24041B-5E99-44EB-A633-087DE3EB247A}">
      <text>
        <r>
          <rPr>
            <b/>
            <sz val="9"/>
            <color indexed="81"/>
            <rFont val="Segoe UI"/>
            <family val="2"/>
          </rPr>
          <t>Carga horária prática do período</t>
        </r>
      </text>
    </comment>
    <comment ref="AO5" authorId="0" shapeId="0" xr:uid="{F33D4573-AD0F-47E8-A20F-C7794AA2D4A4}">
      <text>
        <r>
          <rPr>
            <b/>
            <sz val="9"/>
            <color indexed="81"/>
            <rFont val="Segoe UI"/>
            <family val="2"/>
          </rPr>
          <t>Carga horária de extensão do período</t>
        </r>
      </text>
    </comment>
    <comment ref="AP5" authorId="0" shapeId="0" xr:uid="{37DD5BD4-DF77-480B-82ED-8EEA5573F813}">
      <text>
        <r>
          <rPr>
            <b/>
            <sz val="9"/>
            <color indexed="81"/>
            <rFont val="Segoe UI"/>
            <family val="2"/>
          </rPr>
          <t>Carga horária total do período</t>
        </r>
      </text>
    </comment>
    <comment ref="G6" authorId="0" shapeId="0" xr:uid="{24C42D75-308E-4C62-9C9C-BC7906912E02}">
      <text>
        <r>
          <rPr>
            <b/>
            <sz val="9"/>
            <color indexed="81"/>
            <rFont val="Segoe UI"/>
            <family val="2"/>
          </rPr>
          <t>Carga horária total do período sem extensão</t>
        </r>
      </text>
    </comment>
    <comment ref="N6" authorId="0" shapeId="0" xr:uid="{95046E14-0415-4634-B464-8CD1C14B929F}">
      <text>
        <r>
          <rPr>
            <b/>
            <sz val="9"/>
            <color indexed="81"/>
            <rFont val="Segoe UI"/>
            <family val="2"/>
          </rPr>
          <t>Carga horária total do período sem extensão</t>
        </r>
      </text>
    </comment>
    <comment ref="U6" authorId="0" shapeId="0" xr:uid="{869BA20F-F176-48EF-8243-690128661C8B}">
      <text>
        <r>
          <rPr>
            <b/>
            <sz val="9"/>
            <color indexed="81"/>
            <rFont val="Segoe UI"/>
            <family val="2"/>
          </rPr>
          <t>Carga horária total do período sem extensão</t>
        </r>
      </text>
    </comment>
    <comment ref="AB6" authorId="0" shapeId="0" xr:uid="{7C8498D0-472C-467D-B2E8-4BD5BEFD2792}">
      <text>
        <r>
          <rPr>
            <b/>
            <sz val="9"/>
            <color indexed="81"/>
            <rFont val="Segoe UI"/>
            <family val="2"/>
          </rPr>
          <t>Carga horária total do período sem extensão</t>
        </r>
      </text>
    </comment>
    <comment ref="AI6" authorId="0" shapeId="0" xr:uid="{9FA60861-BFF3-4B1C-BF35-B8C9C1921DB2}">
      <text>
        <r>
          <rPr>
            <b/>
            <sz val="9"/>
            <color indexed="81"/>
            <rFont val="Segoe UI"/>
            <family val="2"/>
          </rPr>
          <t>Carga horária total do período sem extensão</t>
        </r>
      </text>
    </comment>
    <comment ref="AP6" authorId="0" shapeId="0" xr:uid="{65EC4AB3-53BD-421C-9053-0626DA412128}">
      <text>
        <r>
          <rPr>
            <b/>
            <sz val="9"/>
            <color indexed="81"/>
            <rFont val="Segoe UI"/>
            <family val="2"/>
          </rPr>
          <t>Carga horária total do período sem extensão</t>
        </r>
      </text>
    </comment>
    <comment ref="G7" authorId="0" shapeId="0" xr:uid="{EEA9D48A-2ADC-4176-913C-6F7EBA2AA011}">
      <text>
        <r>
          <rPr>
            <b/>
            <sz val="9"/>
            <color indexed="81"/>
            <rFont val="Segoe UI"/>
            <family val="2"/>
          </rPr>
          <t>Carga horária total do período sem extensão e atividade remota.</t>
        </r>
      </text>
    </comment>
    <comment ref="N7" authorId="0" shapeId="0" xr:uid="{99117854-BBE9-426C-AB83-F5673B06EDDF}">
      <text>
        <r>
          <rPr>
            <b/>
            <sz val="9"/>
            <color indexed="81"/>
            <rFont val="Segoe UI"/>
            <family val="2"/>
          </rPr>
          <t>Carga horária total do período sem extensão e atividade remota.</t>
        </r>
      </text>
    </comment>
    <comment ref="U7" authorId="0" shapeId="0" xr:uid="{2D9E36B9-1476-4184-AA75-33710ED89FBC}">
      <text>
        <r>
          <rPr>
            <b/>
            <sz val="9"/>
            <color indexed="81"/>
            <rFont val="Segoe UI"/>
            <family val="2"/>
          </rPr>
          <t>Carga horária total do período sem extensão e atividade remota.</t>
        </r>
      </text>
    </comment>
    <comment ref="AB7" authorId="0" shapeId="0" xr:uid="{A6C671DE-0234-4601-957F-1E37004DDF5A}">
      <text>
        <r>
          <rPr>
            <b/>
            <sz val="9"/>
            <color indexed="81"/>
            <rFont val="Segoe UI"/>
            <family val="2"/>
          </rPr>
          <t>Carga horária total do período sem extensão e atividade remota.</t>
        </r>
      </text>
    </comment>
    <comment ref="AI7" authorId="0" shapeId="0" xr:uid="{0FFA563D-AB09-4191-8010-EEF3C20CC70A}">
      <text>
        <r>
          <rPr>
            <b/>
            <sz val="9"/>
            <color indexed="81"/>
            <rFont val="Segoe UI"/>
            <family val="2"/>
          </rPr>
          <t>Carga horária total do período sem extensão e atividade remota.</t>
        </r>
      </text>
    </comment>
    <comment ref="AP7" authorId="0" shapeId="0" xr:uid="{94089970-D7AF-40C0-B62D-CD5DD653FAEC}">
      <text>
        <r>
          <rPr>
            <b/>
            <sz val="9"/>
            <color indexed="81"/>
            <rFont val="Segoe UI"/>
            <family val="2"/>
          </rPr>
          <t>Carga horária total do período sem extensão e atividade remota.</t>
        </r>
      </text>
    </comment>
    <comment ref="C12" authorId="0" shapeId="0" xr:uid="{968E0D54-BDA5-4D98-8DCD-9FC22443C1B4}">
      <text>
        <r>
          <rPr>
            <b/>
            <sz val="9"/>
            <color indexed="81"/>
            <rFont val="Segoe UI"/>
            <family val="2"/>
          </rPr>
          <t>cht</t>
        </r>
      </text>
    </comment>
    <comment ref="D12" authorId="0" shapeId="0" xr:uid="{A488B127-FDA4-45E6-93B8-CE8B6D0F8309}">
      <text>
        <r>
          <rPr>
            <b/>
            <sz val="9"/>
            <color indexed="81"/>
            <rFont val="Segoe UI"/>
            <family val="2"/>
          </rPr>
          <t>chd</t>
        </r>
      </text>
    </comment>
    <comment ref="E12" authorId="0" shapeId="0" xr:uid="{5A9A073C-3A39-45C5-98D8-6293EE96A770}">
      <text>
        <r>
          <rPr>
            <b/>
            <sz val="9"/>
            <color indexed="81"/>
            <rFont val="Segoe UI"/>
            <family val="2"/>
          </rPr>
          <t>chp</t>
        </r>
      </text>
    </comment>
    <comment ref="F12" authorId="0" shapeId="0" xr:uid="{8FCA458F-387A-41FE-813C-C1107120BC68}">
      <text>
        <r>
          <rPr>
            <b/>
            <sz val="9"/>
            <color indexed="81"/>
            <rFont val="Segoe UI"/>
            <family val="2"/>
          </rPr>
          <t>che</t>
        </r>
      </text>
    </comment>
    <comment ref="G12" authorId="0" shapeId="0" xr:uid="{65BA3F92-67E7-4005-9F35-B172062459A5}">
      <text>
        <r>
          <rPr>
            <b/>
            <sz val="9"/>
            <color indexed="81"/>
            <rFont val="Segoe UI"/>
            <family val="2"/>
          </rPr>
          <t>tot</t>
        </r>
      </text>
    </comment>
  </commentList>
</comments>
</file>

<file path=xl/sharedStrings.xml><?xml version="1.0" encoding="utf-8"?>
<sst xmlns="http://schemas.openxmlformats.org/spreadsheetml/2006/main" count="1129" uniqueCount="754">
  <si>
    <t>codigo</t>
  </si>
  <si>
    <t>nome</t>
  </si>
  <si>
    <t>tipo</t>
  </si>
  <si>
    <t>periodo</t>
  </si>
  <si>
    <t>ativo</t>
  </si>
  <si>
    <t>obrigatorio</t>
  </si>
  <si>
    <t>cht</t>
  </si>
  <si>
    <t>chp</t>
  </si>
  <si>
    <t>chd</t>
  </si>
  <si>
    <t>che</t>
  </si>
  <si>
    <t>tot</t>
  </si>
  <si>
    <t>nucleo_id</t>
  </si>
  <si>
    <t>observacoes</t>
  </si>
  <si>
    <t>pre_requisitos</t>
  </si>
  <si>
    <t>correquisitos</t>
  </si>
  <si>
    <t>areas</t>
  </si>
  <si>
    <t>temas</t>
  </si>
  <si>
    <t>conteudos</t>
  </si>
  <si>
    <t>competencias</t>
  </si>
  <si>
    <t>FAGEN39901</t>
  </si>
  <si>
    <t>BASICO</t>
  </si>
  <si>
    <t>FACOM31201</t>
  </si>
  <si>
    <t>FACOM31303</t>
  </si>
  <si>
    <t>FEELT!AA</t>
  </si>
  <si>
    <t>TECNOLOGICO</t>
  </si>
  <si>
    <t>FEELT!ED</t>
  </si>
  <si>
    <t>GBC056</t>
  </si>
  <si>
    <t>GBC066</t>
  </si>
  <si>
    <t>COMPLEMENTAR</t>
  </si>
  <si>
    <t>HUMANISTICO</t>
  </si>
  <si>
    <t>FEELT!BD</t>
  </si>
  <si>
    <t>IERI39001</t>
  </si>
  <si>
    <t>IEUFU39901</t>
  </si>
  <si>
    <t>FEELT!FIA</t>
  </si>
  <si>
    <t>FAGEN39401</t>
  </si>
  <si>
    <t>IERI39601</t>
  </si>
  <si>
    <t>FAGEN32502</t>
  </si>
  <si>
    <t>FACOM39050</t>
  </si>
  <si>
    <t>GBC063</t>
  </si>
  <si>
    <t>LIBRAS</t>
  </si>
  <si>
    <t>GBC044</t>
  </si>
  <si>
    <t>FEELT!PF</t>
  </si>
  <si>
    <t>GBC033</t>
  </si>
  <si>
    <t>FEELT31724</t>
  </si>
  <si>
    <t>FEELT!SO</t>
  </si>
  <si>
    <t>FEELT31831</t>
  </si>
  <si>
    <t>FEELT31713</t>
  </si>
  <si>
    <t>FEELT32801</t>
  </si>
  <si>
    <t>GBC043</t>
  </si>
  <si>
    <t>FEELT!SD</t>
  </si>
  <si>
    <t>GBC074</t>
  </si>
  <si>
    <t>FACOM32606</t>
  </si>
  <si>
    <t>GBC045</t>
  </si>
  <si>
    <t>FEELT!TCOMP</t>
  </si>
  <si>
    <t>1o Período</t>
  </si>
  <si>
    <t>2o Período</t>
  </si>
  <si>
    <t>3o Período</t>
  </si>
  <si>
    <t>4o Período</t>
  </si>
  <si>
    <t>5o Período</t>
  </si>
  <si>
    <t>6o Período</t>
  </si>
  <si>
    <t>Geral</t>
  </si>
  <si>
    <t>AC</t>
  </si>
  <si>
    <t>Estag</t>
  </si>
  <si>
    <t>6:10 - 7:10</t>
  </si>
  <si>
    <t>ACE</t>
  </si>
  <si>
    <t>7:00 - 7:50</t>
  </si>
  <si>
    <t xml:space="preserve">Toral </t>
  </si>
  <si>
    <t>7:50 - 8:40</t>
  </si>
  <si>
    <t>8:40 - 9:30</t>
  </si>
  <si>
    <t>9:30 - 10:20</t>
  </si>
  <si>
    <t>TSE</t>
  </si>
  <si>
    <t>1800 horas</t>
  </si>
  <si>
    <t>Legenda</t>
  </si>
  <si>
    <t>Pré-requisito</t>
  </si>
  <si>
    <t>Co-requisito</t>
  </si>
  <si>
    <t>COMPONENTES CURRICULARES OPTATIVOS ***</t>
  </si>
  <si>
    <t>1000 horas</t>
  </si>
  <si>
    <t>codigo_origem</t>
  </si>
  <si>
    <t>codigo_destino</t>
  </si>
  <si>
    <t>observacao</t>
  </si>
  <si>
    <t>Administração -&gt; Empreendorismo e Inovação Tecnológica</t>
  </si>
  <si>
    <t>Algoritmos e Estrutura de Dados I -&gt; Estrutura de Dados</t>
  </si>
  <si>
    <t>Algoritmos e Estruturas de Dados II -&gt; Análise de Algoritmos</t>
  </si>
  <si>
    <t>Arquitetura de Redes TCP/IP -&gt; Redes de Comunicações II</t>
  </si>
  <si>
    <t>Arquitetura de Redes de Computadores -&gt; Redes de Comunicações I</t>
  </si>
  <si>
    <t>Ciências Econômicas -&gt; Engenharia Econômica</t>
  </si>
  <si>
    <t>Gerenciamento de Projetos -&gt; Empreendorismo e Inovação Tecnológica</t>
  </si>
  <si>
    <t>Inteligência Artificial -&gt; Fundamentos da Inteligência Artificial</t>
  </si>
  <si>
    <t>Linguagens Formais e Autômatos -&gt; Teoria da Computação</t>
  </si>
  <si>
    <t>Programação Funcional -&gt; Programação Funcional</t>
  </si>
  <si>
    <t>Redes Industriais para Controle e Automação I -&gt; Redes de Comunicações I</t>
  </si>
  <si>
    <t>Redes Industriais para Controle e Automação II -&gt; Redes de Comunicações II</t>
  </si>
  <si>
    <t>Sistemas Distribuídos -&gt; Sistemas Distribuídos</t>
  </si>
  <si>
    <t>Sistemas Operacionais -&gt; Sistemas Operacionais</t>
  </si>
  <si>
    <t>Sistemas de Banco de Dados -&gt; Banco de Dados</t>
  </si>
  <si>
    <t>id</t>
  </si>
  <si>
    <t>descricao</t>
  </si>
  <si>
    <t>fonte_normativa</t>
  </si>
  <si>
    <t>status</t>
  </si>
  <si>
    <t>RELACOES_ETNICO_RACIAIS</t>
  </si>
  <si>
    <t>Educação das Relações Étnico-Raciais</t>
  </si>
  <si>
    <t>DIREITOS_HUMANOS</t>
  </si>
  <si>
    <t>Educação em Direitos Humanos</t>
  </si>
  <si>
    <t>EDUCACAO_AMBIENTAL</t>
  </si>
  <si>
    <t>fonte</t>
  </si>
  <si>
    <t>Fundamentos Científicos e Tecnológicos</t>
  </si>
  <si>
    <t>Núcleo institucional de matemática, física, computação básica e fundamentos científicos necessários à formação tecnológica. Base: DCN EPT https://www.gov.br/mec/pt-br/cne/pdf/normas-classificadas-por-assunto/diretrizes-curriculares-cursos-de-graduacao/rcp001_21.pdf/view e CNCST https://cncst.mec.gov.br/cncst-api/catalogopdf.</t>
  </si>
  <si>
    <t>Formação Tecnológica e Profissional em Automação Industrial</t>
  </si>
  <si>
    <t>Núcleo central de eletricidade, eletrônica, instrumentação, controle, automação, sistemas embarcados, redes industriais, acionamentos e processos. Base: CNCST, área Eletrônica e Automação e perfil do CST em Automação Industrial, pp. 64–66: https://cncst.mec.gov.br/cncst-api/catalogopdf.</t>
  </si>
  <si>
    <t>Formação Humanística, Gestão, Ética e Sustentabilidade</t>
  </si>
  <si>
    <t>Núcleo de trabalho, ciência, tecnologia e cultura; ética, gestão, direitos humanos, inclusão e sustentabilidade. Base: DCN EPT https://www.gov.br/mec/pt-br/cne/pdf/normas-classificadas-por-assunto/diretrizes-curriculares-cursos-de-graduacao/rcp001_21.pdf/view e normas transversais.</t>
  </si>
  <si>
    <t>INTEGRADOR</t>
  </si>
  <si>
    <t>Integração Curricular, Prática Profissional e Extensão</t>
  </si>
  <si>
    <t>Núcleo de projetos integradores, conclusão de curso e atividades curriculares de extensão, articulando teoria, prática e comunidade. Base: DCN EPT https://www.gov.br/mec/pt-br/cne/pdf/normas-classificadas-por-assunto/diretrizes-curriculares-cursos-de-graduacao/rcp001_21.pdf/view; Res. CNE/CES 7/2018 https://www.gov.br/mec/pt-br/cne/pdf/normas-classificadas-por-assunto/extensao-na-educacao-superior-brasileira/rces007_18.pdf/view; Res. CONGRAD/UFU 177/2026 https://www.ime.ufu.br/extensao/proposicao-de-acoes/orientacoes.</t>
  </si>
  <si>
    <t>Formação Complementar e Optativa</t>
  </si>
  <si>
    <t>Núcleo destinado a optativas, atividades acadêmicas complementares e percursos flexíveis definidos no PPC.</t>
  </si>
  <si>
    <t>ELETRONICA_AUTOMACAO_CNCST</t>
  </si>
  <si>
    <t>Eletrônica e Automação — área tecnológica CNCST</t>
  </si>
  <si>
    <t>Área tecnológica oficial do eixo Controle e Processos Industriais. Abrange controle de equipamentos e processos nos segmentos elétrico, eletrônico, mecatrônico, automação e instrumentação. https://cncst.mec.gov.br/cncst-api/catalogopdf</t>
  </si>
  <si>
    <t>MATEMATICA_MODELAGEM</t>
  </si>
  <si>
    <t>Matemática e Modelagem</t>
  </si>
  <si>
    <t>Fundamentos matemáticos, modelagem, métodos numéricos, probabilidade e estatística aplicados à automação.</t>
  </si>
  <si>
    <t>FISICA_FUNDAMENTOS</t>
  </si>
  <si>
    <t>Física e Fundamentos Científicos</t>
  </si>
  <si>
    <t>Fenômenos físicos e bases científicas necessários à compreensão de sistemas industriais.</t>
  </si>
  <si>
    <t>ELETRICIDADE_INSTALACOES</t>
  </si>
  <si>
    <t>Eletricidade e Instalações Elétricas</t>
  </si>
  <si>
    <t>Circuitos, grandezas elétricas, instalações, proteção e segurança elétrica.</t>
  </si>
  <si>
    <t>ELETRONICA_INDUSTRIAL</t>
  </si>
  <si>
    <t>Eletrônica Industrial</t>
  </si>
  <si>
    <t>Eletrônica analógica, digital, de potência e interfaces eletrônicas para processos industriais.</t>
  </si>
  <si>
    <t>SISTEMAS_DIGITAIS_EMBARCADOS</t>
  </si>
  <si>
    <t>Sistemas Digitais e Embarcados</t>
  </si>
  <si>
    <t>Arquiteturas digitais, microcontroladores, sistemas embarcados e sistemas de tempo real.</t>
  </si>
  <si>
    <t>COMPUTACAO_PROGRAMACAO</t>
  </si>
  <si>
    <t>Computação e Programação Aplicadas</t>
  </si>
  <si>
    <t>Algoritmos, programação, software e ferramentas computacionais aplicadas à automação.</t>
  </si>
  <si>
    <t>INSTRUMENTACAO_METROLOGIA</t>
  </si>
  <si>
    <t>Instrumentação e Metrologia</t>
  </si>
  <si>
    <t>Medição, calibração, sensores, transdutores, condicionamento e aquisição de sinais.</t>
  </si>
  <si>
    <t>SINAIS_CONTROLE_PROCESSOS</t>
  </si>
  <si>
    <t>Sinais, Controle e Processos</t>
  </si>
  <si>
    <t>Sinais e sistemas, modelagem dinâmica, controle contínuo e digital e controle de processos.</t>
  </si>
  <si>
    <t>AUTOMACAO_INDUSTRIAL_CLP_SCADA</t>
  </si>
  <si>
    <t>Automação Industrial, CLP, IHM e SCADA</t>
  </si>
  <si>
    <t>CLPs, linguagens IEC 61131, supervisórios, interfaces homem-máquina e integração de plantas automatizadas.</t>
  </si>
  <si>
    <t>REDES_INDUSTRIAIS_IIOT</t>
  </si>
  <si>
    <t>Redes Industriais e IIoT</t>
  </si>
  <si>
    <t>Comunicação industrial, protocolos, integração de dados, Internet Industrial das Coisas e conectividade de plantas.</t>
  </si>
  <si>
    <t>ACIONAMENTOS_MAQUINAS_ELETRICAS</t>
  </si>
  <si>
    <t>Máquinas e Acionamentos Elétricos</t>
  </si>
  <si>
    <t>Máquinas elétricas, conversores, acionamentos e controle de movimento.</t>
  </si>
  <si>
    <t>HIDRAULICA_PNEUMATICA</t>
  </si>
  <si>
    <t>Hidráulica e Pneumática</t>
  </si>
  <si>
    <t>Sistemas fluídicos, componentes, dimensionamento, comando e manutenção.</t>
  </si>
  <si>
    <t>MECANICA_ELEMENTOS_MAQUINAS</t>
  </si>
  <si>
    <t>Mecânica e Elementos de Máquinas</t>
  </si>
  <si>
    <t>Mecânica básica, mecanismos, materiais, elementos de máquinas e integração eletromecânica.</t>
  </si>
  <si>
    <t>ROBOTICA_MANUFATURA_AVANCADA</t>
  </si>
  <si>
    <t>Robótica e Manufatura Avançada</t>
  </si>
  <si>
    <t>Robótica industrial, células automatizadas, integração e manufatura digital.</t>
  </si>
  <si>
    <t>IA_DADOS_AUTOMACAO</t>
  </si>
  <si>
    <t>Inteligência Artificial e Dados para Automação</t>
  </si>
  <si>
    <t>IA, aprendizado de máquina, análise de dados e aplicações em sistemas industriais.</t>
  </si>
  <si>
    <t>CIBERSEGURANCA_INDUSTRIAL</t>
  </si>
  <si>
    <t>Cibersegurança Industrial</t>
  </si>
  <si>
    <t>Segurança de redes e sistemas de tecnologia operacional, proteção de dados e continuidade.</t>
  </si>
  <si>
    <t>GESTAO_INOVACAO</t>
  </si>
  <si>
    <t>Gestão, Economia, Empreendedorismo e Inovação</t>
  </si>
  <si>
    <t>Gestão de projetos, viabilidade técnico-econômica, empreendedorismo e inovação.</t>
  </si>
  <si>
    <t>GESTAO_QUALIDADE_PRODUCAO</t>
  </si>
  <si>
    <t>Gestão da Qualidade e Produção</t>
  </si>
  <si>
    <t>Qualidade, produtividade, melhoria contínua e gestão de processos industriais.</t>
  </si>
  <si>
    <t>SEGURANCA_NORMAS_MANUTENCAO</t>
  </si>
  <si>
    <t>Segurança, Normas Técnicas e Manutenção</t>
  </si>
  <si>
    <t>Saúde e segurança, normalização, manutenção, confiabilidade, inspeção e documentação técnica.</t>
  </si>
  <si>
    <t>FORMACAO_HUMANISTICA_SOCIOAMBIENTAL</t>
  </si>
  <si>
    <t>Formação Humanística e Socioambiental</t>
  </si>
  <si>
    <t>Ética, cidadania, direitos humanos, diversidade, inclusão, sustentabilidade e relações de trabalho.</t>
  </si>
  <si>
    <t>PROJETOS_INTEGRADORES_EXTENSAO</t>
  </si>
  <si>
    <t>Projetos Integradores e Extensão</t>
  </si>
  <si>
    <t>Integração de competências em projetos, práticas profissionais e interação transformadora com a sociedade.</t>
  </si>
  <si>
    <t>FORMACAO_COMPLEMENTAR</t>
  </si>
  <si>
    <t>Percursos flexíveis, optativas e atividades acadêmicas complementares.</t>
  </si>
  <si>
    <t>COMUNICACAO_METODOLOGIA_CIENTIFICA</t>
  </si>
  <si>
    <t>Comunicação e Metodologia Científica</t>
  </si>
  <si>
    <t>Comunicação técnica, pesquisa, documentação, relatórios, normalização e apresentação de resultados.</t>
  </si>
  <si>
    <t>Integra relações étnico-raciais e História e Cultura Afro-Brasileira e Africana à formação superior.</t>
  </si>
  <si>
    <t>Resolução CNE/CP nº 1/2004 — https://www.gov.br/inep/pt-br/centrais-de-conteudo/acervo-linha-editorial/publicacoes-diversas/temas-interdisciplinares/diretrizes-curriculares-nacionais-para-a-educacao-das-relacoes-etnico-raciais-e-para-o-ensino-de-historia-e-cultura-afro-brasileira-e-africana</t>
  </si>
  <si>
    <t>obrigatorio_transversal</t>
  </si>
  <si>
    <t>Libras</t>
  </si>
  <si>
    <t>Oferta curricular de Libras. Para cursos superiores que não sejam licenciaturas ou Fonoaudiologia, constitui componente optativo.</t>
  </si>
  <si>
    <t>Decreto nº 5.626/2005, art. 3º, §2º — https://www.planalto.gov.br/ccivil_03/_ato2004-2006/2005/decreto/d5626.htm</t>
  </si>
  <si>
    <t>optativo</t>
  </si>
  <si>
    <t>Formação para dignidade, igualdade, democracia, cidadania e respeito às diferenças.</t>
  </si>
  <si>
    <t>Resolução CNE/CP nº 1/2012 — https://www.gov.br/mec/pt-br/cne/pdf/normas-classificadas-por-assunto/direitos-humanos-cne</t>
  </si>
  <si>
    <t>Educação Ambiental, Mudanças Climáticas e Gestão de Riscos</t>
  </si>
  <si>
    <t>Educação ambiental integrada, contínua e permanente, incluindo sustentabilidade, mudanças climáticas, biodiversidade e prevenção de riscos socioambientais.</t>
  </si>
  <si>
    <t>Resolução CNE/CP nº 2/2012 — https://www.gov.br/mec/pt-br/cne/pdf/normas-classificadas-por-assunto/educacao-ambiental/rcp002_12.pdf/view</t>
  </si>
  <si>
    <t>obrigatorio_integrado_continuo</t>
  </si>
  <si>
    <t>ACESSIBILIDADE_INCLUSAO</t>
  </si>
  <si>
    <t>Acessibilidade e Inclusão</t>
  </si>
  <si>
    <t>Acessibilidade física, comunicacional, metodológica, digital e atitudinal; inclusão da pessoa com deficiência nos campos de conhecimento.</t>
  </si>
  <si>
    <t>Lei nº 13.146/2015 — https://www.planalto.gov.br/ccivil_03/_ato2015-2018/2015/lei/l13146.htm</t>
  </si>
  <si>
    <t>obrigatorio_institucional</t>
  </si>
  <si>
    <t>EXTENSAO_INTERACAO_SOCIAL</t>
  </si>
  <si>
    <t>Extensão e Interação Transformadora com a Sociedade</t>
  </si>
  <si>
    <t>Integração curricular da extensão com formação cidadã, diálogo com a sociedade e impacto social.</t>
  </si>
  <si>
    <t>Res. CNE/CES nº 7/2018 — https://www.gov.br/mec/pt-br/cne/pdf/normas-classificadas-por-assunto/extensao-na-educacao-superior-brasileira/rces007_18.pdf/view; Res. CONGRAD/UFU nº 177/2026 — https://www.ime.ufu.br/extensao/proposicao-de-acoes/orientacoes</t>
  </si>
  <si>
    <t>obrigatorio_curricular</t>
  </si>
  <si>
    <t>ETICA_RESPONSABILIDADE_PROFISSIONAL</t>
  </si>
  <si>
    <t>Ética e Responsabilidade Profissional</t>
  </si>
  <si>
    <t>Ética, responsabilidade técnica, integridade, impactos sociais da tecnologia e exercício profissional responsável.</t>
  </si>
  <si>
    <t>DCN EPT — https://www.gov.br/mec/pt-br/cne/pdf/normas-classificadas-por-assunto/diretrizes-curriculares-cursos-de-graduacao/rcp001_21.pdf/view; CNCST — https://cncst.mec.gov.br/cncst-api/catalogopdf</t>
  </si>
  <si>
    <t>essencial_formativo</t>
  </si>
  <si>
    <t>SAUDE_SEGURANCA_TRABALHO</t>
  </si>
  <si>
    <t>Saúde e Segurança do Trabalho</t>
  </si>
  <si>
    <t>Prevenção de acidentes e riscos elétricos, mecânicos, operacionais e de máquinas e processos.</t>
  </si>
  <si>
    <t>CNCST — perfil do CST em Automação Industrial, pp. 65–66 — https://cncst.mec.gov.br/cncst-api/catalogopdf</t>
  </si>
  <si>
    <t>essencial_profissional</t>
  </si>
  <si>
    <t>SUSTENTABILIDADE_INDUSTRIAL</t>
  </si>
  <si>
    <t>Sustentabilidade Industrial e Eficiência de Recursos</t>
  </si>
  <si>
    <t>Sustentabilidade no desenvolvimento industrial, eficiência energética, gestão de resíduos e redução de impactos.</t>
  </si>
  <si>
    <t>CNCST — https://cncst.mec.gov.br/cncst-api/catalogopdf; Res. CNE/CP nº 2/2012 — https://www.gov.br/mec/pt-br/cne/pdf/normas-classificadas-por-assunto/educacao-ambiental/rcp002_12.pdf/view</t>
  </si>
  <si>
    <t>essencial_profissional_transversal</t>
  </si>
  <si>
    <t>INOVACAO_EMPREENDEDORISMO</t>
  </si>
  <si>
    <t>Inovação e Empreendedorismo</t>
  </si>
  <si>
    <t>Inovação tecnológica, criatividade, empreendedorismo, viabilidade e geração de soluções para o trabalho.</t>
  </si>
  <si>
    <t>DCN EPT — https://www.gov.br/mec/pt-br/cne/pdf/normas-classificadas-por-assunto/diretrizes-curriculares-cursos-de-graduacao/rcp001_21.pdf/view</t>
  </si>
  <si>
    <t>principio_formativo</t>
  </si>
  <si>
    <t>TRABALHO_CIENCIA_TECNOLOGIA_CULTURA</t>
  </si>
  <si>
    <t>Trabalho, Ciência, Tecnologia e Cultura</t>
  </si>
  <si>
    <t>Integração entre trabalho, ciência, tecnologia e cultura como eixo da Educação Profissional e Tecnológica.</t>
  </si>
  <si>
    <t>PROTECAO_DADOS_SEGURANCA_DIGITAL</t>
  </si>
  <si>
    <t>Proteção de Dados e Segurança Digital</t>
  </si>
  <si>
    <t>Privacidade, proteção de dados, segurança de redes, sistemas e ambientes digitais e industriais.</t>
  </si>
  <si>
    <t>Lei nº 13.709/2018 — https://www.planalto.gov.br/ccivil_03/_ato2015-2018/2018/lei/l13709.htm</t>
  </si>
  <si>
    <t>obrigatorio_quando_aplicavel</t>
  </si>
  <si>
    <t>EDUCACAO_DIGITAL_EAD</t>
  </si>
  <si>
    <t>Educação Digital e Oferta a Distância</t>
  </si>
  <si>
    <t>Qualidade, acessibilidade, interação, avaliação, materiais e plataformas em unidades curriculares com carga a distância.</t>
  </si>
  <si>
    <t>Decreto nº 12.456/2025 — https://www.planalto.gov.br/ccivil_03/_ato2023-2026/2025/decreto/d12456.htm</t>
  </si>
  <si>
    <t>obrigatorio_quando_houver_ead</t>
  </si>
  <si>
    <t>FUND_MATEMATICA_APLICADA</t>
  </si>
  <si>
    <t>Fundamentos de matemática aplicada à modelagem e à solução de problemas tecnológicos.</t>
  </si>
  <si>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</si>
  <si>
    <t>FUND_CALCULO_EQUACOES_DIFERENCIAIS</t>
  </si>
  <si>
    <t>Cálculo diferencial e integral, equações diferenciais e transformadas aplicadas a sistemas físicos.</t>
  </si>
  <si>
    <t>FUND_ALGEBRA_LINEAR_METODOS_NUMERICOS</t>
  </si>
  <si>
    <t>Álgebra linear, geometria analítica e métodos numéricos aplicados.</t>
  </si>
  <si>
    <t>FUND_PROBABILIDADE_ESTATISTICA</t>
  </si>
  <si>
    <t>Probabilidade, estatística, experimentação e análise de dados.</t>
  </si>
  <si>
    <t>FUND_FISICA_APLICADA</t>
  </si>
  <si>
    <t>Mecânica, eletricidade, magnetismo e fenômenos físicos aplicados.</t>
  </si>
  <si>
    <t>Cobertura curricular proposta para aderência ao perfil do egresso; as normas não prescrevem uma lista fechada de disciplinas. CNCST 4ª ed., área Eletrônica e Automação e CST em Automação Industrial, pp. 64–66 — https://cncst.mec.gov.br/cncst-api/catalogopdf</t>
  </si>
  <si>
    <t>FUND_DESENHO_TECNICO_CAD</t>
  </si>
  <si>
    <t>Desenho técnico, representação, interpretação de projetos e ferramentas CAD.</t>
  </si>
  <si>
    <t>FUND_COMUNICACAO_METODOLOGIA_CIENTIFICA</t>
  </si>
  <si>
    <t>Comunicação técnica e científica, pesquisa, documentação, normalização e apresentação.</t>
  </si>
  <si>
    <t>Cobertura curricular proposta para aderência ao perfil do egresso; as normas não prescrevem uma lista fechada de disciplinas. Resolução CNE/CP nº 1/2021 — https://www.gov.br/mec/pt-br/cne/pdf/normas-classificadas-por-assunto/diretrizes-curriculares-cursos-de-graduacao/rcp001_21.pdf/view</t>
  </si>
  <si>
    <t>FUND_PROGRAMACAO_ALGORITMOS</t>
  </si>
  <si>
    <t>Algoritmos, lógica e programação para aquisição, processamento e controle.</t>
  </si>
  <si>
    <t>FUND_ARQUITETURA_COMPUTADORES</t>
  </si>
  <si>
    <t>Organização de computadores, interfaces, memória e arquitetura digital.</t>
  </si>
  <si>
    <t>TEC_ELETRICIDADE_CIRCUITOS</t>
  </si>
  <si>
    <t>Grandezas, leis e análise de circuitos elétricos em corrente contínua e alternada.</t>
  </si>
  <si>
    <t>TEC_INSTALACOES_ELETRICAS</t>
  </si>
  <si>
    <t>Instalações elétricas industriais, proteção, aterramento, dimensionamento e segurança.</t>
  </si>
  <si>
    <t>TEC_ELETRONICA_ANALOGICA</t>
  </si>
  <si>
    <t>Dispositivos e circuitos eletrônicos analógicos, amplificação e condicionamento.</t>
  </si>
  <si>
    <t>TEC_ELETRONICA_DIGITAL</t>
  </si>
  <si>
    <t>Lógica digital, circuitos combinacionais e sequenciais e projeto de sistemas digitais.</t>
  </si>
  <si>
    <t>TEC_ELETRONICA_POTENCIA</t>
  </si>
  <si>
    <t>Conversão estática de energia, semicondutores de potência e interfaces com acionamentos.</t>
  </si>
  <si>
    <t>TEC_SISTEMAS_EMBARCADOS_MICROCONTROLADORES</t>
  </si>
  <si>
    <t>Microcontroladores, periféricos, firmware e sistemas embarcados aplicados.</t>
  </si>
  <si>
    <t>TEC_SENSORES_ATUADORES_TRANSDUTORES</t>
  </si>
  <si>
    <t>Princípios, seleção, especificação e integração de sensores, atuadores e transdutores.</t>
  </si>
  <si>
    <t>TEC_METROLOGIA_INSTRUMENTACAO</t>
  </si>
  <si>
    <t>Metrologia, calibração, incerteza, instrumentação e aquisição de dados.</t>
  </si>
  <si>
    <t>TEC_SINAIS_SISTEMAS</t>
  </si>
  <si>
    <t>Representação, análise temporal e frequencial de sinais e sistemas.</t>
  </si>
  <si>
    <t>TEC_MODELAGEM_SISTEMAS_DINAMICOS</t>
  </si>
  <si>
    <t>Modelagem matemática e identificação de sistemas dinâmicos.</t>
  </si>
  <si>
    <t>TEC_CONTROLE_CONTINUO</t>
  </si>
  <si>
    <t>Análise e projeto de sistemas de controle contínuo.</t>
  </si>
  <si>
    <t>TEC_CONTROLE_DIGITAL</t>
  </si>
  <si>
    <t>Amostragem, discretização e projeto de controladores digitais.</t>
  </si>
  <si>
    <t>TEC_CONTROLE_PROCESSOS</t>
  </si>
  <si>
    <t>Controle e supervisão de processos industriais contínuos e discretos.</t>
  </si>
  <si>
    <t>TEC_CLP_IEC61131</t>
  </si>
  <si>
    <t>Controladores lógicos programáveis e linguagens da IEC 61131.</t>
  </si>
  <si>
    <t>TEC_IHM_SCADA_SUPERVISORIOS</t>
  </si>
  <si>
    <t>Interfaces homem-máquina, sistemas supervisórios, alarmes, históricos e SCADA.</t>
  </si>
  <si>
    <t>TEC_REDES_PROTOCOLOS_INDUSTRIAIS</t>
  </si>
  <si>
    <t>Redes industriais, meios físicos, topologias, protocolos e integração.</t>
  </si>
  <si>
    <t>TEC_IIOT_INTEGRACAO_DADOS</t>
  </si>
  <si>
    <t>IIoT, integração vertical e horizontal, interoperabilidade e dados industriais.</t>
  </si>
  <si>
    <t>TEC_BANCOS_DADOS_HISTORIADORES</t>
  </si>
  <si>
    <t>Bancos de dados, historiadores de processo e gestão de dados industriais.</t>
  </si>
  <si>
    <t>TEC_SISTEMAS_OPERACIONAIS_TEMPO_REAL</t>
  </si>
  <si>
    <t>Sistemas operacionais, escalonamento e requisitos de tempo real.</t>
  </si>
  <si>
    <t>TEC_HIDRAULICA_PNEUMATICA</t>
  </si>
  <si>
    <t>Princípios, componentes, circuitos e comando de sistemas hidráulicos e pneumáticos.</t>
  </si>
  <si>
    <t>TEC_MAQUINAS_ACIONAMENTOS_ELETRICOS</t>
  </si>
  <si>
    <t>TEC_MECANICA_ELEMENTOS_MAQUINAS</t>
  </si>
  <si>
    <t>Mecânica básica, mecanismos, materiais e elementos de máquinas.</t>
  </si>
  <si>
    <t>TEC_ROBOTICA_INDUSTRIAL</t>
  </si>
  <si>
    <t>Cinemática, programação, segurança e integração de robôs industriais.</t>
  </si>
  <si>
    <t>TEC_MANUFATURA_AUTOMATIZADA</t>
  </si>
  <si>
    <t>Processos de manufatura, células, integração e automação da produção.</t>
  </si>
  <si>
    <t>TEC_MANUTENCAO_CONFIABILIDADE</t>
  </si>
  <si>
    <t>Manutenção, diagnóstico, confiabilidade, disponibilidade e gestão de ativos.</t>
  </si>
  <si>
    <t>TEC_QUALIDADE_PROCESSOS_INDUSTRIAIS</t>
  </si>
  <si>
    <t>Qualidade, produtividade, melhoria contínua e indicadores de processos.</t>
  </si>
  <si>
    <t>PROF_SEGURANCA_MAQUINAS_PROCESSOS</t>
  </si>
  <si>
    <t>Saúde e segurança em máquinas, instalações e processos automatizados.</t>
  </si>
  <si>
    <t>PROF_NORMAS_TECNICAS_DOCUMENTACAO</t>
  </si>
  <si>
    <t>Normas técnicas, documentação, especificação, registros e responsabilidade técnica.</t>
  </si>
  <si>
    <t>PROF_GESTAO_PROJETOS_VIABILIDADE</t>
  </si>
  <si>
    <t>Planejamento, gestão de projetos e viabilidade técnico-econômica.</t>
  </si>
  <si>
    <t>PROF_PROJETO_INTEGRADOR</t>
  </si>
  <si>
    <t>Integração de conhecimentos em projeto de sistema ou planta automatizada.</t>
  </si>
  <si>
    <t>PROF_EXTENSAO_APLICADA</t>
  </si>
  <si>
    <t>Atividades extensionistas integradas ao currículo e às demandas sociais.</t>
  </si>
  <si>
    <t>Cobertura curricular proposta para aderência ao perfil do egresso; as normas não prescrevem uma lista fechada de disciplinas. Res. CNE/CES nº 7/2018 — https://www.gov.br/mec/pt-br/cne/pdf/normas-classificadas-por-assunto/extensao-na-educacao-superior-brasileira/rces007_18.pdf/view; Res. CONGRAD/UFU nº 177/2026 — https://www.ime.ufu.br/extensao/proposicao-de-acoes/orientacoes</t>
  </si>
  <si>
    <t>PROF_ATIVIDADES_COMPLEMENTARES</t>
  </si>
  <si>
    <t>Atividades acadêmicas complementares e percursos formativos flexíveis definidos no PPC.</t>
  </si>
  <si>
    <t>PROF_LAUDOS_PERICIAS_AVALIACOES</t>
  </si>
  <si>
    <t>Vistoria, perícia, avaliação, laudo e parecer técnico no campo de formação.</t>
  </si>
  <si>
    <t>PROF_LIDERANCA_EQUIPES_CONFLITOS</t>
  </si>
  <si>
    <t>Supervisão, coordenação, orientação técnica, liderança e gestão de conflitos.</t>
  </si>
  <si>
    <t>HUM_ETICA_RESPONSABILIDADE</t>
  </si>
  <si>
    <t>Ética, integridade, responsabilidade profissional e impactos da automação.</t>
  </si>
  <si>
    <t>HUM_SUSTENTABILIDADE_EFICIENCIA_ENERGETICA</t>
  </si>
  <si>
    <t>Sustentabilidade industrial, eficiência energética, resíduos e uso racional de recursos.</t>
  </si>
  <si>
    <t>Cobertura curricular proposta para aderência ao perfil do egresso; as normas não prescrevem uma lista fechada de disciplinas. CNCST 4ª ed., área Eletrônica e Automação e CST em Automação Industrial, pp. 64–66 — https://cncst.mec.gov.br/cncst-api/catalogopdf; https://www.gov.br/mec/pt-br/cne/pdf/normas-classificadas-por-assunto/educacao-ambiental/rcp002_12.pdf/view</t>
  </si>
  <si>
    <t>HUM_TRABALHO_CIENCIA_TECNOLOGIA_SOCIEDADE</t>
  </si>
  <si>
    <t>Relações entre trabalho, ciência, tecnologia, cultura e sociedade.</t>
  </si>
  <si>
    <t>HUM_DIREITOS_HUMANOS_DIVERSIDADE</t>
  </si>
  <si>
    <t>Direitos humanos, cidadania, diversidade e relações de trabalho.</t>
  </si>
  <si>
    <t>Cobertura curricular proposta para aderência ao perfil do egresso; as normas não prescrevem uma lista fechada de disciplinas. Resolução CNE/CP nº 1/2012 — https://www.gov.br/mec/pt-br/cne/pdf/normas-classificadas-por-assunto/direitos-humanos-cne</t>
  </si>
  <si>
    <t>HUM_RELACOES_ETNICO_RACIAIS</t>
  </si>
  <si>
    <t>Relações étnico-raciais e História e Cultura Afro-Brasileira e Africana.</t>
  </si>
  <si>
    <t>Cobertura curricular proposta para aderência ao perfil do egresso; as normas não prescrevem uma lista fechada de disciplinas. Resolução CNE/CP nº 1/2004 — https://www.gov.br/inep/pt-br/centrais-de-conteudo/acervo-linha-editorial/publicacoes-diversas/temas-interdisciplinares/diretrizes-curriculares-nacionais-para-a-educacao-das-relacoes-etnico-raciais-e-para-o-ensino-de-historia-e-cultura-afro-brasileira-e-africana</t>
  </si>
  <si>
    <t>HUM_ACESSIBILIDADE_INCLUSAO</t>
  </si>
  <si>
    <t>Acessibilidade, inclusão, tecnologias assistivas e desenho universal.</t>
  </si>
  <si>
    <t>Cobertura curricular proposta para aderência ao perfil do egresso; as normas não prescrevem uma lista fechada de disciplinas. Lei nº 13.146/2015 — https://www.planalto.gov.br/ccivil_03/_ato2015-2018/2015/lei/l13146.htm</t>
  </si>
  <si>
    <t>HUM_LIBRAS</t>
  </si>
  <si>
    <t>Libras como componente curricular optativo nos demais cursos superiores.</t>
  </si>
  <si>
    <t>Cobertura curricular proposta para aderência ao perfil do egresso; as normas não prescrevem uma lista fechada de disciplinas. Decreto nº 5.626/2005, art. 3º, §2º — https://www.planalto.gov.br/ccivil_03/_ato2004-2006/2005/decreto/d5626.htm</t>
  </si>
  <si>
    <t>HUM_EMPREENDEDORISMO_INOVACAO</t>
  </si>
  <si>
    <t>Empreendedorismo, inovação, criatividade e desenvolvimento de soluções.</t>
  </si>
  <si>
    <t>DIG_EDUCACAO_DIGITAL_EAD</t>
  </si>
  <si>
    <t>Educação digital, acessibilidade, interação, avaliação e plataformas em oferta a distância.</t>
  </si>
  <si>
    <t>Cobertura curricular proposta para aderência ao perfil do egresso; as normas não prescrevem uma lista fechada de disciplinas. Obrigatório no PPC quando houver carga EaD — Decreto nº 12.456/2025 — https://www.planalto.gov.br/ccivil_03/_ato2023-2026/2025/decreto/d12456.htm</t>
  </si>
  <si>
    <t>AV_IA_APLICADA_AUTOMACAO</t>
  </si>
  <si>
    <t>Inteligência artificial e aprendizado de máquina aplicados à automação.</t>
  </si>
  <si>
    <t>Cobertura curricular proposta para aderência ao perfil do egresso; as normas não prescrevem uma lista fechada de disciplinas. Diferencial institucional aderente ao perfil de automação industrial — https://cncst.mec.gov.br/cncst-api/catalogopdf</t>
  </si>
  <si>
    <t>AV_VISAO_COMPUTACIONAL</t>
  </si>
  <si>
    <t>Visão computacional aplicada à inspeção, robótica e monitoramento.</t>
  </si>
  <si>
    <t>AV_CIBERSEGURANCA_OT</t>
  </si>
  <si>
    <t>Cibersegurança de redes industriais, sistemas de controle e tecnologia operacional.</t>
  </si>
  <si>
    <t>AV_GEMEOS_DIGITAIS_SIMULACAO</t>
  </si>
  <si>
    <t>Simulação avançada, virtualização e gêmeos digitais de processos e plantas.</t>
  </si>
  <si>
    <t>AV_CONTROLE_AVANCADO</t>
  </si>
  <si>
    <t>Controle multivariável, preditivo, robusto, adaptativo e não linear.</t>
  </si>
  <si>
    <t>AV_ROBOTICA_COLABORATIVA</t>
  </si>
  <si>
    <t>Robótica colaborativa, móvel e integração humano-robô.</t>
  </si>
  <si>
    <t>AV_ANALITICA_DADOS_INDUSTRIAIS</t>
  </si>
  <si>
    <t>Analítica, mineração e visualização de dados industriais.</t>
  </si>
  <si>
    <t>AV_COMPUTACAO_NUVEM_BORDA</t>
  </si>
  <si>
    <t>Computação em nuvem e na borda aplicada a sistemas industriais.</t>
  </si>
  <si>
    <t>Universidade Federal de Uberlândia - Curso Superior de Tecnologia em Automação, Robótica e IA</t>
  </si>
  <si>
    <t>PROJETAR_SISTEMAS_CONTROLE</t>
  </si>
  <si>
    <t>PROGRAMAR_CLP_SUPERVISORIO</t>
  </si>
  <si>
    <t>ESPECIFICAR_INSTRUMENTACAO</t>
  </si>
  <si>
    <t>PROJETAR_ACIONAMENTOS</t>
  </si>
  <si>
    <t>INTEGRAR_REDES_INDUSTRIAIS</t>
  </si>
  <si>
    <t>DESENVOLVER_SISTEMAS_EMBARCADOS</t>
  </si>
  <si>
    <t>APLICAR_SEGURANCA_INDUSTRIAL</t>
  </si>
  <si>
    <t>GERIR_PROJETOS_AUTOMACAO</t>
  </si>
  <si>
    <t>ATUAR_ETICA_SUSTENTABILIDADE</t>
  </si>
  <si>
    <t>Projetar, especificar e sintonizar sistemas de controle analógico e digital para processos industriais.</t>
  </si>
  <si>
    <t>MEC_CATALOGO_CST</t>
  </si>
  <si>
    <t>Programar controladores lógicos programáveis (CLPs) e sistemas supervisórios (SCADA/IHM) para automação de processos.</t>
  </si>
  <si>
    <t>Especificar, instalar e calibrar sensores, transdutores e atuadores utilizados em instrumentação industrial.</t>
  </si>
  <si>
    <t>Projetar e dimensionar sistemas de acionamento elétrico de máquinas e processos industriais.</t>
  </si>
  <si>
    <t>Integrar dispositivos e sistemas por meio de redes de comunicação industrial e protocolos de automação.</t>
  </si>
  <si>
    <t>Desenvolver soluções com sistemas embarcados aplicados ao controle e à automação de processos.</t>
  </si>
  <si>
    <t>Aplicar normas de segurança do trabalho e de sistemas instrumentados de segurança em ambientes industriais automatizados.</t>
  </si>
  <si>
    <t>Planejar e gerir projetos de automação industrial, incluindo aspectos de custo, prazo e qualidade.</t>
  </si>
  <si>
    <t>Atuar profissionalmente com responsabilidade ética, social e ambiental.</t>
  </si>
  <si>
    <t>1 
FAMAT31011
Cálculo Diferencial e Integral I</t>
  </si>
  <si>
    <t>FAMAT31011</t>
  </si>
  <si>
    <t>Cálculo Diferencial e Integral I</t>
  </si>
  <si>
    <t>disciplina</t>
  </si>
  <si>
    <t>FEELT!CDM</t>
  </si>
  <si>
    <t>Ciência de dados aplicada a Metrologia</t>
  </si>
  <si>
    <t>FEMEC39101</t>
  </si>
  <si>
    <t>Expressão Gráfica</t>
  </si>
  <si>
    <t>FEELT!IFAP</t>
  </si>
  <si>
    <t>Introdução à Formação Acadêmica e Profissional</t>
  </si>
  <si>
    <t>FEELT!DCA</t>
  </si>
  <si>
    <t>Dispositivos Ciberfísicos para Automação Industrial, IoT E IIoT</t>
  </si>
  <si>
    <t>FEELT31409</t>
  </si>
  <si>
    <t>Sistemas Digitais</t>
  </si>
  <si>
    <t>FAMAT31012</t>
  </si>
  <si>
    <t>Cálculo Diferencial e Integral II</t>
  </si>
  <si>
    <t>FEELT!CEE1</t>
  </si>
  <si>
    <t>Circuitos Eletro-Eletrônicos I</t>
  </si>
  <si>
    <t>FEELT!ECEE1</t>
  </si>
  <si>
    <t>Experimental de Circuitos Eletro-Eletrônicos I</t>
  </si>
  <si>
    <t>INFIS39032</t>
  </si>
  <si>
    <t>Experimental de Física Básica: Mecânica</t>
  </si>
  <si>
    <t>INFIS39031</t>
  </si>
  <si>
    <t>Física Básica: Mecânica</t>
  </si>
  <si>
    <t>FEELT!ASSE</t>
  </si>
  <si>
    <t>Arquitetura de software em Sistemas Embarcados</t>
  </si>
  <si>
    <t>FEELT!SS1</t>
  </si>
  <si>
    <t>Sinais e Sistemas I</t>
  </si>
  <si>
    <t>FEELT!CEE2</t>
  </si>
  <si>
    <t>Circuitos Eletro-Eletrônicos II</t>
  </si>
  <si>
    <t>FEELT!ECEE2</t>
  </si>
  <si>
    <t>Experimental de Circuitos Eletro-Eletrônicos II</t>
  </si>
  <si>
    <t>FEELT!MECT</t>
  </si>
  <si>
    <t>Materias Elétricos e Circuitos Trifásicos</t>
  </si>
  <si>
    <t>FEQUI39401</t>
  </si>
  <si>
    <t>Fenômenos de Transporte</t>
  </si>
  <si>
    <t>FEELT32301</t>
  </si>
  <si>
    <t>Informática Industrial I</t>
  </si>
  <si>
    <t>FEELT!ACE1</t>
  </si>
  <si>
    <t>Atividades Curriculares de Extensão I</t>
  </si>
  <si>
    <t>extensao</t>
  </si>
  <si>
    <t>FEELT!IDI</t>
  </si>
  <si>
    <t>Instrumentação e Dispositivos Inteligentes</t>
  </si>
  <si>
    <t>FEELT32401</t>
  </si>
  <si>
    <t>Informática Industrial II</t>
  </si>
  <si>
    <t>FEELT!RICAI</t>
  </si>
  <si>
    <t>Redes Industriais para Controle e Automação I</t>
  </si>
  <si>
    <t>FEELT!SS2</t>
  </si>
  <si>
    <t>Sinais e Sistemas II</t>
  </si>
  <si>
    <t>FEMEC41080</t>
  </si>
  <si>
    <t>Sistemas de Controle Hidráulicos e Pneumáticos</t>
  </si>
  <si>
    <t>FEELT!ACE2</t>
  </si>
  <si>
    <t>Atividades Curriculares de Extensão II</t>
  </si>
  <si>
    <t>FEELT!CVRM</t>
  </si>
  <si>
    <t>Conversão de Energia e Maquinas</t>
  </si>
  <si>
    <t>FEELT!ECVRM</t>
  </si>
  <si>
    <t>Experimental de Sistemas de Controle Realimentado</t>
  </si>
  <si>
    <t>FEELT!MRII</t>
  </si>
  <si>
    <t>Manipuladores Robóticos Industriais e Inteligentes</t>
  </si>
  <si>
    <t>FEELT!RICAII</t>
  </si>
  <si>
    <t>Redes Industriais para Controle e Automação II</t>
  </si>
  <si>
    <t>FEELT32603</t>
  </si>
  <si>
    <t>Sistemas de Controle Realimentado</t>
  </si>
  <si>
    <t>FEELT32601</t>
  </si>
  <si>
    <t>FEELT!ACE3</t>
  </si>
  <si>
    <t>Atividades Curriculares de Extensão III</t>
  </si>
  <si>
    <t>FEELT!PAI</t>
  </si>
  <si>
    <t>Proteção e Acionamentos Industriais</t>
  </si>
  <si>
    <t>FEELT!PI</t>
  </si>
  <si>
    <t>Projeto Interdisciplinar</t>
  </si>
  <si>
    <t>FEELT31603</t>
  </si>
  <si>
    <t>Instalações Elétricas</t>
  </si>
  <si>
    <t>FEELT31604</t>
  </si>
  <si>
    <t>Experimental de Instalações Elétricas</t>
  </si>
  <si>
    <t>FAGEN32411</t>
  </si>
  <si>
    <t>Empreendedorismo e Inovação</t>
  </si>
  <si>
    <t>FEELT32002</t>
  </si>
  <si>
    <t>Estágio Supervisionado Obrigatório</t>
  </si>
  <si>
    <t>estagio</t>
  </si>
  <si>
    <t>FEELT!AC</t>
  </si>
  <si>
    <t>Atividades Complementares</t>
  </si>
  <si>
    <t>atividade_complementar</t>
  </si>
  <si>
    <t>FEELT!TE1</t>
  </si>
  <si>
    <t>Tópicos Especiais I</t>
  </si>
  <si>
    <t>FEELT!TE2</t>
  </si>
  <si>
    <t>Tópicos Especiais II</t>
  </si>
  <si>
    <t>FEELT!TE3</t>
  </si>
  <si>
    <t>Tópicos Especiais III</t>
  </si>
  <si>
    <t>FEELT!TE4</t>
  </si>
  <si>
    <t>Tópicos Especiais IV</t>
  </si>
  <si>
    <t>FAMAT31011|FEELT!ECEE1</t>
  </si>
  <si>
    <t>FAMAT31011|FEELT!CEE1</t>
  </si>
  <si>
    <t>FEELT!CEE1|FEELT!ECEE2</t>
  </si>
  <si>
    <t>FEELT!CEE1|FEELT!CEE2</t>
  </si>
  <si>
    <t>FEQUI39401|INFIS39031</t>
  </si>
  <si>
    <t>FEELT!SS2|FEELT32603</t>
  </si>
  <si>
    <t>FEELT!CEE2|FEELT32603</t>
  </si>
  <si>
    <t>FEELT!RICAI|FEELT32401</t>
  </si>
  <si>
    <t>FEELT!ECVRM|FEELT!SS2</t>
  </si>
  <si>
    <t>FEELT!MRII|FEMEC41080</t>
  </si>
  <si>
    <t>FEELT!ECEE1|FEELT!PI</t>
  </si>
  <si>
    <t>FEELT31603|INFIS39032</t>
  </si>
  <si>
    <t>componentes</t>
  </si>
  <si>
    <t>obrigatoria</t>
  </si>
  <si>
    <t>Selecionar componentes</t>
  </si>
  <si>
    <t>Marque as disciplinas desejadas. Os nomes são exibidos, mas a célula receberá os códigos separados por "|".</t>
  </si>
  <si>
    <t>Sel.</t>
  </si>
  <si>
    <t>Nome</t>
  </si>
  <si>
    <t>Código</t>
  </si>
  <si>
    <t>Conteudos</t>
  </si>
  <si>
    <t>E2</t>
  </si>
  <si>
    <t>FEELT!ACE3|FEELT!CEE2|FEELT31409|FEELT!TE1|FEELT!TE3|FEELT!TE4</t>
  </si>
  <si>
    <t>chave</t>
  </si>
  <si>
    <t>autor</t>
  </si>
  <si>
    <t>titulo</t>
  </si>
  <si>
    <t>ano</t>
  </si>
  <si>
    <t>mes</t>
  </si>
  <si>
    <t>dia</t>
  </si>
  <si>
    <t>endereco</t>
  </si>
  <si>
    <t>editora</t>
  </si>
  <si>
    <t>organizacao</t>
  </si>
  <si>
    <t>instituicao</t>
  </si>
  <si>
    <t>edicao</t>
  </si>
  <si>
    <t>serie</t>
  </si>
  <si>
    <t>doi</t>
  </si>
  <si>
    <t>paginas</t>
  </si>
  <si>
    <t>url</t>
  </si>
  <si>
    <t>nota</t>
  </si>
  <si>
    <t>mec_pne_2014</t>
  </si>
  <si>
    <t>misc</t>
  </si>
  <si>
    <t>Brasil</t>
  </si>
  <si>
    <t>Plano Nacional de Educação, Lei nº 13.005/2014</t>
  </si>
  <si>
    <t>2014</t>
  </si>
  <si>
    <t>Brasília</t>
  </si>
  <si>
    <t>Ministério da Educação</t>
  </si>
  <si>
    <t>https://pne.mec.gov.br/18-planos-subnacionais-de-educacao/543-plano-nacional-de-educacao-lei-n-13-005-2014</t>
  </si>
  <si>
    <t>Aprova o Plano Nacional de Educação - PNE e dá outras providências. HISTÓRICA: PNE 2014-2024, substituído pela Lei nº 15.388/2026 (ver mec_pne_2026) — vigorou até a promulgação do novo PNE.</t>
  </si>
  <si>
    <t>mec_pne_2026</t>
  </si>
  <si>
    <t>Plano Nacional de Educação 2026-2036, Lei nº 15.388, de 14 de abril de 2026</t>
  </si>
  <si>
    <t>2026</t>
  </si>
  <si>
    <t>abr</t>
  </si>
  <si>
    <t>14</t>
  </si>
  <si>
    <t>https://www.planalto.gov.br/ccivil_03/_ato2023-2026/2026/lei/l15388.htm</t>
  </si>
  <si>
    <t>Institui o Plano Nacional de Educação para o decênio 2026-2036, substituindo a Lei nº 13.005/2014 (PNE anterior).</t>
  </si>
  <si>
    <t>ufu_consun_31_2022</t>
  </si>
  <si>
    <t>Universidade Federal de Uberlândia (UFU). Conselho Universitário (CONSUN)</t>
  </si>
  <si>
    <t>Resolução Nº 3/2017, de 18 de março de 2022</t>
  </si>
  <si>
    <t>2022</t>
  </si>
  <si>
    <t>mar</t>
  </si>
  <si>
    <t>18</t>
  </si>
  <si>
    <t>http://www.reitoria.ufu.br/Resolucoes/resolucaoCONSUN-2022-31.pdf</t>
  </si>
  <si>
    <t>Estabelece o Plano Institucional de Desenvolvimento e Expansão (PIDE) da Universidade Federal de Uberlândia, e dá outras providências</t>
  </si>
  <si>
    <t>ufu_consex_20_2022</t>
  </si>
  <si>
    <t>Universidade Federal de Uberlândia (UFU)</t>
  </si>
  <si>
    <t>Resolução Nº 20/2022, de 21 de outubro de 2022</t>
  </si>
  <si>
    <t>out</t>
  </si>
  <si>
    <t>http://www.reitoria.ufu.br/Resolucoes/resolucaoCONSEX-2022-20.pdf</t>
  </si>
  <si>
    <t>Dispõe sobre a Política de Assistência Estudantil da Universidade Federal de Uberlândia</t>
  </si>
  <si>
    <t>mec_decreto_ead_12456_2025</t>
  </si>
  <si>
    <t>Decreto Nº 12.456, de 19 de maio de 2025</t>
  </si>
  <si>
    <t>2025</t>
  </si>
  <si>
    <t>mai</t>
  </si>
  <si>
    <t>https://www.planalto.gov.br/ccivil_03/_Ato2023-2026/2025/Decreto/D12456.htm</t>
  </si>
  <si>
    <t>Dispõe sobre a oferta de educação a distância por instituições de educação superior em cursos de graduação</t>
  </si>
  <si>
    <t>ufu_congrad_93_2023</t>
  </si>
  <si>
    <t>Resolução Nº 93/2023, de 06 de fevereiro de 2023</t>
  </si>
  <si>
    <t>2023</t>
  </si>
  <si>
    <t>fev</t>
  </si>
  <si>
    <t>http://www.reitoria.ufu.br/Resolucoes/ataCONGRAD-2023-93.pdf</t>
  </si>
  <si>
    <t>Aprova as Normas Gerais de Estágio de Graduação da UFU</t>
  </si>
  <si>
    <t>ufu_congrad_13_2019</t>
  </si>
  <si>
    <t>Resolução Nº 13/2019, de 25 de setembro de 2019</t>
  </si>
  <si>
    <t>2019</t>
  </si>
  <si>
    <t>set</t>
  </si>
  <si>
    <t>http://www.reitoria.ufu.br/Resolucoes/ataCONGRAD-2019-13.pdf</t>
  </si>
  <si>
    <t>Regulamenta a inserção de atividades de extensão nos Currículos dos Cursos de Graduação da Universidade Federal de Uberlândia. HISTÓRICA: os arts. 1º a 11 (o essencial do texto normativo) foram revogados pela Resolução CONGRAD nº 177, de 20 de fevereiro de 2026 (art. 15, I) -- não citar como norma vigente da curricularização da extensão.</t>
  </si>
  <si>
    <t>ufu_congrad_177_2026</t>
  </si>
  <si>
    <t>Universidade Federal de Uberlândia (UFU). Conselho de Graduação (CONGRAD)</t>
  </si>
  <si>
    <t>Resolução CONGRAD Nº 177, de 20 de fevereiro de 2026</t>
  </si>
  <si>
    <t>20</t>
  </si>
  <si>
    <t>https://facom.ufu.br/system/files/conteudo/resolucao_congrad_117.2026_-_regulamenta_a_insercao_e_operacionalizacao_das_aces_nos_curriculos_dos_cursos_de_graduacao_da_ufu.pdf</t>
  </si>
  <si>
    <t>Regulamenta a inserção e a operacionalização das Atividades Curriculares de Extensão (ACEs) nos currículos dos Cursos de Graduação da UFU. Revoga os arts. 1º a 11 da Resolução CONGRAD nº 13/2019 (Art. 15, I) e altera a Resolução CONGRAD nº 15/2016 (Art. 14). Processo SEI nº 23117.058216/2025-19, documento SEI nº 7072406</t>
  </si>
  <si>
    <t>ufu_consex_5_2020</t>
  </si>
  <si>
    <t>Resolução Nº 5/2020, de 20 de maio de 2020</t>
  </si>
  <si>
    <t>2020</t>
  </si>
  <si>
    <t>http://www.reitoria.ufu.br/Resolucoes/resolucaoCONSEX-2020-5.pdf</t>
  </si>
  <si>
    <t>Regulamenta o Plano de Extensão da Unidade Acadêmica - PEX</t>
  </si>
  <si>
    <t>mec_portaria_21_2017</t>
  </si>
  <si>
    <t>Brasil. Ministério da Educação (MEC).</t>
  </si>
  <si>
    <t>Portaria Nº 21, de 21 de dezembro de 2017</t>
  </si>
  <si>
    <t>2017</t>
  </si>
  <si>
    <t>dez</t>
  </si>
  <si>
    <t>21</t>
  </si>
  <si>
    <t>https://abmes.org.br/arquivos/legislacoes/Portaria21-2017-sistema-emec.pdf</t>
  </si>
  <si>
    <t>Dispõe sobre o sistema e-MEC e o Cadastro Nacional de Cursos e Instituições de Educação Superior.</t>
  </si>
  <si>
    <t>ufu_consun_25_2019</t>
  </si>
  <si>
    <t>Resolução Nº 25/2019, de 17 de dezembro de 2019</t>
  </si>
  <si>
    <t>http://www.reitoria.ufu.br/Resolucoes/resolucaoCONSUN-2019-25.pdf</t>
  </si>
  <si>
    <t>Aprova a Política de Extensão da Universidade Federal de Uberlândia</t>
  </si>
  <si>
    <t>cne_ces_7_2018</t>
  </si>
  <si>
    <t>Brasil. Ministério da Educação (MEC). Conselho Nacional de Educação (CNE). Câmara de Educação Superior (CES)</t>
  </si>
  <si>
    <t>Resolução Nº 7, de 18 de dezembro de 2018</t>
  </si>
  <si>
    <t>2018</t>
  </si>
  <si>
    <t>https://portal.mec.gov.br/index.php?option=com_docman&amp;view=download&amp;alias=105102-rces007-18&amp;Itemid=30192</t>
  </si>
  <si>
    <t>Estabelece as Diretrizes para a Extensão na Educação Superior Brasileira</t>
  </si>
  <si>
    <t>cne_ces_2_2007</t>
  </si>
  <si>
    <t>Resolução Nº 2, de 18 de junho de 2007</t>
  </si>
  <si>
    <t>2007</t>
  </si>
  <si>
    <t>jun</t>
  </si>
  <si>
    <t>https://portal.mec.gov.br/index.php?option=com_docman&amp;view=download&amp;alias=16872-res-cne-ces-002-18062007&amp;Itemid=30192</t>
  </si>
  <si>
    <t>Dispõe sobre carga horária mínima e procedimentos relativos à integralização e duração dos cursos de graduação, bacharelados, na modalidade presencial.</t>
  </si>
  <si>
    <t>brasil_lei_10861_2004</t>
  </si>
  <si>
    <t>Lei Nº 10.861, de 14 de abril de 2004</t>
  </si>
  <si>
    <t>2004</t>
  </si>
  <si>
    <t>https://www.planalto.gov.br/ccivil_03/_ato2004-2006/2004/lei/l10.861.htm</t>
  </si>
  <si>
    <t>Institui o Sistema Nacional de Avaliação da Educação Superior - SINAES</t>
  </si>
  <si>
    <t>ufu_guia_ppc_2021</t>
  </si>
  <si>
    <t>book</t>
  </si>
  <si>
    <t>Universidade Federal de Uberlândia (UFU), Pró-Reitoria de Graduação (PROGRAD), Diretoria de Ensino (DIREN)</t>
  </si>
  <si>
    <t>Guia de Elaboração de Projetos Pedagógicos dos Cursos de Graduação da UFU</t>
  </si>
  <si>
    <t>2021</t>
  </si>
  <si>
    <t>Uberlândia, MG</t>
  </si>
  <si>
    <t>3</t>
  </si>
  <si>
    <t>https://prograd.ufu.br/sites/prograd.ufu.br/files/media/arquivo/guia_ppc_3a_edicao.pdf</t>
  </si>
  <si>
    <t>ufu_congrad_46_2022</t>
  </si>
  <si>
    <t>Resolução CONGRAD Nº 46, de 28 de março de 2022</t>
  </si>
  <si>
    <t>28</t>
  </si>
  <si>
    <t>http://www.reitoria.ufu.br/Resolucoes/ataCONGRAD-2022-46.pdf</t>
  </si>
  <si>
    <t>Aprova as Normas Gerais da Graduação da UFU (organização, funcionamento, avaliação, alteração, criação e extinção de cursos de graduação). Alterada pela Resolução CONGRAD nº 78, de 16 de novembro de 2022. Revogou parcialmente a Resolução CONGRAD nº 15/2011.</t>
  </si>
  <si>
    <t>mec_portaria_378_2025</t>
  </si>
  <si>
    <t>Brasil. Ministério da Educação (MEC)</t>
  </si>
  <si>
    <t>Portaria MEC Nº 378, de 19 de maio de 2025</t>
  </si>
  <si>
    <t>19</t>
  </si>
  <si>
    <t>https://www.semesp.org.br/legislacao/portaria-mec-no-378-de-19-de-maio-de-2025/</t>
  </si>
  <si>
    <t>Dispõe sobre os formatos de oferta (presencial, semipresencial, a distância) dos cursos superiores de graduação, detalhando percentuais mínimos de carga horária presencial/síncrona mediada por área do Manual CINE Brasil, complementando o Decreto nº 12.456/2025 (v. mec_decreto_ead_12456_2025). PENDENTE: não verificado se define regra específica para a área "Eletrônica e Automação"/eixo "Controle e Processos Industriais" deste curso -- ver docs/RELATORIO_AUDITORIA_NORMATIVA.md.</t>
  </si>
  <si>
    <t>ufu_congrad_15_2016</t>
  </si>
  <si>
    <t>Resolução Nº 15/2016, de 25 de maio de 2016</t>
  </si>
  <si>
    <t>2016</t>
  </si>
  <si>
    <t>http://www.reitoria.ufu.br/Resolucoes/resolucaoCONGRAD-2016-15.pdf</t>
  </si>
  <si>
    <t>Dispõe sobre a elaboração e/ou reformulação de Projetos Pedagógicos de Cursos de Graduação</t>
  </si>
  <si>
    <t>cc_by_nd_4_0</t>
  </si>
  <si>
    <t>Creative Commons</t>
  </si>
  <si>
    <t>Attribution-NoDerivatives 4.0 International (CC BY-ND 4.0)</t>
  </si>
  <si>
    <t>2013</t>
  </si>
  <si>
    <t>https://creativecommons.org/licenses/by-nd/4.0/</t>
  </si>
  <si>
    <t>ufu_consun_36_2022</t>
  </si>
  <si>
    <t>Resolução Nº 36/2022, de 29 de novembro de 2022</t>
  </si>
  <si>
    <t>nov</t>
  </si>
  <si>
    <t>http://www.reitoria.ufu.br/Resolucoes/ataCONSUN-2022-36.pdf</t>
  </si>
  <si>
    <t>Aprova a Política de Ingresso de Pessoas em Situação de Refúgio, Asilo Político, Apatridia e Acolhida Humanitária</t>
  </si>
  <si>
    <t>ufu_feelt_ppc_ec_2019</t>
  </si>
  <si>
    <t>Universidade Federal de Uberlândia (UFU). Faculdade de Engenharia Elétrica (FEELT)</t>
  </si>
  <si>
    <t>Projeto Pedagógico de Curso: Graduação em Engenharia de Computação</t>
  </si>
  <si>
    <t>https://feelt.ufu.br/system/files/conteudo/ppc_ec_final.pdf</t>
  </si>
  <si>
    <t>Versão Curricular: 2019-1</t>
  </si>
  <si>
    <t>unesco_eng4susdev_2021</t>
  </si>
  <si>
    <t>United Nations Educational, Scientific and Cultural Organization (UNESCO)</t>
  </si>
  <si>
    <t>Engineering for Sustainable Development: Delivering on the Sustainable Development Goals</t>
  </si>
  <si>
    <t>Paris</t>
  </si>
  <si>
    <t>UNESCO Publishing</t>
  </si>
  <si>
    <t>https://unesdoc.unesco.org/ark:/48223/pf0000375644</t>
  </si>
  <si>
    <t>Report number: SC-2021/WS/7</t>
  </si>
  <si>
    <t>ufu_feelt_regimento_2023</t>
  </si>
  <si>
    <t>Regimento Interno da Faculdade de Engenharia Elétrica</t>
  </si>
  <si>
    <t>dec</t>
  </si>
  <si>
    <t>https://feelt.ufu.br/system/files/conteudo/regimento_interno_da_feelt_12.2023.pdf</t>
  </si>
  <si>
    <t>Aprova o Regimento Interno da Faculdade de Engenharia Elétrica da Universidade Federal de Uberlândia, e dá outras providências.</t>
  </si>
  <si>
    <t>cne_ces_parecer_136_2012</t>
  </si>
  <si>
    <t>Parecer CNE/CES Nº 136/2012</t>
  </si>
  <si>
    <t>2012</t>
  </si>
  <si>
    <t>https://portal.mec.gov.br/index.php?option=com_docman&amp;view=download&amp;alias=11205-pces136-11-pdf&amp;category_slug=julho-2012-pdf&amp;Itemid=30192</t>
  </si>
  <si>
    <t>Diretrizes Curriculares Nacionais para os cursos de graduação em Computação</t>
  </si>
  <si>
    <t>confea_218_1973</t>
  </si>
  <si>
    <t>Conselho Federal de Engenharia e Agronomia (CONFEA)</t>
  </si>
  <si>
    <t>Resolução Nº 218, de 29 de junho de 1973</t>
  </si>
  <si>
    <t>1973</t>
  </si>
  <si>
    <t>https://normativos.confea.org.br/Ementas/Visualizar?id=266</t>
  </si>
  <si>
    <t>Discrimina atividades das diferentes modalidades profissionais da Engenharia, Arquitetura e Agronomia</t>
  </si>
  <si>
    <t>confea_380_1993</t>
  </si>
  <si>
    <t>Resolução Nº 380, de 17 de dezembro de 1993</t>
  </si>
  <si>
    <t>1993</t>
  </si>
  <si>
    <t>https://normativos.confea.org.br/Ementas/Visualizar?id=428</t>
  </si>
  <si>
    <t>Dispõe sobre o título de Engenheiro de Computação</t>
  </si>
  <si>
    <t>mec_cncst_2024</t>
  </si>
  <si>
    <t>Portaria Nº 514, de 4 de junho de 2024</t>
  </si>
  <si>
    <t>2024</t>
  </si>
  <si>
    <t>4</t>
  </si>
  <si>
    <t>http://www.abmes.org.br/legislacoes/detalhe/4772/portaria-mec-n-514</t>
  </si>
  <si>
    <t>Aprova a 4º edição do Catálogo Nacional de Cursos Superiores de Tecnologia (CNCST) e a incorporação de Áreas Tecnológicas aos Eixos Tecnológicos do CNCST e do Catálogo Nacional de Cursos Técnicos (CNCT), conforme a Resolução CNE/CP nº 2, de 4 de abril de 2024</t>
  </si>
  <si>
    <t>cne_cp_1_2021</t>
  </si>
  <si>
    <t>Brasil. Ministério da Educação (MEC). Conselho Nacional de Educação (CNE). Conselho Pleno (CP)</t>
  </si>
  <si>
    <t>Resolução CNE/CP Nº 1, de 5 de janeiro de 2021</t>
  </si>
  <si>
    <t>jan</t>
  </si>
  <si>
    <t>5</t>
  </si>
  <si>
    <t>https://abmes.org.br/arquivos/legislacoes/Resolucao-cne-cp-001-2021-01-05.pdf</t>
  </si>
  <si>
    <t>Define as Diretrizes Curriculares Nacionais Gerais para a Educação Profissional e Tecnológica</t>
  </si>
  <si>
    <t>cne_cp_2_2024</t>
  </si>
  <si>
    <t>Resolução CNE/CP Nº 2, de 4 de abril de 2024</t>
  </si>
  <si>
    <t>https://www.semesp.org.br/legislacao/resolucao-cne-cp-no-2-de-4-de-abril-de-2024/</t>
  </si>
  <si>
    <t>Autoriza a edição do Catálogo Nacional de Cursos Técnicos (CNCT) e do Catálogo Nacional de Cursos Superiores de Tecnologia (CNCST) organizados por Eixos Tecnológicos, subdivididos em Áreas Tecnológicas</t>
  </si>
  <si>
    <t>inep_cine_brasil_622_2025</t>
  </si>
  <si>
    <t>Brasil. Instituto Nacional de Estudos e Pesquisas Educacionais Anísio Teixeira (Inep)</t>
  </si>
  <si>
    <t>Portaria Inep Nº 622, de 8 de setembro de 2025</t>
  </si>
  <si>
    <t>8</t>
  </si>
  <si>
    <t>https://abmes.org.br/arquivos/legislacoes/Portaria-Inep-622-2025-09-08.pdf</t>
  </si>
  <si>
    <t>Estabelece a política de aplicação da Classificação Internacional Normalizada da Educação adaptada para cursos de graduação no Brasil (CINE Brasil) -- base do enquadramento deste curso no código CINE 0714A01 (Automação Industrial)</t>
  </si>
  <si>
    <t>confea_313_1986</t>
  </si>
  <si>
    <t>Resolução Nº 313, de 26 de setembro de 1986</t>
  </si>
  <si>
    <t>1986</t>
  </si>
  <si>
    <t>26</t>
  </si>
  <si>
    <t>https://www.ufrgs.br/cursopgdr/Atribui%C3%A7%C3%B5es%20CREA_0313-86Tecn%C3%B3logos.pdf</t>
  </si>
  <si>
    <t>Dispõe sobre o exercício profissional dos Tecnólogos das áreas submetidas à regulamentação e fiscalização instituídas pela Lei nº 5.194, de 24 de dezembro de 1966 -- base das atribuições profissionais do Tecnólogo em Automação Industrial, mais específica que a Resolução CONFEA nº 1.073/2016 (v. confea_1073_2016) para esta finalidade</t>
  </si>
  <si>
    <t>confea_1073_2016</t>
  </si>
  <si>
    <t>Resolução Nº 1.073, de 19 de abril de 2016</t>
  </si>
  <si>
    <t>https://normativos.confea.org.br/Ementas/Visualizar?id=59111</t>
  </si>
  <si>
    <t>Regulamenta a atribuição de títulos, atividades, competências e campos de atuação profissionais aos profissionais registrados no Sistema Confea/Crea para efeito de fiscalização do exercício profissional no âmbito da Engenharia e da Agronomia</t>
  </si>
  <si>
    <t>brasil_lei_5194_1966</t>
  </si>
  <si>
    <t>Lei Nº 5.194, de 24 de dezembro de 1966</t>
  </si>
  <si>
    <t>1966</t>
  </si>
  <si>
    <t>https://www.planalto.gov.br/ccivil_03/leis/l5194.htm</t>
  </si>
  <si>
    <t>Regula o exercício das profissões de Engenheiro, Arquiteto e Engenheiro-Agrônomo, e dá outras providências</t>
  </si>
  <si>
    <t>confea_473_2002</t>
  </si>
  <si>
    <t>Resolução Nº 473, de 26 de novembro de 2002</t>
  </si>
  <si>
    <t>2002</t>
  </si>
  <si>
    <t>https://normativos.confea.org.br/Ementas/Visualizar?id=521</t>
  </si>
  <si>
    <t>Dispõe sobre o título profissional de Engenheiro de Computação e dá outras providências</t>
  </si>
  <si>
    <t>ufu_consun_20_2012</t>
  </si>
  <si>
    <t>Resolução Nº 20/2012 do Conselho Universitário</t>
  </si>
  <si>
    <t>https://feelt.ufu.br/system/files/conteudo/resolucaoconsun-2012-20_criacao_do_curso.pdf</t>
  </si>
  <si>
    <t>Cria o Curso de Engenharia de Computação</t>
  </si>
  <si>
    <t>mec_seres_portaria_647_2018</t>
  </si>
  <si>
    <t>Brasil. Ministério da Educação (MEC). Secretaria de Regulação e Supervisão da Educação Superior (SERES)</t>
  </si>
  <si>
    <t>Portaria Nº 647, de 20 de setembro de 2018</t>
  </si>
  <si>
    <t>sep</t>
  </si>
  <si>
    <t>24</t>
  </si>
  <si>
    <t>30--31</t>
  </si>
  <si>
    <t>https://feelt.ufu.br/system/files/conteudo/portaria_de_reconhecimento_engenharia_de_computacao.pdf</t>
  </si>
  <si>
    <t>Diário Oficial da União, Seção 1, Nº 184 | Reconhece cursos superiores de graduação, incluindo o curso de Engenharia de Computação da Universidade Federal de Uberlândia (UFU). ISSN 1677-7042</t>
  </si>
  <si>
    <t>acm_cc2020</t>
  </si>
  <si>
    <t>techreport</t>
  </si>
  <si>
    <t>ACM/IEEE-CS Joint Task Force on Computing Curricula</t>
  </si>
  <si>
    <t>Computing Curricula 2020: Paradigms for Global Computing Education</t>
  </si>
  <si>
    <t>New York, NY, USA</t>
  </si>
  <si>
    <t>Association for Computing Machinery</t>
  </si>
  <si>
    <t>10.1145/3408839</t>
  </si>
  <si>
    <t>https://www.acm.org/binaries/content/assets/education/curricula-recommendations/cc2020.pdf</t>
  </si>
  <si>
    <t>cne_ces_5_2016</t>
  </si>
  <si>
    <t>Resolução Nº 5, de 16 de Novembro de 2016</t>
  </si>
  <si>
    <t>https://portal.mec.gov.br/index.php?option=com_docman&amp;view=download&amp;alias=52101-rces005-16-pdf&amp;category_slug=novembro-2016-pdf&amp;Itemid=30192</t>
  </si>
  <si>
    <t>Institui as Diretrizes Curriculares Nacionais para os cursos de graduação na área da Computação, abrangendo os cursos de bacharelado em Ciência da Computação, em Sistemas de Informação, em Engenharia de Computação, em Engenharia de Software e de licenciatura em Computação, e dá outras providências</t>
  </si>
  <si>
    <t>utley_2025</t>
  </si>
  <si>
    <t>Capgemini Research Institute</t>
  </si>
  <si>
    <t>Creativity in the age of AI: A conversation with Jeremy Utley</t>
  </si>
  <si>
    <t>Conversations for Tomorrow</t>
  </si>
  <si>
    <t>Entrevista com Jeremy Utley, Professor de IA e Design Thinking da Universidade de Stanford.</t>
  </si>
  <si>
    <t>ufu_guia_ia_2025</t>
  </si>
  <si>
    <t>Comissão IA UFU</t>
  </si>
  <si>
    <t>Guia de Princípios para o Uso Ético e Responsável de Inteligência Artificial na Universidade Federal de Uberlândia</t>
  </si>
  <si>
    <t>apr</t>
  </si>
  <si>
    <t>Universidade Federal de Uberlândia</t>
  </si>
  <si>
    <t>Proposta de guia. Documento interno em elaboração, não publicado. Versão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</si>
</sst>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rgb="FFFF0000"/>
      <name val="Calibri"/>
      <family val="2"/>
      <scheme val="minor"/>
    </font>
    <font>
      <sz val="11"/>
      <name val="Calibri"/>
      <family val="2"/>
      <scheme val="minor"/>
    </font>
    <font>
      <sz val="8"/>
      <name val="Calibri"/>
      <family val="2"/>
      <scheme val="minor"/>
    </font>
    <font>
      <b/>
      <sz val="10"/>
      <name val="Calibri"/>
      <family val="2"/>
      <scheme val="minor"/>
    </font>
    <font>
      <b/>
      <sz val="8"/>
      <name val="Calibri"/>
      <family val="2"/>
      <scheme val="minor"/>
    </font>
    <font>
      <b/>
      <sz val="10"/>
      <color rgb="FFFF0000"/>
      <name val="Calibri"/>
      <family val="2"/>
      <scheme val="minor"/>
    </font>
    <font>
      <u/>
      <sz val="11"/>
      <color theme="1"/>
      <name val="Calibri"/>
      <family val="2"/>
      <scheme val="minor"/>
    </font>
    <font>
      <u/>
      <sz val="11"/>
      <name val="Calibri"/>
      <family val="2"/>
      <scheme val="minor"/>
    </font>
    <font>
      <sz val="8"/>
      <color theme="1"/>
      <name val="Calibri"/>
      <family val="2"/>
      <scheme val="minor"/>
    </font>
    <font>
      <sz val="7"/>
      <name val="Calibri"/>
      <family val="2"/>
      <scheme val="minor"/>
    </font>
    <font>
      <b/>
      <sz val="11"/>
      <color theme="1"/>
      <name val="Calibri"/>
      <family val="2"/>
      <scheme val="minor"/>
    </font>
    <font>
      <b/>
      <sz val="11"/>
      <color rgb="FFFFFFFF"/>
      <name val="Calibri"/>
      <family val="2"/>
    </font>
    <font>
      <b/>
      <sz val="11"/>
      <color theme="1"/>
      <name val="Calibri"/>
      <family val="2"/>
    </font>
    <font>
      <b/>
      <sz val="9"/>
      <color indexed="81"/>
      <name val="Segoe UI"/>
      <family val="2"/>
    </font>
    <font>
      <sz val="11"/>
      <color rgb="FF000000"/>
      <name val="Calibri"/>
      <family val="2"/>
    </font>
    <font>
      <b/>
      <sz val="11"/>
      <color rgb="FFFFFFFF"/>
      <name val="Calibri"/>
      <family val="2"/>
      <scheme val="minor"/>
    </font>
    <font>
      <b/>
      <sz val="16"/>
      <color rgb="FFFFFFFF"/>
      <name val="Calibri"/>
      <family val="2"/>
      <scheme val="minor"/>
    </font>
    <font>
      <sz val="11"/>
      <color rgb="FF1F1F1F"/>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1F4E78"/>
      </patternFill>
    </fill>
    <fill>
      <patternFill patternType="solid">
        <fgColor rgb="FF1F4E79"/>
        <bgColor indexed="64"/>
      </patternFill>
    </fill>
    <fill>
      <patternFill patternType="solid">
        <fgColor rgb="FFDDEBF7"/>
        <bgColor indexed="64"/>
      </patternFill>
    </fill>
    <fill>
      <patternFill patternType="solid">
        <fgColor rgb="FF4472C4"/>
        <bgColor indexed="64"/>
      </patternFill>
    </fill>
  </fills>
  <borders count="32">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right style="thin">
        <color indexed="64"/>
      </right>
      <top/>
      <bottom style="double">
        <color indexed="64"/>
      </bottom>
      <diagonal/>
    </border>
    <border>
      <left style="medium">
        <color indexed="64"/>
      </left>
      <right style="thin">
        <color indexed="64"/>
      </right>
      <top/>
      <bottom style="double">
        <color indexed="64"/>
      </bottom>
      <diagonal/>
    </border>
    <border>
      <left/>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143">
    <xf numFmtId="0" fontId="0" fillId="0" borderId="0" xfId="0"/>
    <xf numFmtId="0" fontId="2" fillId="0" borderId="0" xfId="0" applyFont="1"/>
    <xf numFmtId="0" fontId="2" fillId="0" borderId="0" xfId="0" applyFont="1" applyAlignment="1">
      <alignment horizontal="right"/>
    </xf>
    <xf numFmtId="0" fontId="3" fillId="0" borderId="0" xfId="0" applyFont="1"/>
    <xf numFmtId="0" fontId="3" fillId="0" borderId="0" xfId="0" applyFont="1" applyAlignment="1">
      <alignment horizontal="right"/>
    </xf>
    <xf numFmtId="0" fontId="3" fillId="0" borderId="3" xfId="0" applyFont="1" applyBorder="1"/>
    <xf numFmtId="0" fontId="5" fillId="2" borderId="4" xfId="0" applyFont="1" applyFill="1" applyBorder="1" applyAlignment="1">
      <alignment horizontal="center"/>
    </xf>
    <xf numFmtId="0" fontId="5" fillId="2" borderId="5" xfId="0" applyFont="1" applyFill="1" applyBorder="1" applyAlignment="1">
      <alignment horizontal="center"/>
    </xf>
    <xf numFmtId="0" fontId="0" fillId="2" borderId="0" xfId="0" applyFill="1"/>
    <xf numFmtId="0" fontId="3" fillId="2" borderId="6" xfId="0" applyFont="1" applyFill="1" applyBorder="1"/>
    <xf numFmtId="0" fontId="5" fillId="0" borderId="0" xfId="0" applyFont="1" applyAlignment="1">
      <alignment horizontal="center"/>
    </xf>
    <xf numFmtId="0" fontId="5" fillId="2" borderId="7" xfId="0" applyFont="1" applyFill="1" applyBorder="1" applyAlignment="1">
      <alignment horizontal="center"/>
    </xf>
    <xf numFmtId="0" fontId="5" fillId="2" borderId="0" xfId="0" applyFont="1" applyFill="1" applyAlignment="1">
      <alignment horizontal="center"/>
    </xf>
    <xf numFmtId="0" fontId="6" fillId="0" borderId="7" xfId="0" applyFont="1" applyBorder="1" applyAlignment="1">
      <alignment horizontal="right"/>
    </xf>
    <xf numFmtId="0" fontId="6" fillId="0" borderId="0" xfId="0" applyFont="1" applyAlignment="1">
      <alignment horizontal="left"/>
    </xf>
    <xf numFmtId="0" fontId="7" fillId="2" borderId="0" xfId="0" applyFont="1" applyFill="1"/>
    <xf numFmtId="0" fontId="5" fillId="0" borderId="0" xfId="0" quotePrefix="1" applyFont="1" applyAlignment="1">
      <alignment horizontal="center"/>
    </xf>
    <xf numFmtId="0" fontId="2" fillId="2" borderId="7" xfId="0" applyFont="1" applyFill="1" applyBorder="1"/>
    <xf numFmtId="0" fontId="2" fillId="2" borderId="0" xfId="0" applyFont="1" applyFill="1"/>
    <xf numFmtId="0" fontId="0" fillId="2" borderId="11" xfId="0" applyFill="1" applyBorder="1"/>
    <xf numFmtId="0" fontId="6" fillId="2" borderId="0" xfId="0" applyFont="1" applyFill="1" applyAlignment="1">
      <alignment horizontal="right"/>
    </xf>
    <xf numFmtId="0" fontId="6" fillId="2" borderId="0" xfId="0" applyFont="1" applyFill="1" applyAlignment="1">
      <alignment horizontal="left"/>
    </xf>
    <xf numFmtId="0" fontId="2" fillId="2" borderId="0" xfId="0" applyFont="1" applyFill="1" applyAlignment="1">
      <alignment horizontal="right"/>
    </xf>
    <xf numFmtId="0" fontId="3" fillId="2" borderId="17" xfId="0" applyFont="1" applyFill="1" applyBorder="1" applyAlignment="1">
      <alignment horizontal="right"/>
    </xf>
    <xf numFmtId="0" fontId="3" fillId="3" borderId="10" xfId="0" applyFont="1" applyFill="1" applyBorder="1" applyAlignment="1">
      <alignment horizontal="center"/>
    </xf>
    <xf numFmtId="0" fontId="3" fillId="2" borderId="10" xfId="0" applyFont="1" applyFill="1" applyBorder="1" applyAlignment="1">
      <alignment horizontal="center"/>
    </xf>
    <xf numFmtId="0" fontId="3" fillId="4" borderId="10" xfId="0" applyFont="1" applyFill="1" applyBorder="1" applyAlignment="1">
      <alignment horizontal="center"/>
    </xf>
    <xf numFmtId="0" fontId="2" fillId="2" borderId="8" xfId="0" applyFont="1" applyFill="1" applyBorder="1"/>
    <xf numFmtId="0" fontId="2" fillId="2" borderId="19" xfId="0" applyFont="1" applyFill="1" applyBorder="1"/>
    <xf numFmtId="0" fontId="3" fillId="2" borderId="20" xfId="0" applyFont="1" applyFill="1" applyBorder="1" applyAlignment="1">
      <alignment horizontal="right"/>
    </xf>
    <xf numFmtId="0" fontId="3" fillId="2" borderId="18" xfId="0" applyFont="1" applyFill="1" applyBorder="1" applyAlignment="1">
      <alignment horizontal="right"/>
    </xf>
    <xf numFmtId="0" fontId="3" fillId="5" borderId="10" xfId="0" applyFont="1" applyFill="1" applyBorder="1" applyAlignment="1">
      <alignment horizontal="center"/>
    </xf>
    <xf numFmtId="0" fontId="2" fillId="0" borderId="11" xfId="0" applyFont="1" applyBorder="1"/>
    <xf numFmtId="0" fontId="8" fillId="0" borderId="0" xfId="0" applyFont="1"/>
    <xf numFmtId="0" fontId="3" fillId="6" borderId="10" xfId="0" applyFont="1" applyFill="1" applyBorder="1" applyAlignment="1">
      <alignment horizontal="center"/>
    </xf>
    <xf numFmtId="0" fontId="0" fillId="2" borderId="0" xfId="0" applyFill="1" applyAlignment="1">
      <alignment horizontal="right"/>
    </xf>
    <xf numFmtId="0" fontId="9" fillId="2" borderId="18" xfId="0" applyFont="1" applyFill="1" applyBorder="1" applyAlignment="1">
      <alignment horizontal="right"/>
    </xf>
    <xf numFmtId="0" fontId="2" fillId="2" borderId="11" xfId="0" applyFont="1" applyFill="1" applyBorder="1"/>
    <xf numFmtId="0" fontId="9" fillId="2" borderId="17" xfId="0" applyFont="1" applyFill="1" applyBorder="1" applyAlignment="1">
      <alignment horizontal="right"/>
    </xf>
    <xf numFmtId="0" fontId="3" fillId="7" borderId="10" xfId="0" applyFont="1" applyFill="1" applyBorder="1" applyAlignment="1">
      <alignment horizontal="center"/>
    </xf>
    <xf numFmtId="0" fontId="9" fillId="2" borderId="10" xfId="0" applyFont="1" applyFill="1" applyBorder="1" applyAlignment="1">
      <alignment horizontal="center"/>
    </xf>
    <xf numFmtId="0" fontId="3" fillId="2" borderId="21" xfId="0" applyFont="1" applyFill="1" applyBorder="1" applyAlignment="1">
      <alignment horizontal="right"/>
    </xf>
    <xf numFmtId="0" fontId="1" fillId="2" borderId="0" xfId="0" applyFont="1" applyFill="1"/>
    <xf numFmtId="0" fontId="3" fillId="2" borderId="0" xfId="0" applyFont="1" applyFill="1" applyAlignment="1">
      <alignment vertical="center"/>
    </xf>
    <xf numFmtId="0" fontId="3" fillId="2" borderId="0" xfId="0" applyFont="1" applyFill="1" applyAlignment="1">
      <alignment horizontal="center"/>
    </xf>
    <xf numFmtId="0" fontId="3" fillId="2" borderId="3" xfId="0" applyFont="1" applyFill="1" applyBorder="1" applyAlignment="1">
      <alignment vertical="center"/>
    </xf>
    <xf numFmtId="0" fontId="5" fillId="2" borderId="4" xfId="0" applyFont="1" applyFill="1" applyBorder="1" applyAlignment="1">
      <alignment horizontal="left" vertical="center"/>
    </xf>
    <xf numFmtId="0" fontId="2" fillId="2" borderId="4" xfId="0" applyFont="1" applyFill="1" applyBorder="1"/>
    <xf numFmtId="0" fontId="0" fillId="2" borderId="4" xfId="0" applyFill="1" applyBorder="1"/>
    <xf numFmtId="0" fontId="0" fillId="2" borderId="6" xfId="0" applyFill="1" applyBorder="1"/>
    <xf numFmtId="0" fontId="3" fillId="2" borderId="7" xfId="0" applyFont="1" applyFill="1" applyBorder="1" applyAlignment="1">
      <alignment vertical="center"/>
    </xf>
    <xf numFmtId="0" fontId="3" fillId="2" borderId="0" xfId="0" applyFont="1" applyFill="1" applyAlignment="1">
      <alignment horizontal="left"/>
    </xf>
    <xf numFmtId="0" fontId="3" fillId="2" borderId="11" xfId="0" applyFont="1" applyFill="1" applyBorder="1" applyAlignment="1">
      <alignment horizontal="left"/>
    </xf>
    <xf numFmtId="0" fontId="3" fillId="2" borderId="0" xfId="0" applyFont="1" applyFill="1"/>
    <xf numFmtId="0" fontId="3" fillId="2" borderId="11" xfId="0" applyFont="1" applyFill="1" applyBorder="1"/>
    <xf numFmtId="0" fontId="3" fillId="2" borderId="0" xfId="0" applyFont="1" applyFill="1" applyAlignment="1">
      <alignment vertical="top" wrapText="1"/>
    </xf>
    <xf numFmtId="0" fontId="0" fillId="2" borderId="23" xfId="0" applyFill="1" applyBorder="1"/>
    <xf numFmtId="0" fontId="0" fillId="2" borderId="24" xfId="0" applyFill="1" applyBorder="1"/>
    <xf numFmtId="0" fontId="0" fillId="2" borderId="25" xfId="0" applyFill="1" applyBorder="1"/>
    <xf numFmtId="0" fontId="3" fillId="2" borderId="0" xfId="0" applyFont="1" applyFill="1" applyAlignment="1">
      <alignment horizontal="right" vertical="center"/>
    </xf>
    <xf numFmtId="0" fontId="9" fillId="2" borderId="0" xfId="0" applyFont="1" applyFill="1" applyAlignment="1">
      <alignment horizontal="center"/>
    </xf>
    <xf numFmtId="0" fontId="2" fillId="2" borderId="24" xfId="0" applyFont="1" applyFill="1" applyBorder="1"/>
    <xf numFmtId="0" fontId="3" fillId="2" borderId="24" xfId="0" applyFont="1" applyFill="1" applyBorder="1" applyAlignment="1">
      <alignment vertical="center"/>
    </xf>
    <xf numFmtId="0" fontId="3" fillId="2" borderId="24" xfId="0" applyFont="1" applyFill="1" applyBorder="1" applyAlignment="1">
      <alignment vertical="top" wrapText="1"/>
    </xf>
    <xf numFmtId="0" fontId="2" fillId="2" borderId="25" xfId="0" applyFont="1" applyFill="1" applyBorder="1"/>
    <xf numFmtId="0" fontId="2" fillId="0" borderId="23" xfId="0" applyFont="1" applyBorder="1"/>
    <xf numFmtId="0" fontId="2" fillId="0" borderId="25" xfId="0" applyFont="1" applyBorder="1"/>
    <xf numFmtId="0" fontId="2" fillId="2" borderId="3" xfId="0" applyFont="1" applyFill="1" applyBorder="1"/>
    <xf numFmtId="0" fontId="2" fillId="2" borderId="6" xfId="0" applyFont="1" applyFill="1" applyBorder="1"/>
    <xf numFmtId="0" fontId="2" fillId="0" borderId="0" xfId="0" applyFont="1" applyAlignment="1">
      <alignment horizontal="left"/>
    </xf>
    <xf numFmtId="0" fontId="3" fillId="2" borderId="0" xfId="0" applyFont="1" applyFill="1" applyAlignment="1">
      <alignment vertical="center" wrapText="1"/>
    </xf>
    <xf numFmtId="0" fontId="2" fillId="2" borderId="15" xfId="0" applyFont="1" applyFill="1" applyBorder="1"/>
    <xf numFmtId="0" fontId="2" fillId="2" borderId="23" xfId="0" applyFont="1" applyFill="1" applyBorder="1"/>
    <xf numFmtId="0" fontId="3" fillId="2" borderId="24" xfId="0" applyFont="1" applyFill="1" applyBorder="1" applyAlignment="1">
      <alignment horizontal="center"/>
    </xf>
    <xf numFmtId="0" fontId="3" fillId="2" borderId="24" xfId="0" applyFont="1" applyFill="1" applyBorder="1" applyAlignment="1">
      <alignment horizontal="left" vertical="center" wrapText="1"/>
    </xf>
    <xf numFmtId="0" fontId="0" fillId="0" borderId="0" xfId="0" applyAlignment="1">
      <alignment horizontal="center"/>
    </xf>
    <xf numFmtId="0" fontId="11" fillId="0" borderId="0" xfId="0" applyFont="1" applyAlignment="1">
      <alignment horizontal="center"/>
    </xf>
    <xf numFmtId="0" fontId="12" fillId="8" borderId="0" xfId="0" applyFont="1" applyFill="1" applyAlignment="1">
      <alignment horizontal="center" vertical="center" wrapText="1"/>
    </xf>
    <xf numFmtId="0" fontId="0" fillId="0" borderId="0" xfId="0" applyAlignment="1">
      <alignment vertical="top" wrapText="1"/>
    </xf>
    <xf numFmtId="0" fontId="13" fillId="0" borderId="0" xfId="0" applyFont="1" applyAlignment="1">
      <alignment horizontal="center"/>
    </xf>
    <xf numFmtId="0" fontId="0" fillId="0" borderId="0" xfId="0" applyAlignment="1">
      <alignment vertical="top" wrapText="1"/>
      <extLst>
        <ext xmlns:xfpb="http://schemas.microsoft.com/office/spreadsheetml/2022/featurepropertybag" uri="{C7286773-470A-42A8-94C5-96B5CB345126}">
          <xfpb:xfComplement i="0"/>
        </ext>
      </extLst>
    </xf>
    <xf numFmtId="0" fontId="5" fillId="2" borderId="0" xfId="0" applyFont="1" applyFill="1"/>
    <xf numFmtId="0" fontId="5" fillId="2" borderId="10" xfId="0" quotePrefix="1" applyFont="1" applyFill="1" applyBorder="1" applyAlignment="1">
      <alignment horizontal="center" vertical="center"/>
    </xf>
    <xf numFmtId="0" fontId="5" fillId="2" borderId="17" xfId="0" applyFont="1" applyFill="1" applyBorder="1" applyAlignment="1">
      <alignment vertical="top"/>
    </xf>
    <xf numFmtId="0" fontId="3" fillId="2" borderId="22" xfId="0" applyFont="1" applyFill="1" applyBorder="1" applyAlignment="1">
      <alignment vertical="top"/>
    </xf>
    <xf numFmtId="0" fontId="0" fillId="0" borderId="0" xfId="0" applyAlignment="1">
      <alignment vertical="center"/>
    </xf>
    <xf numFmtId="0" fontId="0" fillId="0" borderId="0" xfId="0" applyAlignment="1">
      <alignment vertical="center" wrapText="1"/>
    </xf>
    <xf numFmtId="0" fontId="16" fillId="11" borderId="10" xfId="0" applyFont="1" applyFill="1" applyBorder="1" applyAlignment="1">
      <alignment horizontal="center" vertical="center"/>
    </xf>
    <xf numFmtId="0" fontId="0" fillId="0" borderId="31" xfId="0" applyBorder="1" applyAlignment="1">
      <alignment vertical="center"/>
    </xf>
    <xf numFmtId="0" fontId="0" fillId="0" borderId="31" xfId="0" applyBorder="1" applyAlignment="1">
      <alignment vertical="center" wrapText="1"/>
    </xf>
    <xf numFmtId="0" fontId="5" fillId="2" borderId="10" xfId="0" applyFont="1" applyFill="1" applyBorder="1" applyAlignment="1">
      <alignment horizontal="center"/>
    </xf>
    <xf numFmtId="0" fontId="0" fillId="0" borderId="8" xfId="0" applyBorder="1"/>
    <xf numFmtId="0" fontId="0" fillId="0" borderId="9" xfId="0" applyBorder="1"/>
    <xf numFmtId="0" fontId="3" fillId="2" borderId="10" xfId="0" applyFont="1" applyFill="1" applyBorder="1" applyAlignment="1">
      <alignment horizontal="center" vertical="center" wrapText="1"/>
    </xf>
    <xf numFmtId="0" fontId="0" fillId="0" borderId="12" xfId="0" applyBorder="1"/>
    <xf numFmtId="0" fontId="0" fillId="0" borderId="13" xfId="0" applyBorder="1"/>
    <xf numFmtId="0" fontId="0" fillId="0" borderId="14" xfId="0" applyBorder="1"/>
    <xf numFmtId="0" fontId="2" fillId="0" borderId="0" xfId="0" applyFont="1"/>
    <xf numFmtId="0" fontId="0" fillId="0" borderId="15" xfId="0" applyBorder="1"/>
    <xf numFmtId="0" fontId="0" fillId="0" borderId="16" xfId="0" applyBorder="1"/>
    <xf numFmtId="0" fontId="0" fillId="0" borderId="17" xfId="0" applyBorder="1"/>
    <xf numFmtId="0" fontId="0" fillId="0" borderId="18" xfId="0" applyBorder="1"/>
    <xf numFmtId="0" fontId="5" fillId="2" borderId="10" xfId="0" quotePrefix="1" applyFont="1" applyFill="1" applyBorder="1" applyAlignment="1">
      <alignment horizontal="center" vertical="center"/>
    </xf>
    <xf numFmtId="0" fontId="5" fillId="2" borderId="26" xfId="0" quotePrefix="1" applyFont="1" applyFill="1" applyBorder="1" applyAlignment="1">
      <alignment horizontal="center" vertical="center"/>
    </xf>
    <xf numFmtId="0" fontId="0" fillId="0" borderId="26" xfId="0" applyBorder="1"/>
    <xf numFmtId="0" fontId="3" fillId="5" borderId="10" xfId="0" applyFont="1" applyFill="1" applyBorder="1" applyAlignment="1">
      <alignment horizontal="center" vertical="center" wrapText="1"/>
    </xf>
    <xf numFmtId="0" fontId="2" fillId="2" borderId="27" xfId="0" applyFont="1" applyFill="1" applyBorder="1" applyAlignment="1">
      <alignment horizontal="center"/>
    </xf>
    <xf numFmtId="0" fontId="0" fillId="0" borderId="1" xfId="0" applyBorder="1"/>
    <xf numFmtId="0" fontId="0" fillId="0" borderId="2" xfId="0" applyBorder="1"/>
    <xf numFmtId="0" fontId="5" fillId="2" borderId="29" xfId="0" quotePrefix="1" applyFont="1" applyFill="1" applyBorder="1" applyAlignment="1">
      <alignment horizontal="center" vertical="center"/>
    </xf>
    <xf numFmtId="0" fontId="5" fillId="2" borderId="30" xfId="0" quotePrefix="1" applyFont="1" applyFill="1" applyBorder="1" applyAlignment="1">
      <alignment horizontal="center" vertical="center"/>
    </xf>
    <xf numFmtId="0" fontId="3" fillId="4" borderId="10" xfId="0" applyFont="1" applyFill="1" applyBorder="1" applyAlignment="1">
      <alignment horizontal="center" vertical="center" wrapText="1"/>
    </xf>
    <xf numFmtId="0" fontId="3" fillId="7" borderId="10" xfId="0" applyFont="1" applyFill="1" applyBorder="1" applyAlignment="1">
      <alignment horizontal="center" vertical="center" wrapText="1"/>
    </xf>
    <xf numFmtId="0" fontId="3" fillId="6" borderId="10"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2" xfId="0" applyFont="1" applyFill="1" applyBorder="1" applyAlignment="1">
      <alignment horizontal="center" vertical="center" wrapText="1"/>
    </xf>
    <xf numFmtId="0" fontId="0" fillId="0" borderId="0" xfId="0"/>
    <xf numFmtId="0" fontId="3" fillId="2" borderId="18" xfId="0" applyFont="1" applyFill="1" applyBorder="1" applyAlignment="1">
      <alignment vertical="center" textRotation="90"/>
    </xf>
    <xf numFmtId="0" fontId="9" fillId="2" borderId="28" xfId="0" applyFont="1" applyFill="1" applyBorder="1" applyAlignment="1">
      <alignment horizontal="center" vertical="center" wrapText="1"/>
    </xf>
    <xf numFmtId="0" fontId="9" fillId="2" borderId="12"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2" borderId="14" xfId="0" applyFont="1" applyFill="1" applyBorder="1" applyAlignment="1">
      <alignment horizontal="center" vertical="center" wrapText="1"/>
    </xf>
    <xf numFmtId="0" fontId="9" fillId="2" borderId="0" xfId="0" applyFont="1" applyFill="1" applyAlignment="1">
      <alignment horizontal="center" vertical="center" wrapText="1"/>
    </xf>
    <xf numFmtId="0" fontId="9" fillId="2" borderId="15"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3" fillId="2" borderId="28"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17"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3" borderId="10" xfId="0" applyFont="1" applyFill="1" applyBorder="1" applyAlignment="1">
      <alignment horizontal="center" vertical="center" wrapText="1"/>
    </xf>
    <xf numFmtId="0" fontId="3" fillId="2" borderId="18" xfId="0" applyFont="1" applyFill="1" applyBorder="1" applyAlignment="1">
      <alignment horizontal="center" vertical="center" textRotation="90"/>
    </xf>
    <xf numFmtId="0" fontId="4" fillId="2" borderId="27" xfId="0" applyFont="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17" fillId="9" borderId="0" xfId="0" applyFont="1" applyFill="1" applyAlignment="1">
      <alignment horizontal="center" vertical="center"/>
    </xf>
    <xf numFmtId="0" fontId="18" fillId="10" borderId="0" xfId="0" applyFont="1" applyFill="1" applyAlignment="1">
      <alignment horizontal="lef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_Seletor_Componentes!$D$6" lockText="1" noThreeD="1"/>
</file>

<file path=xl/ctrlProps/ctrlProp3.xml><?xml version="1.0" encoding="utf-8"?>
<formControlPr xmlns="http://schemas.microsoft.com/office/spreadsheetml/2009/9/main" objectType="CheckBox" fmlaLink="_Seletor_Componentes!$D$7" lockText="1" noThreeD="1"/>
</file>

<file path=xl/ctrlProps/ctrlProp4.xml><?xml version="1.0" encoding="utf-8"?>
<formControlPr xmlns="http://schemas.microsoft.com/office/spreadsheetml/2009/9/main" objectType="CheckBox" fmlaLink="_Seletor_Componentes!$D$8" lockText="1" noThreeD="1"/>
</file>

<file path=xl/ctrlProps/ctrlProp5.xml><?xml version="1.0" encoding="utf-8"?>
<formControlPr xmlns="http://schemas.microsoft.com/office/spreadsheetml/2009/9/main" objectType="CheckBox" fmlaLink="_Seletor_Componentes!$D$9" lockText="1" noThreeD="1"/>
</file>

<file path=xl/ctrlProps/ctrlProp6.xml><?xml version="1.0" encoding="utf-8"?>
<formControlPr xmlns="http://schemas.microsoft.com/office/spreadsheetml/2009/9/main" objectType="CheckBox" checked="Checked" fmlaLink="_Seletor_Componentes!$D$10" lockText="1" noThreeD="1"/>
</file>

<file path=xl/ctrlProps/ctrlProp7.xml><?xml version="1.0" encoding="utf-8"?>
<formControlPr xmlns="http://schemas.microsoft.com/office/spreadsheetml/2009/9/main" objectType="CheckBox" fmlaLink="_Seletor_Componentes!$D$11" lockText="1" noThreeD="1"/>
</file>

<file path=xl/ctrlProps/ctrlProp8.xml><?xml version="1.0" encoding="utf-8"?>
<formControlPr xmlns="http://schemas.microsoft.com/office/spreadsheetml/2009/9/main" objectType="CheckBox" checked="Checked" fmlaLink="_Seletor_Componentes!$D$12" lockText="1" noThreeD="1"/>
</file>

<file path=xl/ctrlProps/ctrlProp9.xml><?xml version="1.0" encoding="utf-8"?>
<formControlPr xmlns="http://schemas.microsoft.com/office/spreadsheetml/2009/9/main" objectType="CheckBox" fmlaLink="_Seletor_Componentes!$D$13" lockText="1" noThreeD="1"/>
</file>

<file path=xl/ctrlProps/ctrlProp10.xml><?xml version="1.0" encoding="utf-8"?>
<formControlPr xmlns="http://schemas.microsoft.com/office/spreadsheetml/2009/9/main" objectType="CheckBox" fmlaLink="_Seletor_Componentes!$D$14" lockText="1" noThreeD="1"/>
</file>

<file path=xl/ctrlProps/ctrlProp11.xml><?xml version="1.0" encoding="utf-8"?>
<formControlPr xmlns="http://schemas.microsoft.com/office/spreadsheetml/2009/9/main" objectType="CheckBox" checked="Checked" fmlaLink="_Seletor_Componentes!$D$15" lockText="1" noThreeD="1"/>
</file>

<file path=xl/ctrlProps/ctrlProp12.xml><?xml version="1.0" encoding="utf-8"?>
<formControlPr xmlns="http://schemas.microsoft.com/office/spreadsheetml/2009/9/main" objectType="CheckBox" fmlaLink="_Seletor_Componentes!$D$16" lockText="1" noThreeD="1"/>
</file>

<file path=xl/ctrlProps/ctrlProp13.xml><?xml version="1.0" encoding="utf-8"?>
<formControlPr xmlns="http://schemas.microsoft.com/office/spreadsheetml/2009/9/main" objectType="CheckBox" fmlaLink="_Seletor_Componentes!$D$17" lockText="1" noThreeD="1"/>
</file>

<file path=xl/ctrlProps/ctrlProp14.xml><?xml version="1.0" encoding="utf-8"?>
<formControlPr xmlns="http://schemas.microsoft.com/office/spreadsheetml/2009/9/main" objectType="CheckBox" fmlaLink="_Seletor_Componentes!$D$18" lockText="1" noThreeD="1"/>
</file>

<file path=xl/ctrlProps/ctrlProp15.xml><?xml version="1.0" encoding="utf-8"?>
<formControlPr xmlns="http://schemas.microsoft.com/office/spreadsheetml/2009/9/main" objectType="CheckBox" fmlaLink="_Seletor_Componentes!$D$19" lockText="1" noThreeD="1"/>
</file>

<file path=xl/ctrlProps/ctrlProp16.xml><?xml version="1.0" encoding="utf-8"?>
<formControlPr xmlns="http://schemas.microsoft.com/office/spreadsheetml/2009/9/main" objectType="CheckBox" fmlaLink="_Seletor_Componentes!$D$20" lockText="1" noThreeD="1"/>
</file>

<file path=xl/ctrlProps/ctrlProp17.xml><?xml version="1.0" encoding="utf-8"?>
<formControlPr xmlns="http://schemas.microsoft.com/office/spreadsheetml/2009/9/main" objectType="CheckBox" fmlaLink="_Seletor_Componentes!$D$21" lockText="1" noThreeD="1"/>
</file>

<file path=xl/ctrlProps/ctrlProp18.xml><?xml version="1.0" encoding="utf-8"?>
<formControlPr xmlns="http://schemas.microsoft.com/office/spreadsheetml/2009/9/main" objectType="CheckBox" fmlaLink="_Seletor_Componentes!$D$22" lockText="1" noThreeD="1"/>
</file>

<file path=xl/ctrlProps/ctrlProp19.xml><?xml version="1.0" encoding="utf-8"?>
<formControlPr xmlns="http://schemas.microsoft.com/office/spreadsheetml/2009/9/main" objectType="CheckBox" fmlaLink="_Seletor_Componentes!$D$23" lockText="1" noThreeD="1"/>
</file>

<file path=xl/ctrlProps/ctrlProp20.xml><?xml version="1.0" encoding="utf-8"?>
<formControlPr xmlns="http://schemas.microsoft.com/office/spreadsheetml/2009/9/main" objectType="CheckBox" fmlaLink="_Seletor_Componentes!$D$24" lockText="1" noThreeD="1"/>
</file>

<file path=xl/ctrlProps/ctrlProp21.xml><?xml version="1.0" encoding="utf-8"?>
<formControlPr xmlns="http://schemas.microsoft.com/office/spreadsheetml/2009/9/main" objectType="CheckBox" fmlaLink="_Seletor_Componentes!$D$25" lockText="1" noThreeD="1"/>
</file>

<file path=xl/ctrlProps/ctrlProp22.xml><?xml version="1.0" encoding="utf-8"?>
<formControlPr xmlns="http://schemas.microsoft.com/office/spreadsheetml/2009/9/main" objectType="CheckBox" fmlaLink="_Seletor_Componentes!$D$26" lockText="1" noThreeD="1"/>
</file>

<file path=xl/ctrlProps/ctrlProp23.xml><?xml version="1.0" encoding="utf-8"?>
<formControlPr xmlns="http://schemas.microsoft.com/office/spreadsheetml/2009/9/main" objectType="CheckBox" fmlaLink="_Seletor_Componentes!$D$27" lockText="1" noThreeD="1"/>
</file>

<file path=xl/ctrlProps/ctrlProp24.xml><?xml version="1.0" encoding="utf-8"?>
<formControlPr xmlns="http://schemas.microsoft.com/office/spreadsheetml/2009/9/main" objectType="CheckBox" fmlaLink="_Seletor_Componentes!$D$28" lockText="1" noThreeD="1"/>
</file>

<file path=xl/ctrlProps/ctrlProp25.xml><?xml version="1.0" encoding="utf-8"?>
<formControlPr xmlns="http://schemas.microsoft.com/office/spreadsheetml/2009/9/main" objectType="CheckBox" fmlaLink="_Seletor_Componentes!$D$29" lockText="1" noThreeD="1"/>
</file>

<file path=xl/ctrlProps/ctrlProp26.xml><?xml version="1.0" encoding="utf-8"?>
<formControlPr xmlns="http://schemas.microsoft.com/office/spreadsheetml/2009/9/main" objectType="CheckBox" fmlaLink="_Seletor_Componentes!$D$30" lockText="1" noThreeD="1"/>
</file>

<file path=xl/ctrlProps/ctrlProp27.xml><?xml version="1.0" encoding="utf-8"?>
<formControlPr xmlns="http://schemas.microsoft.com/office/spreadsheetml/2009/9/main" objectType="CheckBox" fmlaLink="_Seletor_Componentes!$D$31" lockText="1" noThreeD="1"/>
</file>

<file path=xl/ctrlProps/ctrlProp28.xml><?xml version="1.0" encoding="utf-8"?>
<formControlPr xmlns="http://schemas.microsoft.com/office/spreadsheetml/2009/9/main" objectType="CheckBox" fmlaLink="_Seletor_Componentes!$D$32" lockText="1" noThreeD="1"/>
</file>

<file path=xl/ctrlProps/ctrlProp29.xml><?xml version="1.0" encoding="utf-8"?>
<formControlPr xmlns="http://schemas.microsoft.com/office/spreadsheetml/2009/9/main" objectType="CheckBox" fmlaLink="_Seletor_Componentes!$D$33" lockText="1" noThreeD="1"/>
</file>

<file path=xl/ctrlProps/ctrlProp30.xml><?xml version="1.0" encoding="utf-8"?>
<formControlPr xmlns="http://schemas.microsoft.com/office/spreadsheetml/2009/9/main" objectType="CheckBox" fmlaLink="_Seletor_Componentes!$D$34" lockText="1" noThreeD="1"/>
</file>

<file path=xl/ctrlProps/ctrlProp31.xml><?xml version="1.0" encoding="utf-8"?>
<formControlPr xmlns="http://schemas.microsoft.com/office/spreadsheetml/2009/9/main" objectType="CheckBox" fmlaLink="_Seletor_Componentes!$D$35" lockText="1" noThreeD="1"/>
</file>

<file path=xl/ctrlProps/ctrlProp32.xml><?xml version="1.0" encoding="utf-8"?>
<formControlPr xmlns="http://schemas.microsoft.com/office/spreadsheetml/2009/9/main" objectType="CheckBox" fmlaLink="_Seletor_Componentes!$D$36" lockText="1" noThreeD="1"/>
</file>

<file path=xl/ctrlProps/ctrlProp33.xml><?xml version="1.0" encoding="utf-8"?>
<formControlPr xmlns="http://schemas.microsoft.com/office/spreadsheetml/2009/9/main" objectType="CheckBox" fmlaLink="_Seletor_Componentes!$D$37" lockText="1" noThreeD="1"/>
</file>

<file path=xl/ctrlProps/ctrlProp34.xml><?xml version="1.0" encoding="utf-8"?>
<formControlPr xmlns="http://schemas.microsoft.com/office/spreadsheetml/2009/9/main" objectType="CheckBox" fmlaLink="_Seletor_Componentes!$D$38" lockText="1" noThreeD="1"/>
</file>

<file path=xl/ctrlProps/ctrlProp35.xml><?xml version="1.0" encoding="utf-8"?>
<formControlPr xmlns="http://schemas.microsoft.com/office/spreadsheetml/2009/9/main" objectType="CheckBox" fmlaLink="_Seletor_Componentes!$D$39" lockText="1" noThreeD="1"/>
</file>

<file path=xl/ctrlProps/ctrlProp36.xml><?xml version="1.0" encoding="utf-8"?>
<formControlPr xmlns="http://schemas.microsoft.com/office/spreadsheetml/2009/9/main" objectType="CheckBox" fmlaLink="_Seletor_Componentes!$D$40" lockText="1" noThreeD="1"/>
</file>

<file path=xl/ctrlProps/ctrlProp37.xml><?xml version="1.0" encoding="utf-8"?>
<formControlPr xmlns="http://schemas.microsoft.com/office/spreadsheetml/2009/9/main" objectType="CheckBox" fmlaLink="_Seletor_Componentes!$D$41" lockText="1" noThreeD="1"/>
</file>

<file path=xl/ctrlProps/ctrlProp38.xml><?xml version="1.0" encoding="utf-8"?>
<formControlPr xmlns="http://schemas.microsoft.com/office/spreadsheetml/2009/9/main" objectType="CheckBox" fmlaLink="_Seletor_Componentes!$D$42" lockText="1" noThreeD="1"/>
</file>

<file path=xl/ctrlProps/ctrlProp39.xml><?xml version="1.0" encoding="utf-8"?>
<formControlPr xmlns="http://schemas.microsoft.com/office/spreadsheetml/2009/9/main" objectType="CheckBox" fmlaLink="_Seletor_Componentes!$D$43" lockText="1" noThreeD="1"/>
</file>

<file path=xl/ctrlProps/ctrlProp40.xml><?xml version="1.0" encoding="utf-8"?>
<formControlPr xmlns="http://schemas.microsoft.com/office/spreadsheetml/2009/9/main" objectType="CheckBox" checked="Checked" fmlaLink="_Seletor_Componentes!$D$44" lockText="1" noThreeD="1"/>
</file>

<file path=xl/ctrlProps/ctrlProp41.xml><?xml version="1.0" encoding="utf-8"?>
<formControlPr xmlns="http://schemas.microsoft.com/office/spreadsheetml/2009/9/main" objectType="CheckBox" checked="Checked" fmlaLink="_Seletor_Componentes!$D$45" lockText="1" noThreeD="1"/>
</file>

<file path=xl/ctrlProps/ctrlProp42.xml><?xml version="1.0" encoding="utf-8"?>
<formControlPr xmlns="http://schemas.microsoft.com/office/spreadsheetml/2009/9/main" objectType="CheckBox" fmlaLink="_Seletor_Componentes!$D$46" lockText="1" noThreeD="1"/>
</file>

<file path=xl/ctrlProps/ctrlProp43.xml><?xml version="1.0" encoding="utf-8"?>
<formControlPr xmlns="http://schemas.microsoft.com/office/spreadsheetml/2009/9/main" objectType="CheckBox" checked="Checked" fmlaLink="_Seletor_Componentes!$D$47" lockText="1" noThreeD="1"/>
</file>

<file path=xl/ctrlProps/ctrlProp44.xml><?xml version="1.0" encoding="utf-8"?>
<formControlPr xmlns="http://schemas.microsoft.com/office/spreadsheetml/2009/9/main" objectType="CheckBox" checked="Checked" fmlaLink="_Seletor_Componentes!$D$48"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xdr:colOff>
          <xdr:row>1</xdr:row>
          <xdr:rowOff>68580</xdr:rowOff>
        </xdr:from>
        <xdr:to>
          <xdr:col>16</xdr:col>
          <xdr:colOff>129540</xdr:colOff>
          <xdr:row>1</xdr:row>
          <xdr:rowOff>274320</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Atualizar Componentes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5</xdr:row>
          <xdr:rowOff>22860</xdr:rowOff>
        </xdr:from>
        <xdr:to>
          <xdr:col>0</xdr:col>
          <xdr:colOff>297180</xdr:colOff>
          <xdr:row>5</xdr:row>
          <xdr:rowOff>236220</xdr:rowOff>
        </xdr:to>
        <xdr:sp macro="" textlink="">
          <xdr:nvSpPr>
            <xdr:cNvPr id="9217" name="chkComponente_6"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6</xdr:row>
          <xdr:rowOff>22860</xdr:rowOff>
        </xdr:from>
        <xdr:to>
          <xdr:col>0</xdr:col>
          <xdr:colOff>297180</xdr:colOff>
          <xdr:row>6</xdr:row>
          <xdr:rowOff>236220</xdr:rowOff>
        </xdr:to>
        <xdr:sp macro="" textlink="">
          <xdr:nvSpPr>
            <xdr:cNvPr id="9218" name="chkComponente_7"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xdr:row>
          <xdr:rowOff>22860</xdr:rowOff>
        </xdr:from>
        <xdr:to>
          <xdr:col>0</xdr:col>
          <xdr:colOff>297180</xdr:colOff>
          <xdr:row>7</xdr:row>
          <xdr:rowOff>236220</xdr:rowOff>
        </xdr:to>
        <xdr:sp macro="" textlink="">
          <xdr:nvSpPr>
            <xdr:cNvPr id="9219" name="chkComponente_8"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xdr:row>
          <xdr:rowOff>22860</xdr:rowOff>
        </xdr:from>
        <xdr:to>
          <xdr:col>0</xdr:col>
          <xdr:colOff>297180</xdr:colOff>
          <xdr:row>8</xdr:row>
          <xdr:rowOff>236220</xdr:rowOff>
        </xdr:to>
        <xdr:sp macro="" textlink="">
          <xdr:nvSpPr>
            <xdr:cNvPr id="9220" name="chkComponente_9" hidden="1">
              <a:extLst>
                <a:ext uri="{63B3BB69-23CF-44E3-9099-C40C66FF867C}">
                  <a14:compatExt spid="_x0000_s9220"/>
                </a:ext>
                <a:ext uri="{FF2B5EF4-FFF2-40B4-BE49-F238E27FC236}">
                  <a16:creationId xmlns:a16="http://schemas.microsoft.com/office/drawing/2014/main" id="{00000000-0008-0000-0900-000004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9</xdr:row>
          <xdr:rowOff>22860</xdr:rowOff>
        </xdr:from>
        <xdr:to>
          <xdr:col>0</xdr:col>
          <xdr:colOff>297180</xdr:colOff>
          <xdr:row>9</xdr:row>
          <xdr:rowOff>236220</xdr:rowOff>
        </xdr:to>
        <xdr:sp macro="" textlink="">
          <xdr:nvSpPr>
            <xdr:cNvPr id="9221" name="chkComponente_10" hidden="1">
              <a:extLst>
                <a:ext uri="{63B3BB69-23CF-44E3-9099-C40C66FF867C}">
                  <a14:compatExt spid="_x0000_s9221"/>
                </a:ext>
                <a:ext uri="{FF2B5EF4-FFF2-40B4-BE49-F238E27FC236}">
                  <a16:creationId xmlns:a16="http://schemas.microsoft.com/office/drawing/2014/main" id="{00000000-0008-0000-0900-000005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10</xdr:row>
          <xdr:rowOff>22860</xdr:rowOff>
        </xdr:from>
        <xdr:to>
          <xdr:col>0</xdr:col>
          <xdr:colOff>297180</xdr:colOff>
          <xdr:row>10</xdr:row>
          <xdr:rowOff>236220</xdr:rowOff>
        </xdr:to>
        <xdr:sp macro="" textlink="">
          <xdr:nvSpPr>
            <xdr:cNvPr id="9222" name="chkComponente_11" hidden="1">
              <a:extLst>
                <a:ext uri="{63B3BB69-23CF-44E3-9099-C40C66FF867C}">
                  <a14:compatExt spid="_x0000_s9222"/>
                </a:ext>
                <a:ext uri="{FF2B5EF4-FFF2-40B4-BE49-F238E27FC236}">
                  <a16:creationId xmlns:a16="http://schemas.microsoft.com/office/drawing/2014/main" id="{00000000-0008-0000-0900-000006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11</xdr:row>
          <xdr:rowOff>22860</xdr:rowOff>
        </xdr:from>
        <xdr:to>
          <xdr:col>0</xdr:col>
          <xdr:colOff>297180</xdr:colOff>
          <xdr:row>11</xdr:row>
          <xdr:rowOff>236220</xdr:rowOff>
        </xdr:to>
        <xdr:sp macro="" textlink="">
          <xdr:nvSpPr>
            <xdr:cNvPr id="9223" name="chkComponente_12" hidden="1">
              <a:extLst>
                <a:ext uri="{63B3BB69-23CF-44E3-9099-C40C66FF867C}">
                  <a14:compatExt spid="_x0000_s9223"/>
                </a:ext>
                <a:ext uri="{FF2B5EF4-FFF2-40B4-BE49-F238E27FC236}">
                  <a16:creationId xmlns:a16="http://schemas.microsoft.com/office/drawing/2014/main" id="{00000000-0008-0000-0900-000007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12</xdr:row>
          <xdr:rowOff>22860</xdr:rowOff>
        </xdr:from>
        <xdr:to>
          <xdr:col>0</xdr:col>
          <xdr:colOff>297180</xdr:colOff>
          <xdr:row>12</xdr:row>
          <xdr:rowOff>236220</xdr:rowOff>
        </xdr:to>
        <xdr:sp macro="" textlink="">
          <xdr:nvSpPr>
            <xdr:cNvPr id="9224" name="chkComponente_13" hidden="1">
              <a:extLst>
                <a:ext uri="{63B3BB69-23CF-44E3-9099-C40C66FF867C}">
                  <a14:compatExt spid="_x0000_s9224"/>
                </a:ext>
                <a:ext uri="{FF2B5EF4-FFF2-40B4-BE49-F238E27FC236}">
                  <a16:creationId xmlns:a16="http://schemas.microsoft.com/office/drawing/2014/main" id="{00000000-0008-0000-0900-000008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13</xdr:row>
          <xdr:rowOff>22860</xdr:rowOff>
        </xdr:from>
        <xdr:to>
          <xdr:col>0</xdr:col>
          <xdr:colOff>297180</xdr:colOff>
          <xdr:row>13</xdr:row>
          <xdr:rowOff>236220</xdr:rowOff>
        </xdr:to>
        <xdr:sp macro="" textlink="">
          <xdr:nvSpPr>
            <xdr:cNvPr id="9225" name="chkComponente_14" hidden="1">
              <a:extLst>
                <a:ext uri="{63B3BB69-23CF-44E3-9099-C40C66FF867C}">
                  <a14:compatExt spid="_x0000_s9225"/>
                </a:ext>
                <a:ext uri="{FF2B5EF4-FFF2-40B4-BE49-F238E27FC236}">
                  <a16:creationId xmlns:a16="http://schemas.microsoft.com/office/drawing/2014/main" id="{00000000-0008-0000-0900-000009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14</xdr:row>
          <xdr:rowOff>22860</xdr:rowOff>
        </xdr:from>
        <xdr:to>
          <xdr:col>0</xdr:col>
          <xdr:colOff>297180</xdr:colOff>
          <xdr:row>14</xdr:row>
          <xdr:rowOff>236220</xdr:rowOff>
        </xdr:to>
        <xdr:sp macro="" textlink="">
          <xdr:nvSpPr>
            <xdr:cNvPr id="9226" name="chkComponente_15" hidden="1">
              <a:extLst>
                <a:ext uri="{63B3BB69-23CF-44E3-9099-C40C66FF867C}">
                  <a14:compatExt spid="_x0000_s9226"/>
                </a:ext>
                <a:ext uri="{FF2B5EF4-FFF2-40B4-BE49-F238E27FC236}">
                  <a16:creationId xmlns:a16="http://schemas.microsoft.com/office/drawing/2014/main" id="{00000000-0008-0000-0900-00000A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15</xdr:row>
          <xdr:rowOff>22860</xdr:rowOff>
        </xdr:from>
        <xdr:to>
          <xdr:col>0</xdr:col>
          <xdr:colOff>297180</xdr:colOff>
          <xdr:row>15</xdr:row>
          <xdr:rowOff>236220</xdr:rowOff>
        </xdr:to>
        <xdr:sp macro="" textlink="">
          <xdr:nvSpPr>
            <xdr:cNvPr id="9227" name="chkComponente_16" hidden="1">
              <a:extLst>
                <a:ext uri="{63B3BB69-23CF-44E3-9099-C40C66FF867C}">
                  <a14:compatExt spid="_x0000_s9227"/>
                </a:ext>
                <a:ext uri="{FF2B5EF4-FFF2-40B4-BE49-F238E27FC236}">
                  <a16:creationId xmlns:a16="http://schemas.microsoft.com/office/drawing/2014/main" id="{00000000-0008-0000-0900-00000B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16</xdr:row>
          <xdr:rowOff>22860</xdr:rowOff>
        </xdr:from>
        <xdr:to>
          <xdr:col>0</xdr:col>
          <xdr:colOff>297180</xdr:colOff>
          <xdr:row>16</xdr:row>
          <xdr:rowOff>236220</xdr:rowOff>
        </xdr:to>
        <xdr:sp macro="" textlink="">
          <xdr:nvSpPr>
            <xdr:cNvPr id="9228" name="chkComponente_17" hidden="1">
              <a:extLst>
                <a:ext uri="{63B3BB69-23CF-44E3-9099-C40C66FF867C}">
                  <a14:compatExt spid="_x0000_s9228"/>
                </a:ext>
                <a:ext uri="{FF2B5EF4-FFF2-40B4-BE49-F238E27FC236}">
                  <a16:creationId xmlns:a16="http://schemas.microsoft.com/office/drawing/2014/main" id="{00000000-0008-0000-0900-00000C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17</xdr:row>
          <xdr:rowOff>22860</xdr:rowOff>
        </xdr:from>
        <xdr:to>
          <xdr:col>0</xdr:col>
          <xdr:colOff>297180</xdr:colOff>
          <xdr:row>17</xdr:row>
          <xdr:rowOff>236220</xdr:rowOff>
        </xdr:to>
        <xdr:sp macro="" textlink="">
          <xdr:nvSpPr>
            <xdr:cNvPr id="9229" name="chkComponente_18" hidden="1">
              <a:extLst>
                <a:ext uri="{63B3BB69-23CF-44E3-9099-C40C66FF867C}">
                  <a14:compatExt spid="_x0000_s9229"/>
                </a:ext>
                <a:ext uri="{FF2B5EF4-FFF2-40B4-BE49-F238E27FC236}">
                  <a16:creationId xmlns:a16="http://schemas.microsoft.com/office/drawing/2014/main" id="{00000000-0008-0000-0900-00000D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18</xdr:row>
          <xdr:rowOff>22860</xdr:rowOff>
        </xdr:from>
        <xdr:to>
          <xdr:col>0</xdr:col>
          <xdr:colOff>297180</xdr:colOff>
          <xdr:row>18</xdr:row>
          <xdr:rowOff>236220</xdr:rowOff>
        </xdr:to>
        <xdr:sp macro="" textlink="">
          <xdr:nvSpPr>
            <xdr:cNvPr id="9230" name="chkComponente_19" hidden="1">
              <a:extLst>
                <a:ext uri="{63B3BB69-23CF-44E3-9099-C40C66FF867C}">
                  <a14:compatExt spid="_x0000_s9230"/>
                </a:ext>
                <a:ext uri="{FF2B5EF4-FFF2-40B4-BE49-F238E27FC236}">
                  <a16:creationId xmlns:a16="http://schemas.microsoft.com/office/drawing/2014/main" id="{00000000-0008-0000-0900-00000E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19</xdr:row>
          <xdr:rowOff>22860</xdr:rowOff>
        </xdr:from>
        <xdr:to>
          <xdr:col>0</xdr:col>
          <xdr:colOff>297180</xdr:colOff>
          <xdr:row>19</xdr:row>
          <xdr:rowOff>236220</xdr:rowOff>
        </xdr:to>
        <xdr:sp macro="" textlink="">
          <xdr:nvSpPr>
            <xdr:cNvPr id="9231" name="chkComponente_20" hidden="1">
              <a:extLst>
                <a:ext uri="{63B3BB69-23CF-44E3-9099-C40C66FF867C}">
                  <a14:compatExt spid="_x0000_s9231"/>
                </a:ext>
                <a:ext uri="{FF2B5EF4-FFF2-40B4-BE49-F238E27FC236}">
                  <a16:creationId xmlns:a16="http://schemas.microsoft.com/office/drawing/2014/main" id="{00000000-0008-0000-0900-00000F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20</xdr:row>
          <xdr:rowOff>22860</xdr:rowOff>
        </xdr:from>
        <xdr:to>
          <xdr:col>0</xdr:col>
          <xdr:colOff>297180</xdr:colOff>
          <xdr:row>20</xdr:row>
          <xdr:rowOff>236220</xdr:rowOff>
        </xdr:to>
        <xdr:sp macro="" textlink="">
          <xdr:nvSpPr>
            <xdr:cNvPr id="9232" name="chkComponente_21" hidden="1">
              <a:extLst>
                <a:ext uri="{63B3BB69-23CF-44E3-9099-C40C66FF867C}">
                  <a14:compatExt spid="_x0000_s9232"/>
                </a:ext>
                <a:ext uri="{FF2B5EF4-FFF2-40B4-BE49-F238E27FC236}">
                  <a16:creationId xmlns:a16="http://schemas.microsoft.com/office/drawing/2014/main" id="{00000000-0008-0000-0900-000010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21</xdr:row>
          <xdr:rowOff>22860</xdr:rowOff>
        </xdr:from>
        <xdr:to>
          <xdr:col>0</xdr:col>
          <xdr:colOff>297180</xdr:colOff>
          <xdr:row>21</xdr:row>
          <xdr:rowOff>236220</xdr:rowOff>
        </xdr:to>
        <xdr:sp macro="" textlink="">
          <xdr:nvSpPr>
            <xdr:cNvPr id="9233" name="chkComponente_22" hidden="1">
              <a:extLst>
                <a:ext uri="{63B3BB69-23CF-44E3-9099-C40C66FF867C}">
                  <a14:compatExt spid="_x0000_s9233"/>
                </a:ext>
                <a:ext uri="{FF2B5EF4-FFF2-40B4-BE49-F238E27FC236}">
                  <a16:creationId xmlns:a16="http://schemas.microsoft.com/office/drawing/2014/main" id="{00000000-0008-0000-0900-00001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22</xdr:row>
          <xdr:rowOff>22860</xdr:rowOff>
        </xdr:from>
        <xdr:to>
          <xdr:col>0</xdr:col>
          <xdr:colOff>297180</xdr:colOff>
          <xdr:row>22</xdr:row>
          <xdr:rowOff>236220</xdr:rowOff>
        </xdr:to>
        <xdr:sp macro="" textlink="">
          <xdr:nvSpPr>
            <xdr:cNvPr id="9234" name="chkComponente_23" hidden="1">
              <a:extLst>
                <a:ext uri="{63B3BB69-23CF-44E3-9099-C40C66FF867C}">
                  <a14:compatExt spid="_x0000_s9234"/>
                </a:ext>
                <a:ext uri="{FF2B5EF4-FFF2-40B4-BE49-F238E27FC236}">
                  <a16:creationId xmlns:a16="http://schemas.microsoft.com/office/drawing/2014/main" id="{00000000-0008-0000-0900-00001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23</xdr:row>
          <xdr:rowOff>22860</xdr:rowOff>
        </xdr:from>
        <xdr:to>
          <xdr:col>0</xdr:col>
          <xdr:colOff>297180</xdr:colOff>
          <xdr:row>23</xdr:row>
          <xdr:rowOff>236220</xdr:rowOff>
        </xdr:to>
        <xdr:sp macro="" textlink="">
          <xdr:nvSpPr>
            <xdr:cNvPr id="9235" name="chkComponente_24" hidden="1">
              <a:extLst>
                <a:ext uri="{63B3BB69-23CF-44E3-9099-C40C66FF867C}">
                  <a14:compatExt spid="_x0000_s9235"/>
                </a:ext>
                <a:ext uri="{FF2B5EF4-FFF2-40B4-BE49-F238E27FC236}">
                  <a16:creationId xmlns:a16="http://schemas.microsoft.com/office/drawing/2014/main" id="{00000000-0008-0000-0900-000013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24</xdr:row>
          <xdr:rowOff>22860</xdr:rowOff>
        </xdr:from>
        <xdr:to>
          <xdr:col>0</xdr:col>
          <xdr:colOff>297180</xdr:colOff>
          <xdr:row>24</xdr:row>
          <xdr:rowOff>236220</xdr:rowOff>
        </xdr:to>
        <xdr:sp macro="" textlink="">
          <xdr:nvSpPr>
            <xdr:cNvPr id="9236" name="chkComponente_25" hidden="1">
              <a:extLst>
                <a:ext uri="{63B3BB69-23CF-44E3-9099-C40C66FF867C}">
                  <a14:compatExt spid="_x0000_s9236"/>
                </a:ext>
                <a:ext uri="{FF2B5EF4-FFF2-40B4-BE49-F238E27FC236}">
                  <a16:creationId xmlns:a16="http://schemas.microsoft.com/office/drawing/2014/main" id="{00000000-0008-0000-0900-000014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25</xdr:row>
          <xdr:rowOff>22860</xdr:rowOff>
        </xdr:from>
        <xdr:to>
          <xdr:col>0</xdr:col>
          <xdr:colOff>297180</xdr:colOff>
          <xdr:row>25</xdr:row>
          <xdr:rowOff>236220</xdr:rowOff>
        </xdr:to>
        <xdr:sp macro="" textlink="">
          <xdr:nvSpPr>
            <xdr:cNvPr id="9237" name="chkComponente_26" hidden="1">
              <a:extLst>
                <a:ext uri="{63B3BB69-23CF-44E3-9099-C40C66FF867C}">
                  <a14:compatExt spid="_x0000_s9237"/>
                </a:ext>
                <a:ext uri="{FF2B5EF4-FFF2-40B4-BE49-F238E27FC236}">
                  <a16:creationId xmlns:a16="http://schemas.microsoft.com/office/drawing/2014/main" id="{00000000-0008-0000-0900-000015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26</xdr:row>
          <xdr:rowOff>22860</xdr:rowOff>
        </xdr:from>
        <xdr:to>
          <xdr:col>0</xdr:col>
          <xdr:colOff>297180</xdr:colOff>
          <xdr:row>26</xdr:row>
          <xdr:rowOff>236220</xdr:rowOff>
        </xdr:to>
        <xdr:sp macro="" textlink="">
          <xdr:nvSpPr>
            <xdr:cNvPr id="9238" name="chkComponente_27" hidden="1">
              <a:extLst>
                <a:ext uri="{63B3BB69-23CF-44E3-9099-C40C66FF867C}">
                  <a14:compatExt spid="_x0000_s9238"/>
                </a:ext>
                <a:ext uri="{FF2B5EF4-FFF2-40B4-BE49-F238E27FC236}">
                  <a16:creationId xmlns:a16="http://schemas.microsoft.com/office/drawing/2014/main" id="{00000000-0008-0000-0900-000016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27</xdr:row>
          <xdr:rowOff>22860</xdr:rowOff>
        </xdr:from>
        <xdr:to>
          <xdr:col>0</xdr:col>
          <xdr:colOff>297180</xdr:colOff>
          <xdr:row>27</xdr:row>
          <xdr:rowOff>236220</xdr:rowOff>
        </xdr:to>
        <xdr:sp macro="" textlink="">
          <xdr:nvSpPr>
            <xdr:cNvPr id="9239" name="chkComponente_28" hidden="1">
              <a:extLst>
                <a:ext uri="{63B3BB69-23CF-44E3-9099-C40C66FF867C}">
                  <a14:compatExt spid="_x0000_s9239"/>
                </a:ext>
                <a:ext uri="{FF2B5EF4-FFF2-40B4-BE49-F238E27FC236}">
                  <a16:creationId xmlns:a16="http://schemas.microsoft.com/office/drawing/2014/main" id="{00000000-0008-0000-0900-000017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28</xdr:row>
          <xdr:rowOff>22860</xdr:rowOff>
        </xdr:from>
        <xdr:to>
          <xdr:col>0</xdr:col>
          <xdr:colOff>297180</xdr:colOff>
          <xdr:row>28</xdr:row>
          <xdr:rowOff>236220</xdr:rowOff>
        </xdr:to>
        <xdr:sp macro="" textlink="">
          <xdr:nvSpPr>
            <xdr:cNvPr id="9240" name="chkComponente_29" hidden="1">
              <a:extLst>
                <a:ext uri="{63B3BB69-23CF-44E3-9099-C40C66FF867C}">
                  <a14:compatExt spid="_x0000_s9240"/>
                </a:ext>
                <a:ext uri="{FF2B5EF4-FFF2-40B4-BE49-F238E27FC236}">
                  <a16:creationId xmlns:a16="http://schemas.microsoft.com/office/drawing/2014/main" id="{00000000-0008-0000-0900-000018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29</xdr:row>
          <xdr:rowOff>22860</xdr:rowOff>
        </xdr:from>
        <xdr:to>
          <xdr:col>0</xdr:col>
          <xdr:colOff>297180</xdr:colOff>
          <xdr:row>29</xdr:row>
          <xdr:rowOff>236220</xdr:rowOff>
        </xdr:to>
        <xdr:sp macro="" textlink="">
          <xdr:nvSpPr>
            <xdr:cNvPr id="9241" name="chkComponente_30" hidden="1">
              <a:extLst>
                <a:ext uri="{63B3BB69-23CF-44E3-9099-C40C66FF867C}">
                  <a14:compatExt spid="_x0000_s9241"/>
                </a:ext>
                <a:ext uri="{FF2B5EF4-FFF2-40B4-BE49-F238E27FC236}">
                  <a16:creationId xmlns:a16="http://schemas.microsoft.com/office/drawing/2014/main" id="{00000000-0008-0000-0900-000019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30</xdr:row>
          <xdr:rowOff>22860</xdr:rowOff>
        </xdr:from>
        <xdr:to>
          <xdr:col>0</xdr:col>
          <xdr:colOff>297180</xdr:colOff>
          <xdr:row>30</xdr:row>
          <xdr:rowOff>236220</xdr:rowOff>
        </xdr:to>
        <xdr:sp macro="" textlink="">
          <xdr:nvSpPr>
            <xdr:cNvPr id="9242" name="chkComponente_31" hidden="1">
              <a:extLst>
                <a:ext uri="{63B3BB69-23CF-44E3-9099-C40C66FF867C}">
                  <a14:compatExt spid="_x0000_s9242"/>
                </a:ext>
                <a:ext uri="{FF2B5EF4-FFF2-40B4-BE49-F238E27FC236}">
                  <a16:creationId xmlns:a16="http://schemas.microsoft.com/office/drawing/2014/main" id="{00000000-0008-0000-0900-00001A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31</xdr:row>
          <xdr:rowOff>22860</xdr:rowOff>
        </xdr:from>
        <xdr:to>
          <xdr:col>0</xdr:col>
          <xdr:colOff>297180</xdr:colOff>
          <xdr:row>31</xdr:row>
          <xdr:rowOff>236220</xdr:rowOff>
        </xdr:to>
        <xdr:sp macro="" textlink="">
          <xdr:nvSpPr>
            <xdr:cNvPr id="9243" name="chkComponente_32" hidden="1">
              <a:extLst>
                <a:ext uri="{63B3BB69-23CF-44E3-9099-C40C66FF867C}">
                  <a14:compatExt spid="_x0000_s9243"/>
                </a:ext>
                <a:ext uri="{FF2B5EF4-FFF2-40B4-BE49-F238E27FC236}">
                  <a16:creationId xmlns:a16="http://schemas.microsoft.com/office/drawing/2014/main" id="{00000000-0008-0000-0900-00001B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32</xdr:row>
          <xdr:rowOff>22860</xdr:rowOff>
        </xdr:from>
        <xdr:to>
          <xdr:col>0</xdr:col>
          <xdr:colOff>297180</xdr:colOff>
          <xdr:row>32</xdr:row>
          <xdr:rowOff>236220</xdr:rowOff>
        </xdr:to>
        <xdr:sp macro="" textlink="">
          <xdr:nvSpPr>
            <xdr:cNvPr id="9244" name="chkComponente_33" hidden="1">
              <a:extLst>
                <a:ext uri="{63B3BB69-23CF-44E3-9099-C40C66FF867C}">
                  <a14:compatExt spid="_x0000_s9244"/>
                </a:ext>
                <a:ext uri="{FF2B5EF4-FFF2-40B4-BE49-F238E27FC236}">
                  <a16:creationId xmlns:a16="http://schemas.microsoft.com/office/drawing/2014/main" id="{00000000-0008-0000-0900-00001C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33</xdr:row>
          <xdr:rowOff>22860</xdr:rowOff>
        </xdr:from>
        <xdr:to>
          <xdr:col>0</xdr:col>
          <xdr:colOff>297180</xdr:colOff>
          <xdr:row>33</xdr:row>
          <xdr:rowOff>236220</xdr:rowOff>
        </xdr:to>
        <xdr:sp macro="" textlink="">
          <xdr:nvSpPr>
            <xdr:cNvPr id="9245" name="chkComponente_34" hidden="1">
              <a:extLst>
                <a:ext uri="{63B3BB69-23CF-44E3-9099-C40C66FF867C}">
                  <a14:compatExt spid="_x0000_s9245"/>
                </a:ext>
                <a:ext uri="{FF2B5EF4-FFF2-40B4-BE49-F238E27FC236}">
                  <a16:creationId xmlns:a16="http://schemas.microsoft.com/office/drawing/2014/main" id="{00000000-0008-0000-0900-00001D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34</xdr:row>
          <xdr:rowOff>22860</xdr:rowOff>
        </xdr:from>
        <xdr:to>
          <xdr:col>0</xdr:col>
          <xdr:colOff>297180</xdr:colOff>
          <xdr:row>34</xdr:row>
          <xdr:rowOff>236220</xdr:rowOff>
        </xdr:to>
        <xdr:sp macro="" textlink="">
          <xdr:nvSpPr>
            <xdr:cNvPr id="9246" name="chkComponente_35" hidden="1">
              <a:extLst>
                <a:ext uri="{63B3BB69-23CF-44E3-9099-C40C66FF867C}">
                  <a14:compatExt spid="_x0000_s9246"/>
                </a:ext>
                <a:ext uri="{FF2B5EF4-FFF2-40B4-BE49-F238E27FC236}">
                  <a16:creationId xmlns:a16="http://schemas.microsoft.com/office/drawing/2014/main" id="{00000000-0008-0000-0900-00001E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35</xdr:row>
          <xdr:rowOff>22860</xdr:rowOff>
        </xdr:from>
        <xdr:to>
          <xdr:col>0</xdr:col>
          <xdr:colOff>297180</xdr:colOff>
          <xdr:row>35</xdr:row>
          <xdr:rowOff>236220</xdr:rowOff>
        </xdr:to>
        <xdr:sp macro="" textlink="">
          <xdr:nvSpPr>
            <xdr:cNvPr id="9247" name="chkComponente_36" hidden="1">
              <a:extLst>
                <a:ext uri="{63B3BB69-23CF-44E3-9099-C40C66FF867C}">
                  <a14:compatExt spid="_x0000_s9247"/>
                </a:ext>
                <a:ext uri="{FF2B5EF4-FFF2-40B4-BE49-F238E27FC236}">
                  <a16:creationId xmlns:a16="http://schemas.microsoft.com/office/drawing/2014/main" id="{00000000-0008-0000-0900-00001F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36</xdr:row>
          <xdr:rowOff>22860</xdr:rowOff>
        </xdr:from>
        <xdr:to>
          <xdr:col>0</xdr:col>
          <xdr:colOff>297180</xdr:colOff>
          <xdr:row>36</xdr:row>
          <xdr:rowOff>236220</xdr:rowOff>
        </xdr:to>
        <xdr:sp macro="" textlink="">
          <xdr:nvSpPr>
            <xdr:cNvPr id="9248" name="chkComponente_37" hidden="1">
              <a:extLst>
                <a:ext uri="{63B3BB69-23CF-44E3-9099-C40C66FF867C}">
                  <a14:compatExt spid="_x0000_s9248"/>
                </a:ext>
                <a:ext uri="{FF2B5EF4-FFF2-40B4-BE49-F238E27FC236}">
                  <a16:creationId xmlns:a16="http://schemas.microsoft.com/office/drawing/2014/main" id="{00000000-0008-0000-0900-000020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37</xdr:row>
          <xdr:rowOff>22860</xdr:rowOff>
        </xdr:from>
        <xdr:to>
          <xdr:col>0</xdr:col>
          <xdr:colOff>297180</xdr:colOff>
          <xdr:row>37</xdr:row>
          <xdr:rowOff>236220</xdr:rowOff>
        </xdr:to>
        <xdr:sp macro="" textlink="">
          <xdr:nvSpPr>
            <xdr:cNvPr id="9249" name="chkComponente_38" hidden="1">
              <a:extLst>
                <a:ext uri="{63B3BB69-23CF-44E3-9099-C40C66FF867C}">
                  <a14:compatExt spid="_x0000_s9249"/>
                </a:ext>
                <a:ext uri="{FF2B5EF4-FFF2-40B4-BE49-F238E27FC236}">
                  <a16:creationId xmlns:a16="http://schemas.microsoft.com/office/drawing/2014/main" id="{00000000-0008-0000-0900-00002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38</xdr:row>
          <xdr:rowOff>22860</xdr:rowOff>
        </xdr:from>
        <xdr:to>
          <xdr:col>0</xdr:col>
          <xdr:colOff>297180</xdr:colOff>
          <xdr:row>38</xdr:row>
          <xdr:rowOff>236220</xdr:rowOff>
        </xdr:to>
        <xdr:sp macro="" textlink="">
          <xdr:nvSpPr>
            <xdr:cNvPr id="9250" name="chkComponente_39" hidden="1">
              <a:extLst>
                <a:ext uri="{63B3BB69-23CF-44E3-9099-C40C66FF867C}">
                  <a14:compatExt spid="_x0000_s9250"/>
                </a:ext>
                <a:ext uri="{FF2B5EF4-FFF2-40B4-BE49-F238E27FC236}">
                  <a16:creationId xmlns:a16="http://schemas.microsoft.com/office/drawing/2014/main" id="{00000000-0008-0000-0900-00002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39</xdr:row>
          <xdr:rowOff>22860</xdr:rowOff>
        </xdr:from>
        <xdr:to>
          <xdr:col>0</xdr:col>
          <xdr:colOff>297180</xdr:colOff>
          <xdr:row>39</xdr:row>
          <xdr:rowOff>236220</xdr:rowOff>
        </xdr:to>
        <xdr:sp macro="" textlink="">
          <xdr:nvSpPr>
            <xdr:cNvPr id="9251" name="chkComponente_40" hidden="1">
              <a:extLst>
                <a:ext uri="{63B3BB69-23CF-44E3-9099-C40C66FF867C}">
                  <a14:compatExt spid="_x0000_s9251"/>
                </a:ext>
                <a:ext uri="{FF2B5EF4-FFF2-40B4-BE49-F238E27FC236}">
                  <a16:creationId xmlns:a16="http://schemas.microsoft.com/office/drawing/2014/main" id="{00000000-0008-0000-0900-000023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40</xdr:row>
          <xdr:rowOff>22860</xdr:rowOff>
        </xdr:from>
        <xdr:to>
          <xdr:col>0</xdr:col>
          <xdr:colOff>297180</xdr:colOff>
          <xdr:row>40</xdr:row>
          <xdr:rowOff>236220</xdr:rowOff>
        </xdr:to>
        <xdr:sp macro="" textlink="">
          <xdr:nvSpPr>
            <xdr:cNvPr id="9252" name="chkComponente_41" hidden="1">
              <a:extLst>
                <a:ext uri="{63B3BB69-23CF-44E3-9099-C40C66FF867C}">
                  <a14:compatExt spid="_x0000_s9252"/>
                </a:ext>
                <a:ext uri="{FF2B5EF4-FFF2-40B4-BE49-F238E27FC236}">
                  <a16:creationId xmlns:a16="http://schemas.microsoft.com/office/drawing/2014/main" id="{00000000-0008-0000-0900-000024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41</xdr:row>
          <xdr:rowOff>22860</xdr:rowOff>
        </xdr:from>
        <xdr:to>
          <xdr:col>0</xdr:col>
          <xdr:colOff>297180</xdr:colOff>
          <xdr:row>41</xdr:row>
          <xdr:rowOff>236220</xdr:rowOff>
        </xdr:to>
        <xdr:sp macro="" textlink="">
          <xdr:nvSpPr>
            <xdr:cNvPr id="9253" name="chkComponente_42" hidden="1">
              <a:extLst>
                <a:ext uri="{63B3BB69-23CF-44E3-9099-C40C66FF867C}">
                  <a14:compatExt spid="_x0000_s9253"/>
                </a:ext>
                <a:ext uri="{FF2B5EF4-FFF2-40B4-BE49-F238E27FC236}">
                  <a16:creationId xmlns:a16="http://schemas.microsoft.com/office/drawing/2014/main" id="{00000000-0008-0000-0900-000025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42</xdr:row>
          <xdr:rowOff>22860</xdr:rowOff>
        </xdr:from>
        <xdr:to>
          <xdr:col>0</xdr:col>
          <xdr:colOff>297180</xdr:colOff>
          <xdr:row>42</xdr:row>
          <xdr:rowOff>236220</xdr:rowOff>
        </xdr:to>
        <xdr:sp macro="" textlink="">
          <xdr:nvSpPr>
            <xdr:cNvPr id="9254" name="chkComponente_43" hidden="1">
              <a:extLst>
                <a:ext uri="{63B3BB69-23CF-44E3-9099-C40C66FF867C}">
                  <a14:compatExt spid="_x0000_s9254"/>
                </a:ext>
                <a:ext uri="{FF2B5EF4-FFF2-40B4-BE49-F238E27FC236}">
                  <a16:creationId xmlns:a16="http://schemas.microsoft.com/office/drawing/2014/main" id="{00000000-0008-0000-0900-000026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43</xdr:row>
          <xdr:rowOff>22860</xdr:rowOff>
        </xdr:from>
        <xdr:to>
          <xdr:col>0</xdr:col>
          <xdr:colOff>297180</xdr:colOff>
          <xdr:row>43</xdr:row>
          <xdr:rowOff>236220</xdr:rowOff>
        </xdr:to>
        <xdr:sp macro="" textlink="">
          <xdr:nvSpPr>
            <xdr:cNvPr id="9255" name="chkComponente_44" hidden="1">
              <a:extLst>
                <a:ext uri="{63B3BB69-23CF-44E3-9099-C40C66FF867C}">
                  <a14:compatExt spid="_x0000_s9255"/>
                </a:ext>
                <a:ext uri="{FF2B5EF4-FFF2-40B4-BE49-F238E27FC236}">
                  <a16:creationId xmlns:a16="http://schemas.microsoft.com/office/drawing/2014/main" id="{00000000-0008-0000-0900-000027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44</xdr:row>
          <xdr:rowOff>22860</xdr:rowOff>
        </xdr:from>
        <xdr:to>
          <xdr:col>0</xdr:col>
          <xdr:colOff>297180</xdr:colOff>
          <xdr:row>44</xdr:row>
          <xdr:rowOff>236220</xdr:rowOff>
        </xdr:to>
        <xdr:sp macro="" textlink="">
          <xdr:nvSpPr>
            <xdr:cNvPr id="9256" name="chkComponente_45" hidden="1">
              <a:extLst>
                <a:ext uri="{63B3BB69-23CF-44E3-9099-C40C66FF867C}">
                  <a14:compatExt spid="_x0000_s9256"/>
                </a:ext>
                <a:ext uri="{FF2B5EF4-FFF2-40B4-BE49-F238E27FC236}">
                  <a16:creationId xmlns:a16="http://schemas.microsoft.com/office/drawing/2014/main" id="{00000000-0008-0000-0900-000028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45</xdr:row>
          <xdr:rowOff>22860</xdr:rowOff>
        </xdr:from>
        <xdr:to>
          <xdr:col>0</xdr:col>
          <xdr:colOff>297180</xdr:colOff>
          <xdr:row>45</xdr:row>
          <xdr:rowOff>236220</xdr:rowOff>
        </xdr:to>
        <xdr:sp macro="" textlink="">
          <xdr:nvSpPr>
            <xdr:cNvPr id="9257" name="chkComponente_46" hidden="1">
              <a:extLst>
                <a:ext uri="{63B3BB69-23CF-44E3-9099-C40C66FF867C}">
                  <a14:compatExt spid="_x0000_s9257"/>
                </a:ext>
                <a:ext uri="{FF2B5EF4-FFF2-40B4-BE49-F238E27FC236}">
                  <a16:creationId xmlns:a16="http://schemas.microsoft.com/office/drawing/2014/main" id="{00000000-0008-0000-0900-000029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46</xdr:row>
          <xdr:rowOff>22860</xdr:rowOff>
        </xdr:from>
        <xdr:to>
          <xdr:col>0</xdr:col>
          <xdr:colOff>297180</xdr:colOff>
          <xdr:row>46</xdr:row>
          <xdr:rowOff>236220</xdr:rowOff>
        </xdr:to>
        <xdr:sp macro="" textlink="">
          <xdr:nvSpPr>
            <xdr:cNvPr id="9258" name="chkComponente_47" hidden="1">
              <a:extLst>
                <a:ext uri="{63B3BB69-23CF-44E3-9099-C40C66FF867C}">
                  <a14:compatExt spid="_x0000_s9258"/>
                </a:ext>
                <a:ext uri="{FF2B5EF4-FFF2-40B4-BE49-F238E27FC236}">
                  <a16:creationId xmlns:a16="http://schemas.microsoft.com/office/drawing/2014/main" id="{00000000-0008-0000-0900-00002A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47</xdr:row>
          <xdr:rowOff>22860</xdr:rowOff>
        </xdr:from>
        <xdr:to>
          <xdr:col>0</xdr:col>
          <xdr:colOff>297180</xdr:colOff>
          <xdr:row>47</xdr:row>
          <xdr:rowOff>236220</xdr:rowOff>
        </xdr:to>
        <xdr:sp macro="" textlink="">
          <xdr:nvSpPr>
            <xdr:cNvPr id="9259" name="chkComponente_48" hidden="1">
              <a:extLst>
                <a:ext uri="{63B3BB69-23CF-44E3-9099-C40C66FF867C}">
                  <a14:compatExt spid="_x0000_s9259"/>
                </a:ext>
                <a:ext uri="{FF2B5EF4-FFF2-40B4-BE49-F238E27FC236}">
                  <a16:creationId xmlns:a16="http://schemas.microsoft.com/office/drawing/2014/main" id="{00000000-0008-0000-0900-00002B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22860</xdr:rowOff>
        </xdr:from>
        <xdr:to>
          <xdr:col>1</xdr:col>
          <xdr:colOff>937260</xdr:colOff>
          <xdr:row>2</xdr:row>
          <xdr:rowOff>327660</xdr:rowOff>
        </xdr:to>
        <xdr:sp macro="" textlink="">
          <xdr:nvSpPr>
            <xdr:cNvPr id="9260" name="btnConfirmarComponentes" hidden="1">
              <a:extLst>
                <a:ext uri="{63B3BB69-23CF-44E3-9099-C40C66FF867C}">
                  <a14:compatExt spid="_x0000_s9260"/>
                </a:ext>
                <a:ext uri="{FF2B5EF4-FFF2-40B4-BE49-F238E27FC236}">
                  <a16:creationId xmlns:a16="http://schemas.microsoft.com/office/drawing/2014/main" id="{00000000-0008-0000-09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Confirmar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1021080</xdr:colOff>
          <xdr:row>2</xdr:row>
          <xdr:rowOff>22860</xdr:rowOff>
        </xdr:from>
        <xdr:to>
          <xdr:col>1</xdr:col>
          <xdr:colOff>2354580</xdr:colOff>
          <xdr:row>2</xdr:row>
          <xdr:rowOff>327660</xdr:rowOff>
        </xdr:to>
        <xdr:sp macro="" textlink="">
          <xdr:nvSpPr>
            <xdr:cNvPr id="9261" name="btnCancelarComponentes" hidden="1">
              <a:extLst>
                <a:ext uri="{63B3BB69-23CF-44E3-9099-C40C66FF867C}">
                  <a14:compatExt spid="_x0000_s9261"/>
                </a:ext>
                <a:ext uri="{FF2B5EF4-FFF2-40B4-BE49-F238E27FC236}">
                  <a16:creationId xmlns:a16="http://schemas.microsoft.com/office/drawing/2014/main" id="{00000000-0008-0000-09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Cancelar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2446020</xdr:colOff>
          <xdr:row>2</xdr:row>
          <xdr:rowOff>22860</xdr:rowOff>
        </xdr:from>
        <xdr:to>
          <xdr:col>2</xdr:col>
          <xdr:colOff>160020</xdr:colOff>
          <xdr:row>2</xdr:row>
          <xdr:rowOff>327660</xdr:rowOff>
        </xdr:to>
        <xdr:sp macro="" textlink="">
          <xdr:nvSpPr>
            <xdr:cNvPr id="9262" name="btnMarcarTodosComponentes" hidden="1">
              <a:extLst>
                <a:ext uri="{63B3BB69-23CF-44E3-9099-C40C66FF867C}">
                  <a14:compatExt spid="_x0000_s9262"/>
                </a:ext>
                <a:ext uri="{FF2B5EF4-FFF2-40B4-BE49-F238E27FC236}">
                  <a16:creationId xmlns:a16="http://schemas.microsoft.com/office/drawing/2014/main" id="{00000000-0008-0000-09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Marcar todos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251460</xdr:colOff>
          <xdr:row>2</xdr:row>
          <xdr:rowOff>22860</xdr:rowOff>
        </xdr:from>
        <xdr:to>
          <xdr:col>4</xdr:col>
          <xdr:colOff>83820</xdr:colOff>
          <xdr:row>2</xdr:row>
          <xdr:rowOff>327660</xdr:rowOff>
        </xdr:to>
        <xdr:sp macro="" textlink="">
          <xdr:nvSpPr>
            <xdr:cNvPr id="9263" name="btnLimparComponentes" hidden="1">
              <a:extLst>
                <a:ext uri="{63B3BB69-23CF-44E3-9099-C40C66FF867C}">
                  <a14:compatExt spid="_x0000_s9263"/>
                </a:ext>
                <a:ext uri="{FF2B5EF4-FFF2-40B4-BE49-F238E27FC236}">
                  <a16:creationId xmlns:a16="http://schemas.microsoft.com/office/drawing/2014/main" id="{00000000-0008-0000-09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Limpar seleção</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2925FF6-AB0C-4506-B4FD-FF840B72E30B}">
  <we:reference id="wa200009404" version="1.0.0.8" store="pt-BR" storeType="OMEX"/>
  <we:alternateReferences>
    <we:reference id="WA200009404" version="1.0.0.8" store="" storeType="OMEX"/>
  </we:alternateReferences>
  <we:properties>
    <we:property name="claude.fileId" value="&quot;161c143e-788a-426b-87fd-ea14d91c4412&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2" Type="http://schemas.openxmlformats.org/officeDocument/2006/relationships/vmlDrawing" Target="../drawings/vmlDrawing2.vml"/><Relationship Id="rId16" Type="http://schemas.openxmlformats.org/officeDocument/2006/relationships/ctrlProp" Target="../ctrlProps/ctrlProp15.xml"/><Relationship Id="rId29" Type="http://schemas.openxmlformats.org/officeDocument/2006/relationships/ctrlProp" Target="../ctrlProps/ctrlProp28.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49" Type="http://schemas.openxmlformats.org/officeDocument/2006/relationships/ctrlProp" Target="../ctrlProps/ctrlProp48.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 Id="rId48" Type="http://schemas.openxmlformats.org/officeDocument/2006/relationships/ctrlProp" Target="../ctrlProps/ctrlProp47.xml"/><Relationship Id="rId8" Type="http://schemas.openxmlformats.org/officeDocument/2006/relationships/ctrlProp" Target="../ctrlProps/ctrlProp7.xml"/><Relationship Id="rId3" Type="http://schemas.openxmlformats.org/officeDocument/2006/relationships/ctrlProp" Target="../ctrlProps/ctrlProp2.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0" Type="http://schemas.openxmlformats.org/officeDocument/2006/relationships/ctrlProp" Target="../ctrlProps/ctrlProp19.xml"/><Relationship Id="rId41" Type="http://schemas.openxmlformats.org/officeDocument/2006/relationships/ctrlProp" Target="../ctrlProps/ctrlProp40.xml"/><Relationship Id="rId1" Type="http://schemas.openxmlformats.org/officeDocument/2006/relationships/drawing" Target="../drawings/drawing2.xml"/><Relationship Id="rId6"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iagrama5">
    <pageSetUpPr fitToPage="1"/>
  </sheetPr>
  <dimension ref="A1:CL89"/>
  <sheetViews>
    <sheetView showRuler="0" showWhiteSpace="0" view="pageBreakPreview" topLeftCell="A4" zoomScale="115" zoomScaleNormal="115" zoomScaleSheetLayoutView="115" zoomScalePageLayoutView="85" workbookViewId="0">
      <selection activeCell="BA24" sqref="BA24"/>
    </sheetView>
  </sheetViews>
  <sheetFormatPr defaultColWidth="9.109375" defaultRowHeight="14.4" x14ac:dyDescent="0.3"/>
  <cols>
    <col min="1" max="1" width="1.6640625" style="1" customWidth="1"/>
    <col min="2" max="2" width="2.88671875" style="1" customWidth="1"/>
    <col min="3" max="3" width="3.5546875" style="1" customWidth="1"/>
    <col min="4" max="4" width="3" style="1" customWidth="1"/>
    <col min="5" max="5" width="3.44140625" style="1" customWidth="1"/>
    <col min="6" max="6" width="3.33203125" style="1" customWidth="1"/>
    <col min="7" max="7" width="3.5546875" style="1" customWidth="1"/>
    <col min="8" max="8" width="1.33203125" style="1" customWidth="1"/>
    <col min="9" max="9" width="2.44140625" style="1" customWidth="1"/>
    <col min="10" max="13" width="3.109375" style="1" bestFit="1" customWidth="1"/>
    <col min="14" max="14" width="3.77734375" style="1" bestFit="1" customWidth="1"/>
    <col min="15" max="15" width="1" style="1" customWidth="1"/>
    <col min="16" max="16" width="2.88671875" style="1" customWidth="1"/>
    <col min="17" max="20" width="3.109375" style="1" bestFit="1" customWidth="1"/>
    <col min="21" max="21" width="3.77734375" style="1" bestFit="1" customWidth="1"/>
    <col min="22" max="22" width="1.109375" style="1" customWidth="1"/>
    <col min="23" max="23" width="2.5546875" style="1" customWidth="1"/>
    <col min="24" max="24" width="3.109375" style="1" bestFit="1" customWidth="1"/>
    <col min="25" max="25" width="3.44140625" style="1" customWidth="1"/>
    <col min="26" max="26" width="3.5546875" style="1" customWidth="1"/>
    <col min="27" max="27" width="3.6640625" style="1" customWidth="1"/>
    <col min="28" max="28" width="3.77734375" style="1" bestFit="1" customWidth="1"/>
    <col min="29" max="29" width="1.33203125" style="1" customWidth="1"/>
    <col min="30" max="30" width="2.6640625" style="1" customWidth="1"/>
    <col min="31" max="31" width="3.77734375" style="1" customWidth="1"/>
    <col min="32" max="32" width="3.44140625" style="1" customWidth="1"/>
    <col min="33" max="34" width="3.5546875" style="1" customWidth="1"/>
    <col min="35" max="35" width="3.88671875" style="1" customWidth="1"/>
    <col min="36" max="36" width="1" style="1" customWidth="1"/>
    <col min="37" max="37" width="2.109375" style="1" customWidth="1"/>
    <col min="38" max="38" width="4.21875" style="1" customWidth="1"/>
    <col min="39" max="39" width="4.109375" style="1" customWidth="1"/>
    <col min="40" max="40" width="3.77734375" style="1" customWidth="1"/>
    <col min="41" max="41" width="2.77734375" style="1" customWidth="1"/>
    <col min="42" max="42" width="3.109375" style="1" bestFit="1" customWidth="1"/>
    <col min="43" max="43" width="0.88671875" style="1" customWidth="1"/>
    <col min="44" max="44" width="2.44140625" style="1" customWidth="1"/>
    <col min="45" max="45" width="2.88671875" style="1" customWidth="1"/>
    <col min="46" max="46" width="3.33203125" style="1" customWidth="1"/>
    <col min="47" max="47" width="2.33203125" style="1" bestFit="1" customWidth="1"/>
    <col min="48" max="48" width="2.77734375" style="1" customWidth="1"/>
    <col min="49" max="49" width="2.88671875" style="1" customWidth="1"/>
    <col min="50" max="50" width="1.33203125" style="1" customWidth="1"/>
    <col min="51" max="51" width="2.44140625" style="1" customWidth="1"/>
    <col min="52" max="53" width="4.109375" style="1" customWidth="1"/>
    <col min="54" max="54" width="3.6640625" style="1" customWidth="1"/>
    <col min="55" max="55" width="5" style="1" bestFit="1" customWidth="1"/>
    <col min="56" max="56" width="4.88671875" style="1" customWidth="1"/>
    <col min="57" max="57" width="0.88671875" style="1" customWidth="1"/>
    <col min="58" max="58" width="2.6640625" style="1" customWidth="1"/>
    <col min="59" max="60" width="4.5546875" style="1" customWidth="1"/>
    <col min="61" max="62" width="4" style="1" customWidth="1"/>
    <col min="63" max="63" width="4.88671875" style="1" customWidth="1"/>
    <col min="64" max="64" width="1" style="1" customWidth="1"/>
    <col min="65" max="65" width="2.6640625" style="1" customWidth="1"/>
    <col min="66" max="67" width="4.109375" style="1" customWidth="1"/>
    <col min="68" max="69" width="4.33203125" style="1" customWidth="1"/>
    <col min="70" max="70" width="3.6640625" style="1" customWidth="1"/>
    <col min="71" max="71" width="1.109375" style="1" customWidth="1"/>
    <col min="72" max="72" width="2" style="2" customWidth="1"/>
    <col min="73" max="73" width="5.88671875" style="1" customWidth="1"/>
    <col min="74" max="74" width="9.109375" style="1" customWidth="1"/>
    <col min="75" max="16384" width="9.109375" style="1"/>
  </cols>
  <sheetData>
    <row r="1" spans="1:78" ht="3.75" customHeight="1" thickBot="1" x14ac:dyDescent="0.35"/>
    <row r="2" spans="1:78" s="3" customFormat="1" ht="27.6" customHeight="1" thickBot="1" x14ac:dyDescent="0.25">
      <c r="B2" s="138" t="s">
        <v>373</v>
      </c>
      <c r="C2" s="139"/>
      <c r="D2" s="139"/>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40"/>
      <c r="BT2" s="4"/>
    </row>
    <row r="3" spans="1:78" s="3" customFormat="1" ht="3.75" customHeight="1" x14ac:dyDescent="0.3">
      <c r="B3" s="5"/>
      <c r="C3" s="6"/>
      <c r="D3" s="6"/>
      <c r="E3" s="6"/>
      <c r="F3" s="6"/>
      <c r="G3" s="6"/>
      <c r="H3" s="6"/>
      <c r="I3" s="6"/>
      <c r="J3" s="7"/>
      <c r="K3" s="7"/>
      <c r="L3" s="7"/>
      <c r="M3" s="7"/>
      <c r="N3" s="7"/>
      <c r="O3" s="6"/>
      <c r="P3" s="6"/>
      <c r="Q3" s="7"/>
      <c r="R3" s="7"/>
      <c r="S3" s="7"/>
      <c r="T3" s="7"/>
      <c r="U3" s="7"/>
      <c r="V3" s="6"/>
      <c r="W3" s="6"/>
      <c r="X3" s="7"/>
      <c r="Y3" s="7"/>
      <c r="Z3" s="7"/>
      <c r="AA3" s="7"/>
      <c r="AB3" s="7"/>
      <c r="AC3" s="6"/>
      <c r="AD3" s="6"/>
      <c r="AE3" s="7"/>
      <c r="AF3" s="7"/>
      <c r="AG3" s="7"/>
      <c r="AH3" s="7"/>
      <c r="AI3" s="7"/>
      <c r="AJ3" s="6"/>
      <c r="AK3" s="6"/>
      <c r="AL3" s="7"/>
      <c r="AM3" s="7"/>
      <c r="AN3" s="7"/>
      <c r="AO3" s="7"/>
      <c r="AP3" s="7"/>
      <c r="AQ3" s="6"/>
      <c r="AR3" s="6"/>
      <c r="AS3" s="8"/>
      <c r="AT3" s="8"/>
      <c r="AU3" s="8"/>
      <c r="AV3" s="8"/>
      <c r="AW3" s="8"/>
      <c r="AX3" s="8"/>
      <c r="AY3" s="8"/>
      <c r="AZ3" s="8"/>
      <c r="BA3" s="8"/>
      <c r="BB3" s="8"/>
      <c r="BC3" s="8"/>
      <c r="BD3" s="8"/>
      <c r="BE3" s="8"/>
      <c r="BF3" s="8"/>
      <c r="BG3" s="8"/>
      <c r="BH3" s="8"/>
      <c r="BI3" s="8"/>
      <c r="BJ3" s="8"/>
      <c r="BK3" s="8"/>
      <c r="BL3" s="8"/>
      <c r="BM3" s="8"/>
      <c r="BN3" s="8"/>
      <c r="BO3" s="8"/>
      <c r="BP3" s="8"/>
      <c r="BQ3" s="8"/>
      <c r="BR3" s="8"/>
      <c r="BS3" s="9"/>
      <c r="BT3" s="4"/>
    </row>
    <row r="4" spans="1:78" s="10" customFormat="1" x14ac:dyDescent="0.3">
      <c r="B4" s="11"/>
      <c r="C4" s="90" t="s">
        <v>54</v>
      </c>
      <c r="D4" s="91"/>
      <c r="E4" s="91"/>
      <c r="F4" s="91"/>
      <c r="G4" s="92"/>
      <c r="H4" s="12"/>
      <c r="I4" s="12"/>
      <c r="J4" s="90" t="s">
        <v>55</v>
      </c>
      <c r="K4" s="91"/>
      <c r="L4" s="91"/>
      <c r="M4" s="91"/>
      <c r="N4" s="92"/>
      <c r="O4" s="12"/>
      <c r="P4" s="12"/>
      <c r="Q4" s="90" t="s">
        <v>56</v>
      </c>
      <c r="R4" s="91"/>
      <c r="S4" s="91"/>
      <c r="T4" s="91"/>
      <c r="U4" s="92"/>
      <c r="V4" s="12"/>
      <c r="W4" s="12"/>
      <c r="X4" s="90" t="s">
        <v>57</v>
      </c>
      <c r="Y4" s="91"/>
      <c r="Z4" s="91"/>
      <c r="AA4" s="91"/>
      <c r="AB4" s="92"/>
      <c r="AC4" s="12"/>
      <c r="AD4" s="12"/>
      <c r="AE4" s="90" t="s">
        <v>58</v>
      </c>
      <c r="AF4" s="91"/>
      <c r="AG4" s="91"/>
      <c r="AH4" s="91"/>
      <c r="AI4" s="92"/>
      <c r="AJ4" s="12"/>
      <c r="AK4" s="12"/>
      <c r="AL4" s="90" t="s">
        <v>59</v>
      </c>
      <c r="AM4" s="91"/>
      <c r="AN4" s="91"/>
      <c r="AO4" s="91"/>
      <c r="AP4" s="92"/>
      <c r="AQ4" s="12"/>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13"/>
      <c r="BU4" s="14"/>
    </row>
    <row r="5" spans="1:78" s="10" customFormat="1" ht="8.4" customHeight="1" x14ac:dyDescent="0.3">
      <c r="B5" s="11"/>
      <c r="C5" s="109">
        <f>SUM(C12,C17,C22,C27,C32,C37,C42,C47,)</f>
        <v>210</v>
      </c>
      <c r="D5" s="102">
        <f>SUM(D12,D17,D22,D27,D32,D37,D42,D47,)</f>
        <v>75</v>
      </c>
      <c r="E5" s="102">
        <f>SUM(E12,E17,E22,E27,E32,E37,E42,E47)</f>
        <v>90</v>
      </c>
      <c r="F5" s="102">
        <f>SUM(F12,F17,F22,F27,F32,F37,F42,F47)</f>
        <v>0</v>
      </c>
      <c r="G5" s="82">
        <f>SUM(C5:F7)</f>
        <v>375</v>
      </c>
      <c r="H5" s="12"/>
      <c r="I5" s="12"/>
      <c r="J5" s="109">
        <f>SUM(J12,J17,J22,J27,J32,J37,J42,J47,)</f>
        <v>225</v>
      </c>
      <c r="K5" s="102">
        <f>SUM(K12,K17,K22,K27,K32,K37,K42,K47,)</f>
        <v>45</v>
      </c>
      <c r="L5" s="102">
        <f>SUM(L12,L17,L22,L27,L32,L37,L42,L47)</f>
        <v>75</v>
      </c>
      <c r="M5" s="102">
        <f>SUM(M12,M17,M22,M27,M32,M37,M42,M47)</f>
        <v>0</v>
      </c>
      <c r="N5" s="82">
        <f>SUM(J5:M7)</f>
        <v>345</v>
      </c>
      <c r="O5" s="12"/>
      <c r="P5" s="12"/>
      <c r="Q5" s="109">
        <f>SUM(Q12,Q17,Q22,Q27,Q32,Q37,Q42,Q47,)</f>
        <v>240</v>
      </c>
      <c r="R5" s="102">
        <f>SUM(R12,R17,R22,R27,R32,R37,R42,R47,)</f>
        <v>45</v>
      </c>
      <c r="S5" s="102">
        <f>SUM(S12,S17,S22,S27,S32,S37,S42,S47)</f>
        <v>60</v>
      </c>
      <c r="T5" s="102">
        <f>SUM(T12,T17,T22,T27,T32,T37,T42,T47)</f>
        <v>0</v>
      </c>
      <c r="U5" s="82">
        <f>SUM(Q5:T7)</f>
        <v>345</v>
      </c>
      <c r="V5" s="12"/>
      <c r="W5" s="12"/>
      <c r="X5" s="109">
        <f>SUM(X12,X17,X22,X27,X32,X37,X42,X47,)</f>
        <v>165</v>
      </c>
      <c r="Y5" s="102">
        <f>SUM(Y12,Y17,Y22,Y27,Y32,Y37,Y42,Y47,)</f>
        <v>75</v>
      </c>
      <c r="Z5" s="102">
        <f>SUM(Z12,Z17,Z22,Z27,Z32,Z37,Z42,Z47)</f>
        <v>105</v>
      </c>
      <c r="AA5" s="102">
        <f>SUM(AA12,AA17,AA22,AA27,AA32,AA37,AA42,AA47)</f>
        <v>90</v>
      </c>
      <c r="AB5" s="82">
        <f>SUM(X5:AA7)</f>
        <v>435</v>
      </c>
      <c r="AC5" s="12"/>
      <c r="AD5" s="12"/>
      <c r="AE5" s="109">
        <f>SUM(AE12,AE17,AE22,AE27,AE32,AE37,AE42,AE47,)</f>
        <v>180</v>
      </c>
      <c r="AF5" s="102">
        <f>SUM(AF12,AF17,AF22,AF27,AF32,AF37,AF42,AF47,)</f>
        <v>30</v>
      </c>
      <c r="AG5" s="102">
        <f>SUM(AG12,AG17,AG22,AG27,AG32,AG37,AG42,AG47)</f>
        <v>120</v>
      </c>
      <c r="AH5" s="102">
        <f>SUM(AH12,AH17,AH22,AH27,AH32,AH37,AH42,AH47)</f>
        <v>90</v>
      </c>
      <c r="AI5" s="82">
        <f>SUM(AE5:AH7)</f>
        <v>420</v>
      </c>
      <c r="AJ5" s="12"/>
      <c r="AK5" s="12"/>
      <c r="AL5" s="109">
        <f>SUM(AL12,AL17,AL22,AL27,AL32,AL37,AL42,AL47,)</f>
        <v>120</v>
      </c>
      <c r="AM5" s="102">
        <f>SUM(AM12,AM17,AM22,AM27,AM32,AM37,AM42,AM47,)</f>
        <v>30</v>
      </c>
      <c r="AN5" s="102">
        <f>SUM(AN12,AN17,AN22,AN27,AN32,AN37,AN42,AN47)</f>
        <v>45</v>
      </c>
      <c r="AO5" s="102">
        <f>SUM(AO12,AO17,AO22,AO27,AO32,AO37,AO42,AO47)</f>
        <v>60</v>
      </c>
      <c r="AP5" s="82">
        <f>SUM(AL5:AO7)</f>
        <v>255</v>
      </c>
      <c r="AQ5" s="12"/>
      <c r="AR5" s="8"/>
      <c r="AS5" s="8"/>
      <c r="AT5" s="8"/>
      <c r="AU5" s="8"/>
      <c r="AV5" s="8"/>
      <c r="AW5" s="8"/>
      <c r="AX5" s="8"/>
      <c r="AY5" s="15"/>
      <c r="AZ5" s="8"/>
      <c r="BA5" s="8"/>
      <c r="BB5" s="8"/>
      <c r="BC5" s="8"/>
      <c r="BD5" s="8"/>
      <c r="BE5" s="8"/>
      <c r="BF5" s="8"/>
      <c r="BG5" s="8"/>
      <c r="BH5" s="8"/>
      <c r="BI5" s="8"/>
      <c r="BJ5" s="8"/>
      <c r="BK5" s="8"/>
      <c r="BL5" s="8"/>
      <c r="BM5" s="8"/>
      <c r="BN5" s="8"/>
      <c r="BO5" s="8"/>
      <c r="BP5" s="8"/>
      <c r="BQ5" s="8"/>
      <c r="BR5" s="8"/>
      <c r="BS5" s="8"/>
      <c r="BT5" s="13"/>
      <c r="BU5" s="14"/>
    </row>
    <row r="6" spans="1:78" s="10" customFormat="1" ht="7.8" customHeight="1" x14ac:dyDescent="0.3">
      <c r="B6" s="11"/>
      <c r="C6" s="110"/>
      <c r="D6" s="103"/>
      <c r="E6" s="103"/>
      <c r="F6" s="103"/>
      <c r="G6" s="82">
        <f>SUM(C5:E7)</f>
        <v>375</v>
      </c>
      <c r="H6" s="12"/>
      <c r="I6" s="12"/>
      <c r="J6" s="110"/>
      <c r="K6" s="103"/>
      <c r="L6" s="103"/>
      <c r="M6" s="103"/>
      <c r="N6" s="82">
        <f>SUM(J5:L7)</f>
        <v>345</v>
      </c>
      <c r="O6" s="12"/>
      <c r="P6" s="12"/>
      <c r="Q6" s="110"/>
      <c r="R6" s="103"/>
      <c r="S6" s="103"/>
      <c r="T6" s="103"/>
      <c r="U6" s="82">
        <f>SUM(Q5:S7)</f>
        <v>345</v>
      </c>
      <c r="V6" s="12"/>
      <c r="W6" s="12"/>
      <c r="X6" s="110"/>
      <c r="Y6" s="103"/>
      <c r="Z6" s="103"/>
      <c r="AA6" s="103"/>
      <c r="AB6" s="82">
        <f>SUM(X5:Z7)</f>
        <v>345</v>
      </c>
      <c r="AC6" s="12"/>
      <c r="AD6" s="12"/>
      <c r="AE6" s="110"/>
      <c r="AF6" s="103"/>
      <c r="AG6" s="103"/>
      <c r="AH6" s="103"/>
      <c r="AI6" s="82">
        <f>SUM(AE5:AG7)</f>
        <v>330</v>
      </c>
      <c r="AJ6" s="12"/>
      <c r="AK6" s="12"/>
      <c r="AL6" s="110"/>
      <c r="AM6" s="103"/>
      <c r="AN6" s="103"/>
      <c r="AO6" s="103"/>
      <c r="AP6" s="82">
        <f>SUM(AL5:AN7)</f>
        <v>195</v>
      </c>
      <c r="AQ6" s="12"/>
      <c r="AR6" s="8"/>
      <c r="AS6" s="8"/>
      <c r="AT6" s="8"/>
      <c r="AU6" s="8"/>
      <c r="AV6" s="8"/>
      <c r="AW6" s="8"/>
      <c r="AX6" s="8"/>
      <c r="AY6" s="15"/>
      <c r="AZ6" s="8"/>
      <c r="BA6" s="8"/>
      <c r="BB6" s="8"/>
      <c r="BC6" s="8"/>
      <c r="BD6" s="8"/>
      <c r="BE6" s="8"/>
      <c r="BF6" s="8"/>
      <c r="BG6" s="8"/>
      <c r="BH6" s="8"/>
      <c r="BI6" s="8"/>
      <c r="BJ6" s="8"/>
      <c r="BK6" s="8"/>
      <c r="BL6" s="8"/>
      <c r="BM6" s="8"/>
      <c r="BN6" s="8"/>
      <c r="BO6" s="8"/>
      <c r="BP6" s="8"/>
      <c r="BQ6" s="8"/>
      <c r="BR6" s="8"/>
      <c r="BS6" s="8"/>
      <c r="BT6" s="13"/>
      <c r="BU6" s="14"/>
    </row>
    <row r="7" spans="1:78" s="10" customFormat="1" ht="7.2" customHeight="1" x14ac:dyDescent="0.3">
      <c r="A7" s="16"/>
      <c r="B7" s="11"/>
      <c r="C7" s="103"/>
      <c r="D7" s="104"/>
      <c r="E7" s="104"/>
      <c r="F7" s="104"/>
      <c r="G7" s="82">
        <f>SUM(C5+E5)</f>
        <v>300</v>
      </c>
      <c r="H7" s="12"/>
      <c r="I7" s="12"/>
      <c r="J7" s="103"/>
      <c r="K7" s="104"/>
      <c r="L7" s="104"/>
      <c r="M7" s="104"/>
      <c r="N7" s="82">
        <f>SUM(J5+L5)</f>
        <v>300</v>
      </c>
      <c r="O7" s="12"/>
      <c r="P7" s="12"/>
      <c r="Q7" s="103"/>
      <c r="R7" s="104"/>
      <c r="S7" s="104"/>
      <c r="T7" s="104"/>
      <c r="U7" s="82">
        <f>SUM(Q5+S5)</f>
        <v>300</v>
      </c>
      <c r="V7" s="12"/>
      <c r="W7" s="12"/>
      <c r="X7" s="103"/>
      <c r="Y7" s="104"/>
      <c r="Z7" s="104"/>
      <c r="AA7" s="104"/>
      <c r="AB7" s="82">
        <f>SUM(X5+Z5)</f>
        <v>270</v>
      </c>
      <c r="AC7" s="12"/>
      <c r="AD7" s="12"/>
      <c r="AE7" s="103"/>
      <c r="AF7" s="104"/>
      <c r="AG7" s="104"/>
      <c r="AH7" s="104"/>
      <c r="AI7" s="82">
        <f>SUM(AE5+AG5)</f>
        <v>300</v>
      </c>
      <c r="AJ7" s="12"/>
      <c r="AK7" s="12"/>
      <c r="AL7" s="103"/>
      <c r="AM7" s="104"/>
      <c r="AN7" s="104"/>
      <c r="AO7" s="104"/>
      <c r="AP7" s="82">
        <f>SUM(AL5+AN5)</f>
        <v>165</v>
      </c>
      <c r="AQ7" s="12"/>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13"/>
      <c r="BU7" s="14"/>
    </row>
    <row r="8" spans="1:78" ht="10.5" customHeight="1" x14ac:dyDescent="0.3">
      <c r="B8" s="17"/>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8"/>
      <c r="AS8" s="8"/>
      <c r="AT8" s="8"/>
      <c r="AU8" s="8"/>
      <c r="AV8" s="8"/>
      <c r="AW8" s="8"/>
      <c r="AX8" s="8"/>
      <c r="AY8" s="8"/>
      <c r="AZ8" s="8"/>
      <c r="BA8" s="19"/>
      <c r="BB8" s="20" t="s">
        <v>60</v>
      </c>
      <c r="BC8" s="21">
        <f>SUM(G6,N6,U6,AB6,AI6,AP6)</f>
        <v>1935</v>
      </c>
      <c r="BD8" s="8"/>
      <c r="BE8" s="8"/>
      <c r="BF8" s="8"/>
      <c r="BG8" s="8"/>
      <c r="BH8" s="8"/>
      <c r="BI8" s="8"/>
      <c r="BJ8" s="8"/>
      <c r="BK8" s="8"/>
      <c r="BL8" s="8"/>
      <c r="BM8" s="8"/>
      <c r="BN8" s="8"/>
      <c r="BO8" s="8"/>
      <c r="BP8" s="8"/>
      <c r="BQ8" s="8"/>
      <c r="BR8" s="8"/>
      <c r="BS8" s="8"/>
      <c r="BT8" s="13"/>
    </row>
    <row r="9" spans="1:78" ht="15" customHeight="1" x14ac:dyDescent="0.3">
      <c r="B9" s="17"/>
      <c r="C9" s="136" t="s">
        <v>393</v>
      </c>
      <c r="D9" s="94"/>
      <c r="E9" s="94"/>
      <c r="F9" s="94"/>
      <c r="G9" s="95"/>
      <c r="H9" s="18"/>
      <c r="I9" s="18"/>
      <c r="J9" s="136" t="str">
        <f>TEXT(INT(LEFT(C34,2))+1,"0") &amp; " 
FAMAT31012
Cálculo Diferencial e Integral II"</f>
        <v>7 
FAMAT31012
Cálculo Diferencial e Integral II</v>
      </c>
      <c r="K9" s="94"/>
      <c r="L9" s="94"/>
      <c r="M9" s="94"/>
      <c r="N9" s="95"/>
      <c r="O9" s="18"/>
      <c r="P9" s="22"/>
      <c r="Q9" s="93" t="str">
        <f>TEXT(INT(LEFT(J34,2))+1,"0") &amp; " 
FEELT!SS1
Sinais e Sistemas I"</f>
        <v>13 
FEELT!SS1
Sinais e Sistemas I</v>
      </c>
      <c r="R9" s="94"/>
      <c r="S9" s="94"/>
      <c r="T9" s="94"/>
      <c r="U9" s="95"/>
      <c r="V9" s="18"/>
      <c r="W9" s="18"/>
      <c r="X9" s="111" t="str">
        <f>TEXT(INT(LEFT(Q34,2))+1,"0") &amp; " 
FEELT!ACE1
Atividades Curriculares de Extensão I"</f>
        <v>19 
FEELT!ACE1
Atividades Curriculares de Extensão I</v>
      </c>
      <c r="Y9" s="94"/>
      <c r="Z9" s="94"/>
      <c r="AA9" s="94"/>
      <c r="AB9" s="95"/>
      <c r="AC9" s="18"/>
      <c r="AD9" s="18"/>
      <c r="AE9" s="111" t="str">
        <f>TEXT(INT(LEFT(X34,2))+1,"0") &amp; " 
FEELT!ACE2
Atividades Curriculares de Extensão II"</f>
        <v>25 
FEELT!ACE2
Atividades Curriculares de Extensão II</v>
      </c>
      <c r="AF9" s="94"/>
      <c r="AG9" s="94"/>
      <c r="AH9" s="94"/>
      <c r="AI9" s="95"/>
      <c r="AJ9" s="18"/>
      <c r="AK9" s="8"/>
      <c r="AL9" s="111" t="str">
        <f>TEXT(INT(LEFT(AE39,2))+1,"0") &amp; " 
FEELT!ACE3
Atividades Curriculares de Extensão III"</f>
        <v>32 
FEELT!ACE3
Atividades Curriculares de Extensão III</v>
      </c>
      <c r="AM9" s="94"/>
      <c r="AN9" s="94"/>
      <c r="AO9" s="94"/>
      <c r="AP9" s="95"/>
      <c r="AQ9" s="18"/>
      <c r="AR9" s="8"/>
      <c r="AS9" s="127" t="str">
        <f>TEXT(INT(LEFT(AL39,2))+1,"0") &amp; " 
FEELT!AC
Atividades Complementares"</f>
        <v>39 
FEELT!AC
Atividades Complementares</v>
      </c>
      <c r="AT9" s="128"/>
      <c r="AU9" s="128"/>
      <c r="AV9" s="128"/>
      <c r="AW9" s="129"/>
      <c r="AX9" s="8"/>
      <c r="AY9" s="18"/>
      <c r="AZ9" s="8"/>
      <c r="BA9" s="8"/>
      <c r="BB9" s="20" t="s">
        <v>61</v>
      </c>
      <c r="BC9" s="21">
        <f>AW12</f>
        <v>80</v>
      </c>
      <c r="BD9" s="18"/>
      <c r="BE9" s="8"/>
      <c r="BF9" s="8"/>
      <c r="BG9" s="8"/>
      <c r="BH9" s="8"/>
      <c r="BI9" s="18"/>
      <c r="BJ9" s="18"/>
      <c r="BK9" s="18"/>
      <c r="BL9" s="18"/>
      <c r="BM9" s="18"/>
      <c r="BN9" s="18"/>
      <c r="BO9" s="18"/>
      <c r="BP9" s="8"/>
      <c r="BQ9" s="8"/>
      <c r="BR9" s="8"/>
      <c r="BS9" s="8"/>
      <c r="BT9" s="13"/>
      <c r="BV9" s="8"/>
      <c r="BW9" s="8"/>
      <c r="BX9" s="8"/>
      <c r="BY9" s="8"/>
      <c r="BZ9" s="8"/>
    </row>
    <row r="10" spans="1:78" x14ac:dyDescent="0.3">
      <c r="B10" s="17"/>
      <c r="C10" s="96"/>
      <c r="D10" s="97"/>
      <c r="E10" s="97"/>
      <c r="F10" s="97"/>
      <c r="G10" s="98"/>
      <c r="H10" s="18"/>
      <c r="I10" s="18"/>
      <c r="J10" s="96"/>
      <c r="K10" s="97"/>
      <c r="L10" s="97"/>
      <c r="M10" s="97"/>
      <c r="N10" s="98"/>
      <c r="O10" s="18"/>
      <c r="P10" s="22"/>
      <c r="Q10" s="96"/>
      <c r="R10" s="97"/>
      <c r="S10" s="97"/>
      <c r="T10" s="97"/>
      <c r="U10" s="98"/>
      <c r="V10" s="18"/>
      <c r="W10" s="18"/>
      <c r="X10" s="96"/>
      <c r="Y10" s="97"/>
      <c r="Z10" s="97"/>
      <c r="AA10" s="97"/>
      <c r="AB10" s="98"/>
      <c r="AC10" s="18"/>
      <c r="AD10" s="18"/>
      <c r="AE10" s="96"/>
      <c r="AF10" s="97"/>
      <c r="AG10" s="97"/>
      <c r="AH10" s="97"/>
      <c r="AI10" s="98"/>
      <c r="AJ10" s="18"/>
      <c r="AK10" s="8"/>
      <c r="AL10" s="96"/>
      <c r="AM10" s="97"/>
      <c r="AN10" s="97"/>
      <c r="AO10" s="97"/>
      <c r="AP10" s="98"/>
      <c r="AQ10" s="18"/>
      <c r="AR10" s="8"/>
      <c r="AS10" s="130"/>
      <c r="AT10" s="131"/>
      <c r="AU10" s="131"/>
      <c r="AV10" s="131"/>
      <c r="AW10" s="132"/>
      <c r="AX10" s="8"/>
      <c r="AY10" s="18"/>
      <c r="AZ10" s="8"/>
      <c r="BA10" s="8"/>
      <c r="BB10" s="20" t="s">
        <v>62</v>
      </c>
      <c r="BC10" s="21">
        <f>AP42</f>
        <v>160</v>
      </c>
      <c r="BD10" s="18"/>
      <c r="BE10" s="8"/>
      <c r="BF10" s="8"/>
      <c r="BG10" s="8"/>
      <c r="BH10" s="8"/>
      <c r="BI10" s="18"/>
      <c r="BJ10" s="18"/>
      <c r="BK10" s="18"/>
      <c r="BL10" s="18"/>
      <c r="BM10" s="18"/>
      <c r="BN10" s="18"/>
      <c r="BO10" s="18"/>
      <c r="BP10" s="8"/>
      <c r="BQ10" s="8"/>
      <c r="BR10" s="8"/>
      <c r="BS10" s="8"/>
      <c r="BT10" s="13"/>
      <c r="BV10" s="8"/>
      <c r="BW10" s="8"/>
      <c r="BX10" s="8"/>
      <c r="BY10" s="8"/>
      <c r="BZ10" s="8"/>
    </row>
    <row r="11" spans="1:78" ht="14.25" customHeight="1" x14ac:dyDescent="0.3">
      <c r="B11" s="17"/>
      <c r="C11" s="99"/>
      <c r="D11" s="100"/>
      <c r="E11" s="100"/>
      <c r="F11" s="100"/>
      <c r="G11" s="101"/>
      <c r="H11" s="18"/>
      <c r="I11" s="23" t="str">
        <f>LEFT(C9,2)</f>
        <v xml:space="preserve">1 </v>
      </c>
      <c r="J11" s="99"/>
      <c r="K11" s="100"/>
      <c r="L11" s="100"/>
      <c r="M11" s="100"/>
      <c r="N11" s="101"/>
      <c r="O11" s="18"/>
      <c r="P11" s="23" t="str">
        <f>LEFT(J9,2)</f>
        <v xml:space="preserve">7 </v>
      </c>
      <c r="Q11" s="99"/>
      <c r="R11" s="100"/>
      <c r="S11" s="100"/>
      <c r="T11" s="100"/>
      <c r="U11" s="101"/>
      <c r="V11" s="18"/>
      <c r="W11" s="18"/>
      <c r="X11" s="99"/>
      <c r="Y11" s="100"/>
      <c r="Z11" s="100"/>
      <c r="AA11" s="100"/>
      <c r="AB11" s="101"/>
      <c r="AC11" s="18"/>
      <c r="AD11" s="18"/>
      <c r="AE11" s="99"/>
      <c r="AF11" s="100"/>
      <c r="AG11" s="100"/>
      <c r="AH11" s="100"/>
      <c r="AI11" s="101"/>
      <c r="AJ11" s="18"/>
      <c r="AK11" s="8"/>
      <c r="AL11" s="99"/>
      <c r="AM11" s="100"/>
      <c r="AN11" s="100"/>
      <c r="AO11" s="100"/>
      <c r="AP11" s="101"/>
      <c r="AQ11" s="18"/>
      <c r="AR11" s="8"/>
      <c r="AS11" s="133"/>
      <c r="AT11" s="134"/>
      <c r="AU11" s="134"/>
      <c r="AV11" s="134"/>
      <c r="AW11" s="135"/>
      <c r="AX11" s="8"/>
      <c r="AY11" s="18"/>
      <c r="AZ11" s="8"/>
      <c r="BA11" s="8"/>
      <c r="BB11" s="20" t="s">
        <v>64</v>
      </c>
      <c r="BC11" s="21">
        <f>AB12+AI12+AP12</f>
        <v>240</v>
      </c>
      <c r="BD11" s="18"/>
      <c r="BE11" s="8"/>
      <c r="BF11" s="8"/>
      <c r="BG11" s="8"/>
      <c r="BH11" s="8"/>
      <c r="BI11" s="18"/>
      <c r="BJ11" s="18"/>
      <c r="BK11" s="18"/>
      <c r="BL11" s="18"/>
      <c r="BM11" s="18"/>
      <c r="BN11" s="18"/>
      <c r="BO11" s="18"/>
      <c r="BP11" s="8"/>
      <c r="BQ11" s="8"/>
      <c r="BR11" s="8"/>
      <c r="BS11" s="8"/>
      <c r="BT11" s="13"/>
      <c r="BV11" s="8"/>
      <c r="BW11" s="8" t="s">
        <v>63</v>
      </c>
      <c r="BX11" s="8"/>
      <c r="BY11" s="8"/>
      <c r="BZ11" s="8"/>
    </row>
    <row r="12" spans="1:78" ht="12" customHeight="1" x14ac:dyDescent="0.3">
      <c r="B12" s="17"/>
      <c r="C12" s="24">
        <v>90</v>
      </c>
      <c r="D12" s="24">
        <v>0</v>
      </c>
      <c r="E12" s="24">
        <v>0</v>
      </c>
      <c r="F12" s="24">
        <v>0</v>
      </c>
      <c r="G12" s="24">
        <f>SUM(C12:F12)</f>
        <v>90</v>
      </c>
      <c r="H12" s="18"/>
      <c r="I12" s="18"/>
      <c r="J12" s="24">
        <v>90</v>
      </c>
      <c r="K12" s="24">
        <v>0</v>
      </c>
      <c r="L12" s="24">
        <v>0</v>
      </c>
      <c r="M12" s="24">
        <v>0</v>
      </c>
      <c r="N12" s="24">
        <f>SUM(J12:M12)</f>
        <v>90</v>
      </c>
      <c r="O12" s="18"/>
      <c r="P12" s="22"/>
      <c r="Q12" s="25">
        <v>60</v>
      </c>
      <c r="R12" s="25">
        <v>30</v>
      </c>
      <c r="S12" s="25">
        <v>0</v>
      </c>
      <c r="T12" s="25">
        <v>0</v>
      </c>
      <c r="U12" s="25">
        <f>SUM(Q12:T12)</f>
        <v>90</v>
      </c>
      <c r="V12" s="18"/>
      <c r="W12" s="18"/>
      <c r="X12" s="26">
        <v>0</v>
      </c>
      <c r="Y12" s="26">
        <v>0</v>
      </c>
      <c r="Z12" s="26">
        <v>0</v>
      </c>
      <c r="AA12" s="26">
        <v>90</v>
      </c>
      <c r="AB12" s="26">
        <f>SUM(X12:AA12)</f>
        <v>90</v>
      </c>
      <c r="AC12" s="18"/>
      <c r="AD12" s="18"/>
      <c r="AE12" s="26">
        <v>0</v>
      </c>
      <c r="AF12" s="26">
        <v>0</v>
      </c>
      <c r="AG12" s="26">
        <v>0</v>
      </c>
      <c r="AH12" s="26">
        <v>90</v>
      </c>
      <c r="AI12" s="26">
        <f>SUM(AE12:AH12)</f>
        <v>90</v>
      </c>
      <c r="AJ12" s="18"/>
      <c r="AK12" s="8"/>
      <c r="AL12" s="26">
        <v>0</v>
      </c>
      <c r="AM12" s="26">
        <v>0</v>
      </c>
      <c r="AN12" s="26">
        <v>0</v>
      </c>
      <c r="AO12" s="26">
        <v>60</v>
      </c>
      <c r="AP12" s="26">
        <f>SUM(AL12:AO12)</f>
        <v>60</v>
      </c>
      <c r="AQ12" s="18"/>
      <c r="AR12" s="8"/>
      <c r="AS12" s="25">
        <v>0</v>
      </c>
      <c r="AT12" s="25">
        <v>0</v>
      </c>
      <c r="AU12" s="25">
        <v>0</v>
      </c>
      <c r="AV12" s="25">
        <v>0</v>
      </c>
      <c r="AW12" s="25">
        <v>80</v>
      </c>
      <c r="AX12" s="8"/>
      <c r="AY12" s="18"/>
      <c r="AZ12" s="8"/>
      <c r="BA12" s="8"/>
      <c r="BB12" s="20"/>
      <c r="BC12" s="21"/>
      <c r="BD12" s="18"/>
      <c r="BE12" s="8"/>
      <c r="BF12" s="8"/>
      <c r="BG12" s="8"/>
      <c r="BH12" s="8"/>
      <c r="BI12" s="18"/>
      <c r="BJ12" s="18"/>
      <c r="BK12" s="18"/>
      <c r="BL12" s="18"/>
      <c r="BM12" s="18"/>
      <c r="BN12" s="18"/>
      <c r="BO12" s="18"/>
      <c r="BP12" s="8"/>
      <c r="BQ12" s="8"/>
      <c r="BR12" s="8"/>
      <c r="BS12" s="8"/>
      <c r="BT12" s="13"/>
      <c r="BV12" s="8"/>
      <c r="BW12" s="8" t="s">
        <v>65</v>
      </c>
      <c r="BX12" s="8"/>
      <c r="BY12" s="8"/>
      <c r="BZ12" s="8"/>
    </row>
    <row r="13" spans="1:78" ht="5.25" customHeight="1" x14ac:dyDescent="0.3">
      <c r="B13" s="17"/>
      <c r="C13" s="18"/>
      <c r="D13" s="18"/>
      <c r="E13" s="18"/>
      <c r="F13" s="18"/>
      <c r="G13" s="18"/>
      <c r="H13" s="18"/>
      <c r="I13" s="18"/>
      <c r="J13" s="18"/>
      <c r="K13" s="18"/>
      <c r="L13" s="18"/>
      <c r="M13" s="18"/>
      <c r="N13" s="18"/>
      <c r="O13" s="18"/>
      <c r="P13" s="22"/>
      <c r="Q13" s="18"/>
      <c r="R13" s="18"/>
      <c r="S13" s="18"/>
      <c r="T13" s="18"/>
      <c r="U13" s="18"/>
      <c r="V13" s="18"/>
      <c r="W13" s="22"/>
      <c r="X13" s="18"/>
      <c r="Y13" s="18"/>
      <c r="Z13" s="18"/>
      <c r="AA13" s="18"/>
      <c r="AB13" s="18"/>
      <c r="AC13" s="18"/>
      <c r="AD13" s="18"/>
      <c r="AE13" s="27"/>
      <c r="AF13" s="27"/>
      <c r="AG13" s="27"/>
      <c r="AH13" s="27"/>
      <c r="AI13" s="27"/>
      <c r="AJ13" s="18"/>
      <c r="AK13" s="18"/>
      <c r="AL13" s="18"/>
      <c r="AM13" s="18"/>
      <c r="AN13" s="18"/>
      <c r="AO13" s="18"/>
      <c r="AP13" s="18"/>
      <c r="AQ13" s="18"/>
      <c r="AR13" s="18"/>
      <c r="AS13" s="18"/>
      <c r="AT13" s="18"/>
      <c r="AU13" s="18"/>
      <c r="AV13" s="18"/>
      <c r="AW13" s="18"/>
      <c r="AX13" s="8"/>
      <c r="AY13" s="18"/>
      <c r="AZ13" s="8"/>
      <c r="BA13" s="8"/>
      <c r="BB13" s="22"/>
      <c r="BC13" s="18"/>
      <c r="BD13" s="18"/>
      <c r="BE13" s="8"/>
      <c r="BF13" s="8"/>
      <c r="BG13" s="8"/>
      <c r="BH13" s="8"/>
      <c r="BI13" s="18"/>
      <c r="BJ13" s="18"/>
      <c r="BK13" s="18"/>
      <c r="BL13" s="18"/>
      <c r="BM13" s="18"/>
      <c r="BN13" s="18"/>
      <c r="BO13" s="18"/>
      <c r="BP13" s="8"/>
      <c r="BQ13" s="8"/>
      <c r="BR13" s="8"/>
      <c r="BS13" s="8"/>
      <c r="BT13" s="13"/>
      <c r="BV13" s="8"/>
      <c r="BW13" s="8"/>
      <c r="BX13" s="8"/>
      <c r="BY13" s="8"/>
      <c r="BZ13" s="8"/>
    </row>
    <row r="14" spans="1:78" ht="15" customHeight="1" x14ac:dyDescent="0.3">
      <c r="B14" s="28"/>
      <c r="C14" s="93" t="str">
        <f>TEXT(INT(LEFT(C9,2))+1,"0") &amp; " 
FEELT!CDM
Ciência de dados aplicada a Metrologia"</f>
        <v>2 
FEELT!CDM
Ciência de dados aplicada a Metrologia</v>
      </c>
      <c r="D14" s="94"/>
      <c r="E14" s="94"/>
      <c r="F14" s="94"/>
      <c r="G14" s="95"/>
      <c r="H14" s="18"/>
      <c r="I14" s="22"/>
      <c r="J14" s="105" t="str">
        <f>TEXT(INT(LEFT(J9,2))+1,"0") &amp; " 
FEELT!CEE1
Circuitos Eletro-Eletrônicos I"</f>
        <v>8 
FEELT!CEE1
Circuitos Eletro-Eletrônicos I</v>
      </c>
      <c r="K14" s="94"/>
      <c r="L14" s="94"/>
      <c r="M14" s="94"/>
      <c r="N14" s="95"/>
      <c r="O14" s="18"/>
      <c r="Q14" s="105" t="str">
        <f>TEXT(INT(LEFT(Q9,2))+1,"0") &amp; "
FEELT!CEE2
Circuitos Eletro-Eletrônicos II"</f>
        <v>14
FEELT!CEE2
Circuitos Eletro-Eletrônicos II</v>
      </c>
      <c r="R14" s="94"/>
      <c r="S14" s="94"/>
      <c r="T14" s="94"/>
      <c r="U14" s="95"/>
      <c r="V14" s="18"/>
      <c r="W14" s="35"/>
      <c r="X14" s="118" t="str">
        <f>TEXT(INT(LEFT(X9,2))+1,"0") &amp; " 
FEELT!IDI
Instrumentação e Dispositivos Inteligentes"</f>
        <v>20 
FEELT!IDI
Instrumentação e Dispositivos Inteligentes</v>
      </c>
      <c r="Y14" s="119"/>
      <c r="Z14" s="119"/>
      <c r="AA14" s="119"/>
      <c r="AB14" s="120"/>
      <c r="AC14" s="18"/>
      <c r="AD14" s="22"/>
      <c r="AE14" s="105" t="str">
        <f>TEXT(INT(LEFT(AE9,2))+1,"0") &amp; " 
FEELT!CVRM
Conversão de Energia e Maquinas"</f>
        <v>26 
FEELT!CVRM
Conversão de Energia e Maquinas</v>
      </c>
      <c r="AF14" s="94"/>
      <c r="AG14" s="94"/>
      <c r="AH14" s="94"/>
      <c r="AI14" s="95"/>
      <c r="AJ14" s="18"/>
      <c r="AK14" s="18"/>
      <c r="AL14" s="105" t="str">
        <f>TEXT(INT(LEFT(AL9,2))+1,"0") &amp; " 
FEELT!PAI
Proteção e Acionamentos Industriais"</f>
        <v>33 
FEELT!PAI
Proteção e Acionamentos Industriais</v>
      </c>
      <c r="AM14" s="94"/>
      <c r="AN14" s="94"/>
      <c r="AO14" s="94"/>
      <c r="AP14" s="95"/>
      <c r="AQ14" s="18"/>
      <c r="AR14" s="18"/>
      <c r="AS14" s="18"/>
      <c r="AT14" s="18"/>
      <c r="AU14" s="18"/>
      <c r="AV14" s="18"/>
      <c r="AW14" s="18"/>
      <c r="AX14" s="8"/>
      <c r="AY14" s="18"/>
      <c r="AZ14" s="8"/>
      <c r="BA14" s="8"/>
      <c r="BB14" s="20" t="s">
        <v>66</v>
      </c>
      <c r="BC14" s="21">
        <f>SUM(BC8:BC12)</f>
        <v>2415</v>
      </c>
      <c r="BD14" s="18"/>
      <c r="BE14" s="8"/>
      <c r="BF14" s="8"/>
      <c r="BG14" s="18"/>
      <c r="BH14" s="18"/>
      <c r="BI14" s="18"/>
      <c r="BJ14" s="18"/>
      <c r="BK14" s="18"/>
      <c r="BL14" s="18"/>
      <c r="BM14" s="18"/>
      <c r="BN14" s="18"/>
      <c r="BO14" s="18"/>
      <c r="BP14" s="8"/>
      <c r="BQ14" s="8"/>
      <c r="BR14" s="8"/>
      <c r="BS14" s="8"/>
      <c r="BT14" s="13"/>
      <c r="BV14" s="18"/>
      <c r="BW14" s="18" t="s">
        <v>67</v>
      </c>
      <c r="BX14" s="8"/>
      <c r="BY14" s="8"/>
      <c r="BZ14" s="8"/>
    </row>
    <row r="15" spans="1:78" ht="16.5" customHeight="1" thickBot="1" x14ac:dyDescent="0.35">
      <c r="B15" s="28"/>
      <c r="C15" s="96"/>
      <c r="D15" s="97"/>
      <c r="E15" s="97"/>
      <c r="F15" s="97"/>
      <c r="G15" s="98"/>
      <c r="H15" s="18"/>
      <c r="I15" s="29" t="str">
        <f>LEFT(J19,2)</f>
        <v xml:space="preserve">9 </v>
      </c>
      <c r="J15" s="96"/>
      <c r="K15" s="97"/>
      <c r="L15" s="97"/>
      <c r="M15" s="97"/>
      <c r="N15" s="98"/>
      <c r="O15" s="18"/>
      <c r="P15" s="29" t="str">
        <f>LEFT(Q19,2)</f>
        <v>15</v>
      </c>
      <c r="Q15" s="96"/>
      <c r="R15" s="97"/>
      <c r="S15" s="97"/>
      <c r="T15" s="97"/>
      <c r="U15" s="98"/>
      <c r="V15" s="18"/>
      <c r="W15" s="36" t="str">
        <f>LEFT(Q29,2)</f>
        <v>17</v>
      </c>
      <c r="X15" s="121"/>
      <c r="Y15" s="122"/>
      <c r="Z15" s="122"/>
      <c r="AA15" s="122"/>
      <c r="AB15" s="123"/>
      <c r="AC15" s="18"/>
      <c r="AD15" s="23" t="str">
        <f>LEFT(J14,2)</f>
        <v xml:space="preserve">8 </v>
      </c>
      <c r="AE15" s="96"/>
      <c r="AF15" s="97"/>
      <c r="AG15" s="97"/>
      <c r="AH15" s="97"/>
      <c r="AI15" s="98"/>
      <c r="AJ15" s="18"/>
      <c r="AK15" s="18"/>
      <c r="AL15" s="96"/>
      <c r="AM15" s="97"/>
      <c r="AN15" s="97"/>
      <c r="AO15" s="97"/>
      <c r="AP15" s="98"/>
      <c r="AQ15" s="18"/>
      <c r="AR15" s="18"/>
      <c r="AS15" s="18"/>
      <c r="AT15" s="18"/>
      <c r="AU15" s="18"/>
      <c r="AV15" s="18"/>
      <c r="AW15" s="18"/>
      <c r="AX15" s="8"/>
      <c r="AY15" s="18"/>
      <c r="AZ15" s="18"/>
      <c r="BA15" s="18"/>
      <c r="BB15" s="18"/>
      <c r="BC15" s="18"/>
      <c r="BD15" s="18"/>
      <c r="BE15" s="8"/>
      <c r="BF15" s="8"/>
      <c r="BG15" s="18"/>
      <c r="BH15" s="18"/>
      <c r="BI15" s="18"/>
      <c r="BJ15" s="18"/>
      <c r="BK15" s="18"/>
      <c r="BL15" s="18"/>
      <c r="BM15" s="18"/>
      <c r="BN15" s="18"/>
      <c r="BO15" s="18"/>
      <c r="BP15" s="8"/>
      <c r="BQ15" s="8"/>
      <c r="BR15" s="8"/>
      <c r="BS15" s="8"/>
      <c r="BT15" s="13"/>
      <c r="BU15" s="21"/>
      <c r="BV15" s="18"/>
      <c r="BW15" s="18" t="s">
        <v>68</v>
      </c>
      <c r="BX15" s="8"/>
      <c r="BY15" s="8"/>
      <c r="BZ15" s="8"/>
    </row>
    <row r="16" spans="1:78" ht="14.25" customHeight="1" thickTop="1" x14ac:dyDescent="0.3">
      <c r="B16" s="28"/>
      <c r="C16" s="99"/>
      <c r="D16" s="100"/>
      <c r="E16" s="100"/>
      <c r="F16" s="100"/>
      <c r="G16" s="101"/>
      <c r="H16" s="18"/>
      <c r="I16" s="30" t="str">
        <f>LEFT(C9,2)</f>
        <v xml:space="preserve">1 </v>
      </c>
      <c r="J16" s="99"/>
      <c r="K16" s="100"/>
      <c r="L16" s="100"/>
      <c r="M16" s="100"/>
      <c r="N16" s="101"/>
      <c r="O16" s="18"/>
      <c r="P16" s="23" t="str">
        <f>LEFT(J14,2)</f>
        <v xml:space="preserve">8 </v>
      </c>
      <c r="Q16" s="99"/>
      <c r="R16" s="100"/>
      <c r="S16" s="100"/>
      <c r="T16" s="100"/>
      <c r="U16" s="101"/>
      <c r="V16" s="18"/>
      <c r="W16" s="38" t="str">
        <f>LEFT(J29,2)</f>
        <v>11</v>
      </c>
      <c r="X16" s="124"/>
      <c r="Y16" s="125"/>
      <c r="Z16" s="125"/>
      <c r="AA16" s="125"/>
      <c r="AB16" s="126"/>
      <c r="AC16" s="18"/>
      <c r="AD16" s="23" t="str">
        <f>LEFT(Q14,2)</f>
        <v>14</v>
      </c>
      <c r="AE16" s="99"/>
      <c r="AF16" s="100"/>
      <c r="AG16" s="100"/>
      <c r="AH16" s="100"/>
      <c r="AI16" s="101"/>
      <c r="AJ16" s="18"/>
      <c r="AK16" s="18"/>
      <c r="AL16" s="99"/>
      <c r="AM16" s="100"/>
      <c r="AN16" s="100"/>
      <c r="AO16" s="100"/>
      <c r="AP16" s="101"/>
      <c r="AQ16" s="18"/>
      <c r="AR16" s="18"/>
      <c r="AS16" s="18"/>
      <c r="AT16" s="18"/>
      <c r="AU16" s="18"/>
      <c r="AV16" s="18"/>
      <c r="AW16" s="18"/>
      <c r="AX16" s="8"/>
      <c r="AY16" s="18"/>
      <c r="AZ16" s="18"/>
      <c r="BA16" s="18"/>
      <c r="BB16" s="18"/>
      <c r="BC16" s="18"/>
      <c r="BD16" s="18"/>
      <c r="BE16" s="8"/>
      <c r="BF16" s="8"/>
      <c r="BG16" s="18"/>
      <c r="BH16" s="18"/>
      <c r="BI16" s="18"/>
      <c r="BJ16" s="18"/>
      <c r="BK16" s="18"/>
      <c r="BL16" s="18"/>
      <c r="BM16" s="18"/>
      <c r="BN16" s="18"/>
      <c r="BO16" s="18"/>
      <c r="BP16" s="18"/>
      <c r="BQ16" s="18"/>
      <c r="BR16" s="8"/>
      <c r="BS16" s="8"/>
      <c r="BT16" s="13"/>
      <c r="BV16" s="18"/>
      <c r="BW16" s="18" t="s">
        <v>69</v>
      </c>
      <c r="BX16" s="8"/>
      <c r="BY16" s="8"/>
      <c r="BZ16" s="18"/>
    </row>
    <row r="17" spans="1:90" ht="12" customHeight="1" x14ac:dyDescent="0.3">
      <c r="B17" s="28"/>
      <c r="C17" s="25">
        <v>0</v>
      </c>
      <c r="D17" s="25">
        <v>30</v>
      </c>
      <c r="E17" s="25">
        <v>30</v>
      </c>
      <c r="F17" s="25">
        <v>0</v>
      </c>
      <c r="G17" s="25">
        <f>SUM(C17:F17)</f>
        <v>60</v>
      </c>
      <c r="H17" s="18"/>
      <c r="I17" s="22"/>
      <c r="J17" s="31">
        <v>60</v>
      </c>
      <c r="K17" s="31">
        <v>15</v>
      </c>
      <c r="L17" s="31">
        <v>0</v>
      </c>
      <c r="M17" s="31">
        <v>0</v>
      </c>
      <c r="N17" s="31">
        <f>SUM(J17:M17)</f>
        <v>75</v>
      </c>
      <c r="O17" s="18"/>
      <c r="P17" s="22"/>
      <c r="Q17" s="31">
        <v>60</v>
      </c>
      <c r="R17" s="31">
        <v>15</v>
      </c>
      <c r="S17" s="31">
        <v>0</v>
      </c>
      <c r="T17" s="31">
        <v>0</v>
      </c>
      <c r="U17" s="31">
        <f>SUM(Q17:T17)</f>
        <v>75</v>
      </c>
      <c r="V17" s="18"/>
      <c r="W17" s="35"/>
      <c r="X17" s="40">
        <v>0</v>
      </c>
      <c r="Y17" s="40">
        <v>30</v>
      </c>
      <c r="Z17" s="40">
        <v>30</v>
      </c>
      <c r="AA17" s="40">
        <v>0</v>
      </c>
      <c r="AB17" s="25">
        <f>SUM(X17:AA17)</f>
        <v>60</v>
      </c>
      <c r="AC17" s="18"/>
      <c r="AD17" s="22"/>
      <c r="AE17" s="31">
        <v>60</v>
      </c>
      <c r="AF17" s="31">
        <v>0</v>
      </c>
      <c r="AG17" s="31">
        <v>15</v>
      </c>
      <c r="AH17" s="31">
        <v>0</v>
      </c>
      <c r="AI17" s="31">
        <f>SUM(AE17:AH17)</f>
        <v>75</v>
      </c>
      <c r="AJ17" s="18"/>
      <c r="AK17" s="18"/>
      <c r="AL17" s="31">
        <v>60</v>
      </c>
      <c r="AM17" s="31">
        <v>0</v>
      </c>
      <c r="AN17" s="31">
        <v>15</v>
      </c>
      <c r="AO17" s="31">
        <v>0</v>
      </c>
      <c r="AP17" s="31">
        <f>SUM(AL17:AO17)</f>
        <v>75</v>
      </c>
      <c r="AQ17" s="18"/>
      <c r="AR17" s="18"/>
      <c r="AS17" s="18"/>
      <c r="AT17" s="18"/>
      <c r="AU17" s="18"/>
      <c r="AV17" s="18"/>
      <c r="AW17" s="18"/>
      <c r="AX17" s="8"/>
      <c r="AY17" s="18"/>
      <c r="AZ17" s="18"/>
      <c r="BA17" s="18"/>
      <c r="BB17" s="18"/>
      <c r="BC17" s="18"/>
      <c r="BD17" s="18"/>
      <c r="BE17" s="8"/>
      <c r="BF17" s="8"/>
      <c r="BG17" s="18"/>
      <c r="BH17" s="18"/>
      <c r="BI17" s="18"/>
      <c r="BJ17" s="18"/>
      <c r="BK17" s="18"/>
      <c r="BL17" s="18"/>
      <c r="BM17" s="18"/>
      <c r="BN17" s="18"/>
      <c r="BO17" s="18"/>
      <c r="BP17" s="18"/>
      <c r="BQ17" s="18"/>
      <c r="BR17" s="18"/>
      <c r="BS17" s="19"/>
      <c r="BV17" s="18"/>
      <c r="BW17" s="18"/>
      <c r="BX17" s="8"/>
      <c r="BY17" s="8"/>
      <c r="BZ17" s="18"/>
    </row>
    <row r="18" spans="1:90" ht="5.25" customHeight="1" x14ac:dyDescent="0.3">
      <c r="B18" s="17"/>
      <c r="C18" s="18"/>
      <c r="D18" s="18"/>
      <c r="E18" s="18"/>
      <c r="F18" s="18"/>
      <c r="G18" s="18"/>
      <c r="H18" s="18"/>
      <c r="I18" s="18"/>
      <c r="J18" s="18"/>
      <c r="K18" s="18"/>
      <c r="L18" s="18"/>
      <c r="M18" s="18"/>
      <c r="N18" s="18"/>
      <c r="O18" s="18"/>
      <c r="P18" s="22"/>
      <c r="Q18" s="18"/>
      <c r="R18" s="18"/>
      <c r="S18" s="18"/>
      <c r="T18" s="18"/>
      <c r="U18" s="18"/>
      <c r="V18" s="18"/>
      <c r="W18" s="22"/>
      <c r="X18" s="18"/>
      <c r="Y18" s="18"/>
      <c r="Z18" s="18"/>
      <c r="AA18" s="18"/>
      <c r="AB18" s="18"/>
      <c r="AC18" s="18"/>
      <c r="AD18" s="18"/>
      <c r="AE18" s="18"/>
      <c r="AF18" s="18"/>
      <c r="AG18" s="18"/>
      <c r="AH18" s="18"/>
      <c r="AI18" s="18"/>
      <c r="AJ18" s="18"/>
      <c r="AK18" s="22"/>
      <c r="AL18" s="18"/>
      <c r="AM18" s="18"/>
      <c r="AN18" s="18"/>
      <c r="AO18" s="18"/>
      <c r="AP18" s="18"/>
      <c r="AQ18" s="18"/>
      <c r="AR18" s="8"/>
      <c r="AS18" s="8"/>
      <c r="AT18" s="8"/>
      <c r="AU18" s="8"/>
      <c r="AV18" s="8"/>
      <c r="AW18" s="8"/>
      <c r="AX18" s="18"/>
      <c r="AY18" s="18"/>
      <c r="AZ18" s="18"/>
      <c r="BA18" s="18"/>
      <c r="BB18" s="8"/>
      <c r="BC18" s="8"/>
      <c r="BD18" s="8"/>
      <c r="BE18" s="8"/>
      <c r="BF18" s="8"/>
      <c r="BG18" s="18"/>
      <c r="BH18" s="18"/>
      <c r="BI18" s="18"/>
      <c r="BJ18" s="18"/>
      <c r="BK18" s="18"/>
      <c r="BL18" s="18"/>
      <c r="BM18" s="18"/>
      <c r="BN18" s="18"/>
      <c r="BO18" s="18"/>
      <c r="BP18" s="8"/>
      <c r="BQ18" s="8"/>
      <c r="BR18" s="8"/>
      <c r="BS18" s="19"/>
      <c r="BV18" s="18"/>
      <c r="BW18" s="18"/>
      <c r="BX18" s="8"/>
      <c r="BY18" s="8"/>
      <c r="BZ18" s="8"/>
    </row>
    <row r="19" spans="1:90" ht="15" customHeight="1" x14ac:dyDescent="0.3">
      <c r="A19" s="32"/>
      <c r="B19" s="17"/>
      <c r="C19" s="113" t="str">
        <f>TEXT(INT(LEFT(C14,2))+1,"0") &amp; " 
 FEMEC39101
Expressão Gráfica"</f>
        <v>3 
 FEMEC39101
Expressão Gráfica</v>
      </c>
      <c r="D19" s="94"/>
      <c r="E19" s="94"/>
      <c r="F19" s="94"/>
      <c r="G19" s="95"/>
      <c r="H19" s="18"/>
      <c r="J19" s="105" t="str">
        <f>TEXT(INT(LEFT(J14,2))+1,"0") &amp; " 
FEELT!ECEE1
Experimental  de Circuitos Eletro-Eletrônicos I"</f>
        <v>9 
FEELT!ECEE1
Experimental  de Circuitos Eletro-Eletrônicos I</v>
      </c>
      <c r="K19" s="94"/>
      <c r="L19" s="94"/>
      <c r="M19" s="94"/>
      <c r="N19" s="95"/>
      <c r="O19" s="18"/>
      <c r="Q19" s="105" t="str">
        <f>TEXT(INT(LEFT(Q14,2))+1,"0") &amp; "
FEELT!ECEE2
Experimental de Circuitos Eletro-Eletrônicos II"</f>
        <v>15
FEELT!ECEE2
Experimental de Circuitos Eletro-Eletrônicos II</v>
      </c>
      <c r="R19" s="94"/>
      <c r="S19" s="94"/>
      <c r="T19" s="94"/>
      <c r="U19" s="95"/>
      <c r="V19" s="18"/>
      <c r="W19" s="22"/>
      <c r="X19" s="127" t="str">
        <f>TEXT(INT(LEFT(X14,2))+1,"0") &amp; " 
FEELT32401
Informática Industrial II"</f>
        <v>21 
FEELT32401
Informática Industrial II</v>
      </c>
      <c r="Y19" s="128"/>
      <c r="Z19" s="128"/>
      <c r="AA19" s="128"/>
      <c r="AB19" s="129"/>
      <c r="AC19" s="18"/>
      <c r="AD19" s="22"/>
      <c r="AE19" s="93" t="str">
        <f>TEXT(INT(LEFT(AE14,2))+1,"0") &amp; " 
FEELT!ECVRM
Experimental de Sistemas de Controle Realimentado"</f>
        <v>27 
FEELT!ECVRM
Experimental de Sistemas de Controle Realimentado</v>
      </c>
      <c r="AF19" s="94"/>
      <c r="AG19" s="94"/>
      <c r="AH19" s="94"/>
      <c r="AI19" s="95"/>
      <c r="AJ19" s="18"/>
      <c r="AK19" s="8"/>
      <c r="AL19" s="105" t="str">
        <f>TEXT(INT(LEFT(AL14,2))+1,"0") &amp; " 
FEELT!PI
Projeto Interdisciplinar"</f>
        <v>34 
FEELT!PI
Projeto Interdisciplinar</v>
      </c>
      <c r="AM19" s="94"/>
      <c r="AN19" s="94"/>
      <c r="AO19" s="94"/>
      <c r="AP19" s="95"/>
      <c r="AQ19" s="18"/>
      <c r="AR19" s="18"/>
      <c r="AS19" s="18"/>
      <c r="AT19" s="18"/>
      <c r="AU19" s="18"/>
      <c r="AV19" s="18"/>
      <c r="AW19" s="18"/>
      <c r="AX19" s="8"/>
      <c r="AY19" s="8"/>
      <c r="AZ19" s="8"/>
      <c r="BA19" s="8"/>
      <c r="BB19" s="8"/>
      <c r="BC19" s="8"/>
      <c r="BD19" s="8"/>
      <c r="BE19" s="8"/>
      <c r="BF19" s="8"/>
      <c r="BG19" s="18"/>
      <c r="BH19" s="18"/>
      <c r="BI19" s="18"/>
      <c r="BJ19" s="18"/>
      <c r="BK19" s="18"/>
      <c r="BL19" s="18"/>
      <c r="BM19" s="18"/>
      <c r="BN19" s="18"/>
      <c r="BO19" s="18"/>
      <c r="BP19" s="18"/>
      <c r="BQ19" s="18"/>
      <c r="BR19" s="18"/>
      <c r="BS19" s="19"/>
      <c r="BV19" s="18"/>
      <c r="BW19" s="18"/>
      <c r="BX19" s="18"/>
      <c r="BY19" s="8"/>
      <c r="BZ19" s="18"/>
    </row>
    <row r="20" spans="1:90" ht="16.5" customHeight="1" thickBot="1" x14ac:dyDescent="0.35">
      <c r="B20" s="17"/>
      <c r="C20" s="96"/>
      <c r="D20" s="97"/>
      <c r="E20" s="97"/>
      <c r="F20" s="97"/>
      <c r="G20" s="98"/>
      <c r="H20" s="18"/>
      <c r="I20" s="29" t="str">
        <f>LEFT(J14,2)</f>
        <v xml:space="preserve">8 </v>
      </c>
      <c r="J20" s="96"/>
      <c r="K20" s="97"/>
      <c r="L20" s="97"/>
      <c r="M20" s="97"/>
      <c r="N20" s="98"/>
      <c r="O20" s="18"/>
      <c r="P20" s="29" t="str">
        <f>LEFT(Q14,2)</f>
        <v>14</v>
      </c>
      <c r="Q20" s="96"/>
      <c r="R20" s="97"/>
      <c r="S20" s="97"/>
      <c r="T20" s="97"/>
      <c r="U20" s="98"/>
      <c r="V20" s="18"/>
      <c r="W20" s="22"/>
      <c r="X20" s="130"/>
      <c r="Y20" s="131"/>
      <c r="Z20" s="131"/>
      <c r="AA20" s="131"/>
      <c r="AB20" s="132"/>
      <c r="AC20" s="18"/>
      <c r="AD20" s="29" t="str">
        <f>LEFT(AE34,2)</f>
        <v>30</v>
      </c>
      <c r="AE20" s="96"/>
      <c r="AF20" s="97"/>
      <c r="AG20" s="97"/>
      <c r="AH20" s="97"/>
      <c r="AI20" s="98"/>
      <c r="AJ20" s="18"/>
      <c r="AK20" s="8"/>
      <c r="AL20" s="96"/>
      <c r="AM20" s="97"/>
      <c r="AN20" s="97"/>
      <c r="AO20" s="97"/>
      <c r="AP20" s="98"/>
      <c r="AQ20" s="18"/>
      <c r="AR20" s="18"/>
      <c r="AS20" s="18"/>
      <c r="AT20" s="18"/>
      <c r="AU20" s="18"/>
      <c r="AV20" s="18"/>
      <c r="AW20" s="18"/>
      <c r="AX20" s="8"/>
      <c r="AY20" s="8"/>
      <c r="AZ20" s="8"/>
      <c r="BA20" s="8"/>
      <c r="BB20" s="8"/>
      <c r="BC20" s="8"/>
      <c r="BD20" s="8"/>
      <c r="BE20" s="8"/>
      <c r="BF20" s="8"/>
      <c r="BG20" s="18"/>
      <c r="BH20" s="18"/>
      <c r="BI20" s="18"/>
      <c r="BJ20" s="18"/>
      <c r="BK20" s="18"/>
      <c r="BL20" s="18"/>
      <c r="BM20" s="18"/>
      <c r="BN20" s="18"/>
      <c r="BO20" s="18"/>
      <c r="BP20" s="18"/>
      <c r="BQ20" s="18"/>
      <c r="BR20" s="18"/>
      <c r="BS20" s="19"/>
      <c r="BV20" s="18"/>
      <c r="BW20" s="18"/>
      <c r="BX20" s="18"/>
      <c r="BY20" s="8"/>
      <c r="BZ20" s="18"/>
    </row>
    <row r="21" spans="1:90" ht="24.75" customHeight="1" thickTop="1" x14ac:dyDescent="0.3">
      <c r="A21" s="32"/>
      <c r="B21" s="17"/>
      <c r="C21" s="99"/>
      <c r="D21" s="100"/>
      <c r="E21" s="100"/>
      <c r="F21" s="100"/>
      <c r="G21" s="101"/>
      <c r="H21" s="18"/>
      <c r="I21" s="23" t="str">
        <f>LEFT(C9,2)</f>
        <v xml:space="preserve">1 </v>
      </c>
      <c r="J21" s="99"/>
      <c r="K21" s="100"/>
      <c r="L21" s="100"/>
      <c r="M21" s="100"/>
      <c r="N21" s="101"/>
      <c r="O21" s="18"/>
      <c r="P21" s="23" t="str">
        <f>LEFT(J14,2)</f>
        <v xml:space="preserve">8 </v>
      </c>
      <c r="Q21" s="99"/>
      <c r="R21" s="100"/>
      <c r="S21" s="100"/>
      <c r="T21" s="100"/>
      <c r="U21" s="101"/>
      <c r="V21" s="18"/>
      <c r="W21" s="23" t="str">
        <f>LEFT(Q34,2)</f>
        <v>18</v>
      </c>
      <c r="X21" s="133"/>
      <c r="Y21" s="134"/>
      <c r="Z21" s="134"/>
      <c r="AA21" s="134"/>
      <c r="AB21" s="135"/>
      <c r="AC21" s="18"/>
      <c r="AD21" s="23" t="str">
        <f>LEFT(X29,2)</f>
        <v>23</v>
      </c>
      <c r="AE21" s="99"/>
      <c r="AF21" s="100"/>
      <c r="AG21" s="100"/>
      <c r="AH21" s="100"/>
      <c r="AI21" s="101"/>
      <c r="AJ21" s="18"/>
      <c r="AK21" s="8"/>
      <c r="AL21" s="99"/>
      <c r="AM21" s="100"/>
      <c r="AN21" s="100"/>
      <c r="AO21" s="100"/>
      <c r="AP21" s="101"/>
      <c r="AQ21" s="18"/>
      <c r="AR21" s="18"/>
      <c r="AS21" s="18"/>
      <c r="AT21" s="18"/>
      <c r="AU21" s="18"/>
      <c r="AV21" s="18"/>
      <c r="AW21" s="18"/>
      <c r="AX21" s="8"/>
      <c r="AY21" s="8"/>
      <c r="AZ21" s="8"/>
      <c r="BA21" s="8"/>
      <c r="BB21" s="8"/>
      <c r="BC21" s="8"/>
      <c r="BD21" s="15"/>
      <c r="BE21" s="8"/>
      <c r="BF21" s="8"/>
      <c r="BG21" s="18"/>
      <c r="BH21" s="18"/>
      <c r="BI21" s="18"/>
      <c r="BJ21" s="18"/>
      <c r="BK21" s="18"/>
      <c r="BL21" s="18"/>
      <c r="BM21" s="8"/>
      <c r="BN21" s="18"/>
      <c r="BO21" s="18"/>
      <c r="BP21" s="18"/>
      <c r="BQ21" s="18"/>
      <c r="BR21" s="18"/>
      <c r="BS21" s="19"/>
      <c r="BV21" s="33"/>
      <c r="BW21" s="8"/>
      <c r="BX21" s="8"/>
    </row>
    <row r="22" spans="1:90" ht="11.25" customHeight="1" x14ac:dyDescent="0.3">
      <c r="A22" s="32"/>
      <c r="B22" s="17"/>
      <c r="C22" s="34">
        <f>60</f>
        <v>60</v>
      </c>
      <c r="D22" s="34">
        <v>0</v>
      </c>
      <c r="E22" s="34">
        <v>0</v>
      </c>
      <c r="F22" s="34">
        <v>0</v>
      </c>
      <c r="G22" s="34">
        <f>SUM(C22:E22)</f>
        <v>60</v>
      </c>
      <c r="H22" s="18"/>
      <c r="J22" s="31">
        <v>0</v>
      </c>
      <c r="K22" s="31">
        <v>0</v>
      </c>
      <c r="L22" s="31">
        <v>15</v>
      </c>
      <c r="M22" s="31">
        <v>0</v>
      </c>
      <c r="N22" s="31">
        <f>SUM(J22:M22)</f>
        <v>15</v>
      </c>
      <c r="O22" s="18"/>
      <c r="P22" s="22"/>
      <c r="Q22" s="31">
        <v>0</v>
      </c>
      <c r="R22" s="31">
        <v>0</v>
      </c>
      <c r="S22" s="31">
        <v>15</v>
      </c>
      <c r="T22" s="31">
        <v>0</v>
      </c>
      <c r="U22" s="31">
        <f>SUM(Q22:T22)</f>
        <v>15</v>
      </c>
      <c r="V22" s="18"/>
      <c r="W22" s="22"/>
      <c r="X22" s="25">
        <v>30</v>
      </c>
      <c r="Y22" s="25">
        <v>0</v>
      </c>
      <c r="Z22" s="25">
        <v>30</v>
      </c>
      <c r="AA22" s="25">
        <v>0</v>
      </c>
      <c r="AB22" s="25">
        <f>SUM(X22:AA22)</f>
        <v>60</v>
      </c>
      <c r="AC22" s="18"/>
      <c r="AD22" s="22"/>
      <c r="AE22" s="25">
        <v>0</v>
      </c>
      <c r="AF22" s="25">
        <v>0</v>
      </c>
      <c r="AG22" s="25">
        <v>30</v>
      </c>
      <c r="AH22" s="25">
        <v>0</v>
      </c>
      <c r="AI22" s="25">
        <f>SUM(AE22:AH22)</f>
        <v>30</v>
      </c>
      <c r="AJ22" s="18"/>
      <c r="AK22" s="8"/>
      <c r="AL22" s="31">
        <v>30</v>
      </c>
      <c r="AM22" s="31">
        <v>0</v>
      </c>
      <c r="AN22" s="31">
        <v>0</v>
      </c>
      <c r="AO22" s="31">
        <v>0</v>
      </c>
      <c r="AP22" s="31">
        <f>SUM(AL22:AO22)</f>
        <v>30</v>
      </c>
      <c r="AQ22" s="18"/>
      <c r="AR22" s="18"/>
      <c r="AS22" s="18"/>
      <c r="AT22" s="18"/>
      <c r="AU22" s="18"/>
      <c r="AV22" s="18"/>
      <c r="AW22" s="18"/>
      <c r="AX22" s="8"/>
      <c r="AY22" s="8"/>
      <c r="AZ22" s="8"/>
      <c r="BA22" s="8"/>
      <c r="BB22" s="8"/>
      <c r="BC22" s="8"/>
      <c r="BD22" s="8"/>
      <c r="BE22" s="8"/>
      <c r="BF22" s="18"/>
      <c r="BG22" s="18"/>
      <c r="BH22" s="18"/>
      <c r="BI22" s="18"/>
      <c r="BJ22" s="18"/>
      <c r="BK22" s="18"/>
      <c r="BL22" s="18"/>
      <c r="BM22" s="8"/>
      <c r="BN22" s="18"/>
      <c r="BO22" s="18"/>
      <c r="BP22" s="18"/>
      <c r="BQ22" s="18"/>
      <c r="BR22" s="18"/>
      <c r="BS22" s="19"/>
    </row>
    <row r="23" spans="1:90" ht="5.25" customHeight="1" x14ac:dyDescent="0.3">
      <c r="B23" s="17"/>
      <c r="H23" s="18"/>
      <c r="I23" s="18"/>
      <c r="J23" s="18"/>
      <c r="K23" s="18"/>
      <c r="L23" s="18"/>
      <c r="M23" s="18"/>
      <c r="N23" s="18"/>
      <c r="O23" s="18"/>
      <c r="P23" s="22"/>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8"/>
      <c r="AR23" s="18"/>
      <c r="AS23" s="18"/>
      <c r="AT23" s="18"/>
      <c r="AU23" s="18"/>
      <c r="AV23" s="18"/>
      <c r="AW23" s="18"/>
      <c r="AX23" s="8"/>
      <c r="AY23" s="8"/>
      <c r="AZ23" s="8"/>
      <c r="BA23" s="8"/>
      <c r="BB23" s="8"/>
      <c r="BC23" s="8"/>
      <c r="BD23" s="8"/>
      <c r="BE23" s="8"/>
      <c r="BF23" s="18"/>
      <c r="BG23" s="18"/>
      <c r="BH23" s="18"/>
      <c r="BI23" s="18"/>
      <c r="BJ23" s="18"/>
      <c r="BK23" s="18"/>
      <c r="BL23" s="8"/>
      <c r="BM23" s="8"/>
      <c r="BN23" s="8"/>
      <c r="BO23" s="8"/>
      <c r="BP23" s="8"/>
      <c r="BQ23" s="8"/>
      <c r="BR23" s="8"/>
      <c r="BS23" s="19"/>
    </row>
    <row r="24" spans="1:90" ht="15" customHeight="1" x14ac:dyDescent="0.3">
      <c r="B24" s="17"/>
      <c r="C24" s="93" t="str">
        <f>TEXT(INT(LEFT(C19,2))+1,"0") &amp; " 
FEELT!IFAP
Introdução à Formação Acadêmica e Profissional "</f>
        <v xml:space="preserve">4 
FEELT!IFAP
Introdução à Formação Acadêmica e Profissional </v>
      </c>
      <c r="D24" s="94"/>
      <c r="E24" s="94"/>
      <c r="F24" s="94"/>
      <c r="G24" s="95"/>
      <c r="H24" s="18"/>
      <c r="I24" s="18"/>
      <c r="J24" s="112" t="str">
        <f>TEXT(INT(LEFT(J19,2))+1,"0") &amp; " 
INFIS39032
Experimental de Física Básica: Mecânica"</f>
        <v>10 
INFIS39032
Experimental de Física Básica: Mecânica</v>
      </c>
      <c r="K24" s="94"/>
      <c r="L24" s="94"/>
      <c r="M24" s="94"/>
      <c r="N24" s="95"/>
      <c r="O24" s="18"/>
      <c r="P24" s="8"/>
      <c r="Q24" s="105" t="str">
        <f>TEXT(INT(LEFT(Q19,2))+1,"0") &amp; " 
FEELT!MECT
Materias Elétricos e Circuitos Trifásicos"</f>
        <v>16 
FEELT!MECT
Materias Elétricos e Circuitos Trifásicos</v>
      </c>
      <c r="R24" s="94"/>
      <c r="S24" s="94"/>
      <c r="T24" s="94"/>
      <c r="U24" s="95"/>
      <c r="V24" s="18"/>
      <c r="W24" s="22"/>
      <c r="X24" s="93" t="str">
        <f>TEXT(INT(LEFT(X19,2))+1,"0") &amp; " 
FEELT!RICAI
Redes Industriais para Controle e Automação I"</f>
        <v>22 
FEELT!RICAI
Redes Industriais para Controle e Automação I</v>
      </c>
      <c r="Y24" s="94"/>
      <c r="Z24" s="94"/>
      <c r="AA24" s="94"/>
      <c r="AB24" s="95"/>
      <c r="AC24" s="18"/>
      <c r="AD24" s="22"/>
      <c r="AE24" s="93" t="str">
        <f>TEXT(INT(LEFT(AE19,2))+1,"0") &amp; " 
FEELT!MRII
Manipuladores Robóticos Industriais e Inteligentes"</f>
        <v>28 
FEELT!MRII
Manipuladores Robóticos Industriais e Inteligentes</v>
      </c>
      <c r="AF24" s="94"/>
      <c r="AG24" s="94"/>
      <c r="AH24" s="94"/>
      <c r="AI24" s="95"/>
      <c r="AJ24" s="18"/>
      <c r="AL24" s="105" t="str">
        <f>TEXT(INT(LEFT(AL19,2))+1,"0") &amp; " 
FEELT31603
Instalações Elétricas"</f>
        <v>35 
FEELT31603
Instalações Elétricas</v>
      </c>
      <c r="AM24" s="94"/>
      <c r="AN24" s="94"/>
      <c r="AO24" s="94"/>
      <c r="AP24" s="95"/>
      <c r="AQ24" s="18"/>
      <c r="AR24" s="18"/>
      <c r="AS24" s="18"/>
      <c r="AT24" s="18"/>
      <c r="AU24" s="18"/>
      <c r="AV24" s="18"/>
      <c r="AW24" s="18"/>
      <c r="AX24" s="8"/>
      <c r="AY24" s="8"/>
      <c r="AZ24" s="8"/>
      <c r="BA24" s="8"/>
      <c r="BB24" s="8"/>
      <c r="BC24" s="8"/>
      <c r="BD24" s="8"/>
      <c r="BE24" s="8"/>
      <c r="BF24" s="18"/>
      <c r="BG24" s="18"/>
      <c r="BH24" s="18"/>
      <c r="BI24" s="18"/>
      <c r="BJ24" s="18"/>
      <c r="BK24" s="18"/>
      <c r="BL24" s="8"/>
      <c r="BM24" s="8"/>
      <c r="BN24" s="8"/>
      <c r="BO24" s="8"/>
      <c r="BP24" s="8"/>
      <c r="BQ24" s="8"/>
      <c r="BR24" s="8"/>
      <c r="BS24" s="19"/>
    </row>
    <row r="25" spans="1:90" ht="15.75" customHeight="1" thickBot="1" x14ac:dyDescent="0.35">
      <c r="B25" s="17"/>
      <c r="C25" s="96"/>
      <c r="D25" s="97"/>
      <c r="E25" s="97"/>
      <c r="F25" s="97"/>
      <c r="G25" s="98"/>
      <c r="H25" s="18"/>
      <c r="I25" s="23" t="str">
        <f>LEFT(C9,2)</f>
        <v xml:space="preserve">1 </v>
      </c>
      <c r="J25" s="96"/>
      <c r="K25" s="97"/>
      <c r="L25" s="97"/>
      <c r="M25" s="97"/>
      <c r="N25" s="98"/>
      <c r="O25" s="18"/>
      <c r="P25" s="8"/>
      <c r="Q25" s="96"/>
      <c r="R25" s="97"/>
      <c r="S25" s="97"/>
      <c r="T25" s="97"/>
      <c r="U25" s="98"/>
      <c r="V25" s="18"/>
      <c r="W25" s="30" t="str">
        <f>LEFT(J34,2)</f>
        <v>12</v>
      </c>
      <c r="X25" s="96"/>
      <c r="Y25" s="97"/>
      <c r="Z25" s="97"/>
      <c r="AA25" s="97"/>
      <c r="AB25" s="98"/>
      <c r="AC25" s="18"/>
      <c r="AD25" s="30" t="str">
        <f>LEFT(Q14,2)</f>
        <v>14</v>
      </c>
      <c r="AE25" s="96"/>
      <c r="AF25" s="97"/>
      <c r="AG25" s="97"/>
      <c r="AH25" s="97"/>
      <c r="AI25" s="98"/>
      <c r="AJ25" s="18"/>
      <c r="AK25" s="29" t="str">
        <f>LEFT(AL19,2)</f>
        <v>34</v>
      </c>
      <c r="AL25" s="96"/>
      <c r="AM25" s="97"/>
      <c r="AN25" s="97"/>
      <c r="AO25" s="97"/>
      <c r="AP25" s="9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37"/>
    </row>
    <row r="26" spans="1:90" ht="25.5" customHeight="1" thickTop="1" thickBot="1" x14ac:dyDescent="0.35">
      <c r="B26" s="17"/>
      <c r="C26" s="99"/>
      <c r="D26" s="100"/>
      <c r="E26" s="100"/>
      <c r="F26" s="100"/>
      <c r="G26" s="101"/>
      <c r="H26" s="18"/>
      <c r="I26" s="29" t="str">
        <f>LEFT(J29,2)</f>
        <v>11</v>
      </c>
      <c r="J26" s="99"/>
      <c r="K26" s="100"/>
      <c r="L26" s="100"/>
      <c r="M26" s="100"/>
      <c r="N26" s="101"/>
      <c r="O26" s="18"/>
      <c r="P26" s="23" t="str">
        <f>LEFT(J9,2)</f>
        <v xml:space="preserve">7 </v>
      </c>
      <c r="Q26" s="99"/>
      <c r="R26" s="100"/>
      <c r="S26" s="100"/>
      <c r="T26" s="100"/>
      <c r="U26" s="101"/>
      <c r="V26" s="18"/>
      <c r="W26" s="30" t="str">
        <f>LEFT(Q39,2)</f>
        <v/>
      </c>
      <c r="X26" s="99"/>
      <c r="Y26" s="100"/>
      <c r="Z26" s="100"/>
      <c r="AA26" s="100"/>
      <c r="AB26" s="101"/>
      <c r="AC26" s="18"/>
      <c r="AD26" s="30" t="str">
        <f>LEFT(AE34,2)</f>
        <v>30</v>
      </c>
      <c r="AE26" s="99"/>
      <c r="AF26" s="100"/>
      <c r="AG26" s="100"/>
      <c r="AH26" s="100"/>
      <c r="AI26" s="101"/>
      <c r="AJ26" s="18"/>
      <c r="AK26" s="23" t="str">
        <f>LEFT(J19,2)</f>
        <v xml:space="preserve">9 </v>
      </c>
      <c r="AL26" s="99"/>
      <c r="AM26" s="100"/>
      <c r="AN26" s="100"/>
      <c r="AO26" s="100"/>
      <c r="AP26" s="101"/>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37"/>
    </row>
    <row r="27" spans="1:90" ht="11.25" customHeight="1" thickTop="1" x14ac:dyDescent="0.3">
      <c r="B27" s="17"/>
      <c r="C27" s="25">
        <v>30</v>
      </c>
      <c r="D27" s="25">
        <v>0</v>
      </c>
      <c r="E27" s="25">
        <v>0</v>
      </c>
      <c r="F27" s="25">
        <v>0</v>
      </c>
      <c r="G27" s="25">
        <f>SUM(C27:F27)</f>
        <v>30</v>
      </c>
      <c r="H27" s="18"/>
      <c r="I27" s="18"/>
      <c r="J27" s="39">
        <v>0</v>
      </c>
      <c r="K27" s="39">
        <v>0</v>
      </c>
      <c r="L27" s="39">
        <v>30</v>
      </c>
      <c r="M27" s="39">
        <v>0</v>
      </c>
      <c r="N27" s="39">
        <f>SUM(J27:M27)</f>
        <v>30</v>
      </c>
      <c r="O27" s="18"/>
      <c r="P27" s="22"/>
      <c r="Q27" s="31">
        <v>30</v>
      </c>
      <c r="R27" s="31">
        <v>0</v>
      </c>
      <c r="S27" s="31">
        <v>15</v>
      </c>
      <c r="T27" s="31">
        <v>0</v>
      </c>
      <c r="U27" s="31">
        <f>SUM(Q27:T27)</f>
        <v>45</v>
      </c>
      <c r="V27" s="18"/>
      <c r="W27" s="22"/>
      <c r="X27" s="25">
        <v>0</v>
      </c>
      <c r="Y27" s="25">
        <v>45</v>
      </c>
      <c r="Z27" s="25">
        <v>30</v>
      </c>
      <c r="AA27" s="25">
        <v>0</v>
      </c>
      <c r="AB27" s="25">
        <f>SUM(X27:AA27)</f>
        <v>75</v>
      </c>
      <c r="AC27" s="18"/>
      <c r="AD27" s="22"/>
      <c r="AE27" s="25">
        <v>30</v>
      </c>
      <c r="AF27" s="25">
        <v>15</v>
      </c>
      <c r="AG27" s="25">
        <v>15</v>
      </c>
      <c r="AH27" s="25">
        <v>0</v>
      </c>
      <c r="AI27" s="25">
        <f>SUM(AE27:AH27)</f>
        <v>60</v>
      </c>
      <c r="AJ27" s="18"/>
      <c r="AK27" s="22"/>
      <c r="AL27" s="31">
        <v>30</v>
      </c>
      <c r="AM27" s="31">
        <v>0</v>
      </c>
      <c r="AN27" s="31">
        <v>0</v>
      </c>
      <c r="AO27" s="31">
        <v>0</v>
      </c>
      <c r="AP27" s="31">
        <f>SUM(AL27:AO27)</f>
        <v>30</v>
      </c>
      <c r="AQ27" s="18"/>
      <c r="AR27" s="18"/>
      <c r="AS27" s="18"/>
      <c r="AT27" s="18"/>
      <c r="AU27" s="18"/>
      <c r="AV27" s="18"/>
      <c r="AW27" s="18"/>
      <c r="AX27" s="8"/>
      <c r="AY27" s="8"/>
      <c r="AZ27" s="8"/>
      <c r="BA27" s="8"/>
      <c r="BB27" s="18"/>
      <c r="BC27" s="18"/>
      <c r="BD27" s="18"/>
      <c r="BE27" s="18"/>
      <c r="BF27" s="8"/>
      <c r="BG27" s="8"/>
      <c r="BH27" s="8"/>
      <c r="BI27" s="8"/>
      <c r="BJ27" s="8"/>
      <c r="BK27" s="8"/>
      <c r="BL27" s="8"/>
      <c r="BM27" s="8"/>
      <c r="BN27" s="8"/>
      <c r="BO27" s="8"/>
      <c r="BP27" s="8"/>
      <c r="BQ27" s="8"/>
      <c r="BR27" s="8"/>
      <c r="BS27" s="37"/>
    </row>
    <row r="28" spans="1:90" ht="4.5" customHeight="1" x14ac:dyDescent="0.3">
      <c r="B28" s="17"/>
      <c r="C28" s="18"/>
      <c r="D28" s="18"/>
      <c r="E28" s="18"/>
      <c r="F28" s="18"/>
      <c r="G28" s="18"/>
      <c r="H28" s="18"/>
      <c r="I28" s="18"/>
      <c r="J28" s="18"/>
      <c r="K28" s="18"/>
      <c r="L28" s="18"/>
      <c r="M28" s="18"/>
      <c r="N28" s="18"/>
      <c r="O28" s="18"/>
      <c r="P28" s="22"/>
      <c r="Q28" s="18"/>
      <c r="R28" s="18"/>
      <c r="S28" s="18"/>
      <c r="T28" s="18"/>
      <c r="U28" s="18"/>
      <c r="V28" s="18"/>
      <c r="W28" s="22"/>
      <c r="X28" s="18"/>
      <c r="Y28" s="18"/>
      <c r="Z28" s="18"/>
      <c r="AA28" s="18"/>
      <c r="AB28" s="18"/>
      <c r="AC28" s="18"/>
      <c r="AD28" s="18"/>
      <c r="AE28" s="18"/>
      <c r="AF28" s="18"/>
      <c r="AG28" s="18"/>
      <c r="AH28" s="18"/>
      <c r="AI28" s="18"/>
      <c r="AJ28" s="18"/>
      <c r="AK28" s="18"/>
      <c r="AL28" s="18"/>
      <c r="AM28" s="18"/>
      <c r="AN28" s="18"/>
      <c r="AO28" s="18"/>
      <c r="AP28" s="18"/>
      <c r="AQ28" s="18"/>
      <c r="AR28" s="8"/>
      <c r="AS28" s="8"/>
      <c r="AT28" s="8"/>
      <c r="AU28" s="8"/>
      <c r="AV28" s="8"/>
      <c r="AW28" s="8"/>
      <c r="AX28" s="8"/>
      <c r="AY28" s="8"/>
      <c r="AZ28" s="8"/>
      <c r="BA28" s="8"/>
      <c r="BB28" s="18"/>
      <c r="BC28" s="18"/>
      <c r="BD28" s="18"/>
      <c r="BE28" s="18"/>
      <c r="BF28" s="8"/>
      <c r="BG28" s="8"/>
      <c r="BH28" s="8"/>
      <c r="BI28" s="8"/>
      <c r="BJ28" s="8"/>
      <c r="BK28" s="8"/>
      <c r="BL28" s="8"/>
      <c r="BM28" s="8"/>
      <c r="BN28" s="8"/>
      <c r="BO28" s="8"/>
      <c r="BP28" s="8"/>
      <c r="BQ28" s="8"/>
      <c r="BR28" s="8"/>
      <c r="BS28" s="37"/>
      <c r="BW28" s="20" t="s">
        <v>70</v>
      </c>
      <c r="BX28" s="21">
        <f>SUM(BU8:BU15)</f>
        <v>0</v>
      </c>
    </row>
    <row r="29" spans="1:90" ht="11.25" customHeight="1" thickBot="1" x14ac:dyDescent="0.35">
      <c r="B29" s="17"/>
      <c r="C29" s="105" t="str">
        <f>TEXT(INT(LEFT(C24,2))+1,"0") &amp; " 
FEELT!DCA
Dispositivos Ciberfísicos para Automação Industrial, IoT E IIoT"</f>
        <v>5 
FEELT!DCA
Dispositivos Ciberfísicos para Automação Industrial, IoT E IIoT</v>
      </c>
      <c r="D29" s="94"/>
      <c r="E29" s="94"/>
      <c r="F29" s="94"/>
      <c r="G29" s="95"/>
      <c r="H29" s="18"/>
      <c r="I29" s="18"/>
      <c r="J29" s="112" t="str">
        <f>TEXT(INT(LEFT(J24,2))+1,"0") &amp; " 
INFIS39031
Física Básica: Mecânica"</f>
        <v>11 
INFIS39031
Física Básica: Mecânica</v>
      </c>
      <c r="K29" s="94"/>
      <c r="L29" s="94"/>
      <c r="M29" s="94"/>
      <c r="N29" s="95"/>
      <c r="O29" s="18"/>
      <c r="P29" s="22"/>
      <c r="Q29" s="113" t="str">
        <f>TEXT(INT(LEFT(Q24,2))+1,"0") &amp; " 
FEQUI39401
Fenômenos de Transporte"</f>
        <v>17 
FEQUI39401
Fenômenos de Transporte</v>
      </c>
      <c r="R29" s="94"/>
      <c r="S29" s="94"/>
      <c r="T29" s="94"/>
      <c r="U29" s="95"/>
      <c r="V29" s="18"/>
      <c r="W29" s="22"/>
      <c r="X29" s="93" t="str">
        <f>TEXT(INT(LEFT(X24,2))+1,"0") &amp; " 
FEELT!SS2
Sinais e Sistemas II"</f>
        <v>23 
FEELT!SS2
Sinais e Sistemas II</v>
      </c>
      <c r="Y29" s="94"/>
      <c r="Z29" s="94"/>
      <c r="AA29" s="94"/>
      <c r="AB29" s="95"/>
      <c r="AC29" s="18"/>
      <c r="AD29" s="22"/>
      <c r="AE29" s="93" t="str">
        <f>TEXT(INT(LEFT(AE24,2))+1,"0") &amp; " 
FEELT!RICAII
Redes Industriais para Controle e Automação II"</f>
        <v>29 
FEELT!RICAII
Redes Industriais para Controle e Automação II</v>
      </c>
      <c r="AF29" s="94"/>
      <c r="AG29" s="94"/>
      <c r="AH29" s="94"/>
      <c r="AI29" s="95"/>
      <c r="AJ29" s="18"/>
      <c r="AL29" s="105" t="str">
        <f>TEXT(INT(LEFT(AL24,2))+1,"0") &amp; " 
FEELT31604
Experimental de
Instalações
Elétricas"</f>
        <v>36 
FEELT31604
Experimental de
Instalações
Elétricas</v>
      </c>
      <c r="AM29" s="94"/>
      <c r="AN29" s="94"/>
      <c r="AO29" s="94"/>
      <c r="AP29" s="95"/>
      <c r="AQ29" s="18"/>
      <c r="AR29" s="8"/>
      <c r="AS29" s="8"/>
      <c r="AT29" s="8"/>
      <c r="AU29" s="8"/>
      <c r="AV29" s="8"/>
      <c r="AW29" s="8"/>
      <c r="AX29" s="8"/>
      <c r="AY29" s="8"/>
      <c r="AZ29" s="18"/>
      <c r="BA29" s="18"/>
      <c r="BB29" s="8"/>
      <c r="BC29" s="18"/>
      <c r="BD29" s="43"/>
      <c r="BE29" s="8"/>
      <c r="BF29" s="8"/>
      <c r="BG29" s="8"/>
      <c r="BH29" s="8"/>
      <c r="BI29" s="8"/>
      <c r="BJ29" s="8"/>
      <c r="BK29" s="8"/>
      <c r="BL29" s="8"/>
      <c r="BM29" s="8"/>
      <c r="BN29" s="8"/>
      <c r="BO29" s="8"/>
      <c r="BP29" s="8"/>
      <c r="BQ29" s="8"/>
      <c r="BR29" s="8"/>
      <c r="BS29" s="37"/>
      <c r="BW29" s="8"/>
      <c r="BX29" s="8"/>
    </row>
    <row r="30" spans="1:90" ht="12.75" customHeight="1" thickBot="1" x14ac:dyDescent="0.35">
      <c r="B30" s="17"/>
      <c r="C30" s="96"/>
      <c r="D30" s="97"/>
      <c r="E30" s="97"/>
      <c r="F30" s="97"/>
      <c r="G30" s="98"/>
      <c r="H30" s="18"/>
      <c r="I30" s="23" t="str">
        <f>LEFT(C9,2)</f>
        <v xml:space="preserve">1 </v>
      </c>
      <c r="J30" s="96"/>
      <c r="K30" s="97"/>
      <c r="L30" s="97"/>
      <c r="M30" s="97"/>
      <c r="N30" s="98"/>
      <c r="O30" s="18"/>
      <c r="P30" s="22"/>
      <c r="Q30" s="96"/>
      <c r="R30" s="97"/>
      <c r="S30" s="97"/>
      <c r="T30" s="97"/>
      <c r="U30" s="98"/>
      <c r="V30" s="18"/>
      <c r="W30" s="22"/>
      <c r="X30" s="96"/>
      <c r="Y30" s="97"/>
      <c r="Z30" s="97"/>
      <c r="AA30" s="97"/>
      <c r="AB30" s="98"/>
      <c r="AC30" s="18"/>
      <c r="AD30" s="23" t="str">
        <f>LEFT(X19,2)</f>
        <v>21</v>
      </c>
      <c r="AE30" s="96"/>
      <c r="AF30" s="97"/>
      <c r="AG30" s="97"/>
      <c r="AH30" s="97"/>
      <c r="AI30" s="98"/>
      <c r="AJ30" s="18"/>
      <c r="AK30" s="29" t="str">
        <f>LEFT(AL24,2)</f>
        <v>35</v>
      </c>
      <c r="AL30" s="96"/>
      <c r="AM30" s="97"/>
      <c r="AN30" s="97"/>
      <c r="AO30" s="97"/>
      <c r="AP30" s="98"/>
      <c r="AQ30" s="18"/>
      <c r="AR30" s="8"/>
      <c r="AS30" s="8"/>
      <c r="AT30" s="8"/>
      <c r="AU30" s="8"/>
      <c r="AV30" s="8"/>
      <c r="AW30" s="8"/>
      <c r="AX30" s="8"/>
      <c r="AY30" s="8"/>
      <c r="AZ30" s="18"/>
      <c r="BA30" s="18"/>
      <c r="BB30" s="8"/>
      <c r="BC30" s="18"/>
      <c r="BD30" s="43"/>
      <c r="BE30" s="45"/>
      <c r="BF30" s="46" t="s">
        <v>72</v>
      </c>
      <c r="BG30" s="46"/>
      <c r="BH30" s="47"/>
      <c r="BI30" s="47"/>
      <c r="BJ30" s="47"/>
      <c r="BK30" s="48"/>
      <c r="BL30" s="49"/>
      <c r="BM30" s="8"/>
      <c r="BN30" s="8"/>
      <c r="BO30" s="8"/>
      <c r="BP30" s="8"/>
      <c r="BQ30" s="8"/>
      <c r="BR30" s="8"/>
      <c r="BS30" s="37"/>
      <c r="BW30" s="8"/>
      <c r="BX30" s="8"/>
    </row>
    <row r="31" spans="1:90" ht="32.25" customHeight="1" thickTop="1" thickBot="1" x14ac:dyDescent="0.35">
      <c r="B31" s="17"/>
      <c r="C31" s="99"/>
      <c r="D31" s="100"/>
      <c r="E31" s="100"/>
      <c r="F31" s="100"/>
      <c r="G31" s="101"/>
      <c r="H31" s="18"/>
      <c r="I31" s="29" t="str">
        <f>LEFT(J24,2)</f>
        <v>10</v>
      </c>
      <c r="J31" s="99"/>
      <c r="K31" s="100"/>
      <c r="L31" s="100"/>
      <c r="M31" s="100"/>
      <c r="N31" s="101"/>
      <c r="O31" s="18"/>
      <c r="P31" s="23" t="str">
        <f>LEFT(C9,2)</f>
        <v xml:space="preserve">1 </v>
      </c>
      <c r="Q31" s="99"/>
      <c r="R31" s="100"/>
      <c r="S31" s="100"/>
      <c r="T31" s="100"/>
      <c r="U31" s="101"/>
      <c r="V31" s="18"/>
      <c r="W31" s="23" t="str">
        <f>LEFT(Q9,2)</f>
        <v>13</v>
      </c>
      <c r="X31" s="99"/>
      <c r="Y31" s="100"/>
      <c r="Z31" s="100"/>
      <c r="AA31" s="100"/>
      <c r="AB31" s="101"/>
      <c r="AC31" s="18"/>
      <c r="AD31" s="23" t="str">
        <f>LEFT(X24,2)</f>
        <v>22</v>
      </c>
      <c r="AE31" s="99"/>
      <c r="AF31" s="100"/>
      <c r="AG31" s="100"/>
      <c r="AH31" s="100"/>
      <c r="AI31" s="101"/>
      <c r="AJ31" s="18"/>
      <c r="AK31" s="23" t="str">
        <f>LEFT(J24,2)</f>
        <v>10</v>
      </c>
      <c r="AL31" s="99"/>
      <c r="AM31" s="100"/>
      <c r="AN31" s="100"/>
      <c r="AO31" s="100"/>
      <c r="AP31" s="101"/>
      <c r="AQ31" s="18"/>
      <c r="AR31" s="8"/>
      <c r="AS31" s="8"/>
      <c r="AT31" s="8"/>
      <c r="AU31" s="8"/>
      <c r="AV31" s="8"/>
      <c r="AW31" s="8"/>
      <c r="AX31" s="8"/>
      <c r="AY31" s="8"/>
      <c r="AZ31" s="18"/>
      <c r="BA31" s="18"/>
      <c r="BB31" s="18"/>
      <c r="BC31" s="18"/>
      <c r="BD31" s="43"/>
      <c r="BE31" s="50"/>
      <c r="BF31" s="83"/>
      <c r="BG31" s="81"/>
      <c r="BH31" s="51" t="s">
        <v>73</v>
      </c>
      <c r="BI31" s="51"/>
      <c r="BJ31" s="51"/>
      <c r="BK31" s="8"/>
      <c r="BL31" s="19"/>
      <c r="BM31" s="8"/>
      <c r="BN31" s="8"/>
      <c r="BO31" s="8"/>
      <c r="BP31" s="8"/>
      <c r="BQ31" s="8"/>
      <c r="BR31" s="8"/>
      <c r="BS31" s="37"/>
      <c r="BW31" s="8"/>
      <c r="BX31" s="8"/>
      <c r="BY31" s="8"/>
      <c r="BZ31" s="8"/>
      <c r="CA31" s="18"/>
      <c r="CB31" s="18"/>
      <c r="CC31" s="18"/>
      <c r="CD31" s="18"/>
      <c r="CE31" s="18"/>
      <c r="CF31" s="18"/>
      <c r="CG31" s="8"/>
      <c r="CH31" s="8"/>
      <c r="CI31" s="8"/>
      <c r="CJ31" s="8"/>
      <c r="CK31" s="8"/>
      <c r="CL31" s="8"/>
    </row>
    <row r="32" spans="1:90" ht="13.5" customHeight="1" thickTop="1" thickBot="1" x14ac:dyDescent="0.35">
      <c r="B32" s="17"/>
      <c r="C32" s="31">
        <v>0</v>
      </c>
      <c r="D32" s="31">
        <v>45</v>
      </c>
      <c r="E32" s="31">
        <v>30</v>
      </c>
      <c r="F32" s="31">
        <v>0</v>
      </c>
      <c r="G32" s="31">
        <f>SUM(C32:F32)</f>
        <v>75</v>
      </c>
      <c r="H32" s="18"/>
      <c r="I32" s="18"/>
      <c r="J32" s="39">
        <v>60</v>
      </c>
      <c r="K32" s="39">
        <v>0</v>
      </c>
      <c r="L32" s="39">
        <v>0</v>
      </c>
      <c r="M32" s="39">
        <v>0</v>
      </c>
      <c r="N32" s="39">
        <f>SUM(J32:M32)</f>
        <v>60</v>
      </c>
      <c r="O32" s="18"/>
      <c r="P32" s="18"/>
      <c r="Q32" s="34">
        <v>60</v>
      </c>
      <c r="R32" s="34">
        <v>0</v>
      </c>
      <c r="S32" s="34">
        <v>0</v>
      </c>
      <c r="T32" s="34">
        <v>0</v>
      </c>
      <c r="U32" s="34">
        <f>SUM(Q32:T32)</f>
        <v>60</v>
      </c>
      <c r="V32" s="18"/>
      <c r="W32" s="22"/>
      <c r="X32" s="25">
        <v>90</v>
      </c>
      <c r="Y32" s="25">
        <v>0</v>
      </c>
      <c r="Z32" s="25">
        <v>0</v>
      </c>
      <c r="AA32" s="25">
        <v>0</v>
      </c>
      <c r="AB32" s="25">
        <f>SUM(X32:AA32)</f>
        <v>90</v>
      </c>
      <c r="AC32" s="18"/>
      <c r="AD32" s="22"/>
      <c r="AE32" s="25">
        <v>30</v>
      </c>
      <c r="AF32" s="25">
        <v>0</v>
      </c>
      <c r="AG32" s="25">
        <v>30</v>
      </c>
      <c r="AH32" s="25">
        <v>0</v>
      </c>
      <c r="AI32" s="25">
        <f>SUM(AE32:AH32)</f>
        <v>60</v>
      </c>
      <c r="AJ32" s="18"/>
      <c r="AK32" s="22"/>
      <c r="AL32" s="31">
        <v>0</v>
      </c>
      <c r="AM32" s="31">
        <v>0</v>
      </c>
      <c r="AN32" s="31">
        <v>30</v>
      </c>
      <c r="AO32" s="31">
        <v>0</v>
      </c>
      <c r="AP32" s="31">
        <f>SUM(AL32:AO32)</f>
        <v>30</v>
      </c>
      <c r="AQ32" s="18"/>
      <c r="AR32" s="8"/>
      <c r="AS32" s="8"/>
      <c r="AT32" s="8"/>
      <c r="AU32" s="8"/>
      <c r="AV32" s="8"/>
      <c r="AW32" s="8"/>
      <c r="AX32" s="8"/>
      <c r="AY32" s="8"/>
      <c r="AZ32" s="18"/>
      <c r="BA32" s="18"/>
      <c r="BB32" s="18"/>
      <c r="BC32" s="18"/>
      <c r="BD32" s="53"/>
      <c r="BE32" s="17"/>
      <c r="BF32" s="84"/>
      <c r="BG32" s="53"/>
      <c r="BH32" s="51" t="s">
        <v>74</v>
      </c>
      <c r="BI32" s="51"/>
      <c r="BJ32" s="51"/>
      <c r="BK32" s="8"/>
      <c r="BL32" s="19"/>
      <c r="BM32" s="8"/>
      <c r="BN32" s="8"/>
      <c r="BO32" s="8"/>
      <c r="BP32" s="8"/>
      <c r="BQ32" s="8"/>
      <c r="BR32" s="8"/>
      <c r="BS32" s="37"/>
      <c r="BW32" s="8"/>
      <c r="BX32" s="8"/>
      <c r="BY32" s="8"/>
      <c r="BZ32" s="8"/>
      <c r="CA32" s="18"/>
      <c r="CB32" s="18"/>
      <c r="CC32" s="18"/>
      <c r="CD32" s="8"/>
      <c r="CE32" s="8"/>
      <c r="CF32" s="8"/>
      <c r="CG32" s="8"/>
      <c r="CH32" s="8"/>
      <c r="CI32" s="8"/>
      <c r="CJ32" s="8"/>
      <c r="CK32" s="8"/>
      <c r="CL32" s="8"/>
    </row>
    <row r="33" spans="1:71" ht="4.5" customHeight="1" thickTop="1" x14ac:dyDescent="0.3">
      <c r="B33" s="17"/>
      <c r="C33" s="18"/>
      <c r="D33" s="18"/>
      <c r="E33" s="18"/>
      <c r="F33" s="18"/>
      <c r="G33" s="18"/>
      <c r="H33" s="18"/>
      <c r="I33" s="18"/>
      <c r="J33" s="18"/>
      <c r="K33" s="18"/>
      <c r="L33" s="18"/>
      <c r="M33" s="18"/>
      <c r="N33" s="18"/>
      <c r="O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8"/>
      <c r="AS33" s="8"/>
      <c r="AT33" s="8"/>
      <c r="AU33" s="8"/>
      <c r="AV33" s="8"/>
      <c r="AW33" s="8"/>
      <c r="AX33" s="8"/>
      <c r="AY33" s="8"/>
      <c r="AZ33" s="18"/>
      <c r="BA33" s="18"/>
      <c r="BB33" s="18"/>
      <c r="BC33" s="53"/>
      <c r="BD33" s="18"/>
      <c r="BE33" s="17"/>
      <c r="BF33" s="55"/>
      <c r="BG33" s="55"/>
      <c r="BH33" s="55"/>
      <c r="BI33" s="55"/>
      <c r="BJ33" s="55"/>
      <c r="BK33" s="8"/>
      <c r="BL33" s="19"/>
      <c r="BM33" s="53"/>
      <c r="BN33" s="8"/>
      <c r="BO33" s="8"/>
      <c r="BP33" s="8"/>
      <c r="BQ33" s="8"/>
      <c r="BR33" s="8"/>
      <c r="BS33" s="37"/>
    </row>
    <row r="34" spans="1:71" ht="18" customHeight="1" x14ac:dyDescent="0.3">
      <c r="B34" s="17"/>
      <c r="C34" s="105" t="str">
        <f>TEXT(INT(LEFT(C29,2))+1,"0") &amp; " 
FEELT31409
Sistemas Digitais"</f>
        <v>6 
FEELT31409
Sistemas Digitais</v>
      </c>
      <c r="D34" s="94"/>
      <c r="E34" s="94"/>
      <c r="F34" s="94"/>
      <c r="G34" s="95"/>
      <c r="H34" s="18"/>
      <c r="I34" s="18"/>
      <c r="J34" s="105" t="str">
        <f>TEXT(INT(LEFT(J29,2))+1,"0") &amp; " 
FEELT!ASSE
Arquitetura de software em Sistemas Embarcados"</f>
        <v>12 
FEELT!ASSE
Arquitetura de software em Sistemas Embarcados</v>
      </c>
      <c r="K34" s="94"/>
      <c r="L34" s="94"/>
      <c r="M34" s="94"/>
      <c r="N34" s="95"/>
      <c r="O34" s="18"/>
      <c r="P34" s="18"/>
      <c r="Q34" s="93" t="str">
        <f>TEXT(INT(LEFT(Q29,2))+1,"0") &amp; " 
FEELT32301
Informática Industrial I"</f>
        <v>18 
FEELT32301
Informática Industrial I</v>
      </c>
      <c r="R34" s="94"/>
      <c r="S34" s="94"/>
      <c r="T34" s="94"/>
      <c r="U34" s="95"/>
      <c r="V34" s="18"/>
      <c r="W34" s="22"/>
      <c r="X34" s="93" t="str">
        <f>TEXT(INT(LEFT(X29,2))+1,"0") &amp; " 
FEMEC41080
Sistemas de Controle Hidráulicos e Pneumáticos"</f>
        <v>24 
FEMEC41080
Sistemas de Controle Hidráulicos e Pneumáticos</v>
      </c>
      <c r="Y34" s="94"/>
      <c r="Z34" s="94"/>
      <c r="AA34" s="94"/>
      <c r="AB34" s="95"/>
      <c r="AC34" s="18"/>
      <c r="AD34" s="22"/>
      <c r="AE34" s="93" t="str">
        <f>TEXT(INT(LEFT(AE29,2))+1,"0") &amp; " 
FEELT32603
Sistemas de Controle Realimentado"</f>
        <v>30 
FEELT32603
Sistemas de Controle Realimentado</v>
      </c>
      <c r="AF34" s="94"/>
      <c r="AG34" s="94"/>
      <c r="AH34" s="94"/>
      <c r="AI34" s="95"/>
      <c r="AJ34" s="18"/>
      <c r="AK34" s="117" t="s">
        <v>76</v>
      </c>
      <c r="AL34" s="93" t="str">
        <f>TEXT(INT(LEFT(AL29,2))+1,"0") &amp; " 
FAGEN32411
Empreendedorismo e Inovação"</f>
        <v>37 
FAGEN32411
Empreendedorismo e Inovação</v>
      </c>
      <c r="AM34" s="94"/>
      <c r="AN34" s="94"/>
      <c r="AO34" s="94"/>
      <c r="AP34" s="95"/>
      <c r="AQ34" s="18"/>
      <c r="AR34" s="8"/>
      <c r="AS34" s="8"/>
      <c r="AT34" s="8"/>
      <c r="AU34" s="8"/>
      <c r="AV34" s="8"/>
      <c r="AW34" s="8"/>
      <c r="AX34" s="8"/>
      <c r="AY34" s="8"/>
      <c r="AZ34" s="18"/>
      <c r="BA34" s="18"/>
      <c r="BB34" s="18"/>
      <c r="BC34" s="18"/>
      <c r="BD34" s="18"/>
      <c r="BE34" s="17"/>
      <c r="BF34" s="55"/>
      <c r="BG34" s="55"/>
      <c r="BH34" s="55"/>
      <c r="BI34" s="55"/>
      <c r="BJ34" s="55"/>
      <c r="BK34" s="8"/>
      <c r="BL34" s="19"/>
      <c r="BM34" s="18"/>
      <c r="BN34" s="8"/>
      <c r="BO34" s="8"/>
      <c r="BP34" s="8"/>
      <c r="BQ34" s="8"/>
      <c r="BR34" s="8"/>
      <c r="BS34" s="37"/>
    </row>
    <row r="35" spans="1:71" ht="18" customHeight="1" thickBot="1" x14ac:dyDescent="0.35">
      <c r="B35" s="17"/>
      <c r="C35" s="96"/>
      <c r="D35" s="97"/>
      <c r="E35" s="97"/>
      <c r="F35" s="97"/>
      <c r="G35" s="98"/>
      <c r="H35" s="18"/>
      <c r="I35" s="18"/>
      <c r="J35" s="96"/>
      <c r="K35" s="97"/>
      <c r="L35" s="97"/>
      <c r="M35" s="97"/>
      <c r="N35" s="98"/>
      <c r="O35" s="18"/>
      <c r="P35" s="23" t="str">
        <f>LEFT(C44,2)</f>
        <v/>
      </c>
      <c r="Q35" s="96"/>
      <c r="R35" s="97"/>
      <c r="S35" s="97"/>
      <c r="T35" s="97"/>
      <c r="U35" s="98"/>
      <c r="V35" s="18"/>
      <c r="W35" s="22"/>
      <c r="X35" s="96"/>
      <c r="Y35" s="97"/>
      <c r="Z35" s="97"/>
      <c r="AA35" s="97"/>
      <c r="AB35" s="98"/>
      <c r="AC35" s="18"/>
      <c r="AD35" s="29" t="str">
        <f>LEFT(AE19,2)</f>
        <v>27</v>
      </c>
      <c r="AE35" s="96"/>
      <c r="AF35" s="97"/>
      <c r="AG35" s="97"/>
      <c r="AH35" s="97"/>
      <c r="AI35" s="98"/>
      <c r="AJ35" s="18"/>
      <c r="AK35" s="98"/>
      <c r="AL35" s="96"/>
      <c r="AM35" s="97"/>
      <c r="AN35" s="97"/>
      <c r="AO35" s="97"/>
      <c r="AP35" s="98"/>
      <c r="AQ35" s="18"/>
      <c r="AR35" s="8"/>
      <c r="AS35" s="8"/>
      <c r="AT35" s="8"/>
      <c r="AU35" s="8"/>
      <c r="AV35" s="8"/>
      <c r="AW35" s="8"/>
      <c r="AX35" s="8"/>
      <c r="AY35" s="8"/>
      <c r="AZ35" s="18"/>
      <c r="BA35" s="18"/>
      <c r="BB35" s="18"/>
      <c r="BC35" s="44"/>
      <c r="BD35" s="43"/>
      <c r="BE35" s="56"/>
      <c r="BF35" s="57"/>
      <c r="BG35" s="57"/>
      <c r="BH35" s="57"/>
      <c r="BI35" s="57"/>
      <c r="BJ35" s="57"/>
      <c r="BK35" s="57"/>
      <c r="BL35" s="58"/>
      <c r="BM35" s="18"/>
      <c r="BN35" s="8"/>
      <c r="BO35" s="8"/>
      <c r="BP35" s="8"/>
      <c r="BQ35" s="8"/>
      <c r="BR35" s="8"/>
      <c r="BS35" s="37"/>
    </row>
    <row r="36" spans="1:71" ht="22.5" customHeight="1" thickTop="1" thickBot="1" x14ac:dyDescent="0.35">
      <c r="B36" s="41" t="str">
        <f>LEFT(C14,2)</f>
        <v xml:space="preserve">2 </v>
      </c>
      <c r="C36" s="99"/>
      <c r="D36" s="100"/>
      <c r="E36" s="100"/>
      <c r="F36" s="100"/>
      <c r="G36" s="101"/>
      <c r="H36" s="18"/>
      <c r="I36" s="23" t="str">
        <f>LEFT(C34,2)</f>
        <v xml:space="preserve">6 </v>
      </c>
      <c r="J36" s="99"/>
      <c r="K36" s="100"/>
      <c r="L36" s="100"/>
      <c r="M36" s="100"/>
      <c r="N36" s="101"/>
      <c r="O36" s="18"/>
      <c r="P36" s="23" t="str">
        <f>LEFT(J34,2)</f>
        <v>12</v>
      </c>
      <c r="Q36" s="99"/>
      <c r="R36" s="100"/>
      <c r="S36" s="100"/>
      <c r="T36" s="100"/>
      <c r="U36" s="101"/>
      <c r="V36" s="18"/>
      <c r="W36" s="23" t="str">
        <f>LEFT(Q29,2)</f>
        <v>17</v>
      </c>
      <c r="X36" s="99"/>
      <c r="Y36" s="100"/>
      <c r="Z36" s="100"/>
      <c r="AA36" s="100"/>
      <c r="AB36" s="101"/>
      <c r="AC36" s="18"/>
      <c r="AD36" s="23" t="str">
        <f>LEFT(X29,2)</f>
        <v>23</v>
      </c>
      <c r="AE36" s="99"/>
      <c r="AF36" s="100"/>
      <c r="AG36" s="100"/>
      <c r="AH36" s="100"/>
      <c r="AI36" s="101"/>
      <c r="AJ36" s="18"/>
      <c r="AK36" s="101"/>
      <c r="AL36" s="99"/>
      <c r="AM36" s="100"/>
      <c r="AN36" s="100"/>
      <c r="AO36" s="100"/>
      <c r="AP36" s="101"/>
      <c r="AQ36" s="18"/>
      <c r="AR36" s="8"/>
      <c r="AS36" s="8"/>
      <c r="AT36" s="8"/>
      <c r="AU36" s="8"/>
      <c r="AV36" s="8"/>
      <c r="AW36" s="8"/>
      <c r="AX36" s="8"/>
      <c r="AY36" s="8"/>
      <c r="AZ36" s="18"/>
      <c r="BA36" s="18"/>
      <c r="BB36" s="18"/>
      <c r="BC36" s="18"/>
      <c r="BD36" s="43"/>
      <c r="BE36" s="43"/>
      <c r="BF36" s="43"/>
      <c r="BG36" s="43"/>
      <c r="BH36" s="43"/>
      <c r="BI36" s="43"/>
      <c r="BJ36" s="43"/>
      <c r="BK36" s="43"/>
      <c r="BL36" s="18"/>
      <c r="BM36" s="18"/>
      <c r="BN36" s="8"/>
      <c r="BO36" s="8"/>
      <c r="BP36" s="8"/>
      <c r="BQ36" s="8"/>
      <c r="BR36" s="8"/>
      <c r="BS36" s="37"/>
    </row>
    <row r="37" spans="1:71" ht="12" customHeight="1" thickTop="1" x14ac:dyDescent="0.3">
      <c r="A37" s="32"/>
      <c r="C37" s="31">
        <v>30</v>
      </c>
      <c r="D37" s="31">
        <v>0</v>
      </c>
      <c r="E37" s="31">
        <v>30</v>
      </c>
      <c r="F37" s="31">
        <v>0</v>
      </c>
      <c r="G37" s="31">
        <f>C37+E37</f>
        <v>60</v>
      </c>
      <c r="H37" s="18"/>
      <c r="I37" s="18"/>
      <c r="J37" s="31">
        <v>15</v>
      </c>
      <c r="K37" s="31">
        <v>30</v>
      </c>
      <c r="L37" s="31">
        <v>30</v>
      </c>
      <c r="M37" s="31">
        <v>0</v>
      </c>
      <c r="N37" s="31">
        <f>SUM(J37:M37)</f>
        <v>75</v>
      </c>
      <c r="O37" s="18"/>
      <c r="P37" s="18"/>
      <c r="Q37" s="25">
        <v>30</v>
      </c>
      <c r="R37" s="25">
        <v>0</v>
      </c>
      <c r="S37" s="25">
        <v>30</v>
      </c>
      <c r="T37" s="25">
        <v>0</v>
      </c>
      <c r="U37" s="25">
        <f>SUM(Q37:T37)</f>
        <v>60</v>
      </c>
      <c r="V37" s="18"/>
      <c r="W37" s="22"/>
      <c r="X37" s="25">
        <v>45</v>
      </c>
      <c r="Y37" s="25">
        <v>0</v>
      </c>
      <c r="Z37" s="25">
        <v>15</v>
      </c>
      <c r="AA37" s="25">
        <v>0</v>
      </c>
      <c r="AB37" s="25">
        <f>SUM(X37:AA37)</f>
        <v>60</v>
      </c>
      <c r="AC37" s="18"/>
      <c r="AD37" s="22"/>
      <c r="AE37" s="25">
        <v>60</v>
      </c>
      <c r="AF37" s="25">
        <v>15</v>
      </c>
      <c r="AG37" s="25">
        <v>0</v>
      </c>
      <c r="AH37" s="25">
        <v>0</v>
      </c>
      <c r="AI37" s="25">
        <f>SUM(AE37:AH37)</f>
        <v>75</v>
      </c>
      <c r="AJ37" s="18"/>
      <c r="AK37" s="18"/>
      <c r="AL37" s="25">
        <v>0</v>
      </c>
      <c r="AM37" s="25">
        <v>30</v>
      </c>
      <c r="AN37" s="25">
        <v>0</v>
      </c>
      <c r="AO37" s="25">
        <v>0</v>
      </c>
      <c r="AP37" s="25">
        <f>SUM(AL37:AO37)</f>
        <v>30</v>
      </c>
      <c r="AQ37" s="18"/>
      <c r="AR37" s="8"/>
      <c r="AS37" s="8"/>
      <c r="AT37" s="8"/>
      <c r="AU37" s="8"/>
      <c r="AV37" s="8"/>
      <c r="AW37" s="8"/>
      <c r="AX37" s="8"/>
      <c r="AY37" s="8"/>
      <c r="AZ37" s="18"/>
      <c r="BA37" s="18"/>
      <c r="BB37" s="18"/>
      <c r="BC37" s="18"/>
      <c r="BD37" s="18"/>
      <c r="BE37" s="8"/>
      <c r="BF37" s="18"/>
      <c r="BG37" s="18"/>
      <c r="BH37" s="18"/>
      <c r="BI37" s="18"/>
      <c r="BJ37" s="18"/>
      <c r="BK37" s="18"/>
      <c r="BL37" s="18"/>
      <c r="BM37" s="8"/>
      <c r="BN37" s="8"/>
      <c r="BO37" s="8"/>
      <c r="BP37" s="8"/>
      <c r="BQ37" s="8"/>
      <c r="BR37" s="8"/>
      <c r="BS37" s="37"/>
    </row>
    <row r="38" spans="1:71" ht="4.2" customHeight="1" x14ac:dyDescent="0.3">
      <c r="A38" s="32"/>
      <c r="B38" s="18"/>
      <c r="C38" s="18"/>
      <c r="D38" s="18"/>
      <c r="E38" s="18"/>
      <c r="F38" s="18"/>
      <c r="G38" s="18"/>
      <c r="H38" s="18"/>
      <c r="I38" s="18"/>
      <c r="J38" s="18"/>
      <c r="K38" s="18"/>
      <c r="L38" s="18"/>
      <c r="M38" s="18"/>
      <c r="N38" s="18"/>
      <c r="O38" s="18"/>
      <c r="P38" s="22"/>
      <c r="Q38" s="18"/>
      <c r="R38" s="18"/>
      <c r="S38" s="18"/>
      <c r="T38" s="18"/>
      <c r="U38" s="18"/>
      <c r="V38" s="18"/>
      <c r="W38" s="18"/>
      <c r="X38" s="18"/>
      <c r="Y38" s="18"/>
      <c r="Z38" s="18"/>
      <c r="AA38" s="18"/>
      <c r="AB38" s="18"/>
      <c r="AC38" s="18"/>
      <c r="AE38" s="18"/>
      <c r="AF38" s="18"/>
      <c r="AG38" s="18"/>
      <c r="AH38" s="18"/>
      <c r="AI38" s="18"/>
      <c r="AJ38" s="18"/>
      <c r="AK38" s="18"/>
      <c r="AL38" s="18"/>
      <c r="AM38" s="18"/>
      <c r="AN38" s="18"/>
      <c r="AO38" s="18"/>
      <c r="AP38" s="18"/>
      <c r="AQ38" s="18"/>
      <c r="AR38" s="8"/>
      <c r="AS38" s="8"/>
      <c r="AT38" s="8"/>
      <c r="AU38" s="8"/>
      <c r="AV38" s="8"/>
      <c r="AW38" s="8"/>
      <c r="AX38" s="8"/>
      <c r="AY38" s="8"/>
      <c r="AZ38" s="8"/>
      <c r="BA38" s="8"/>
      <c r="BB38" s="8"/>
      <c r="BC38" s="8"/>
      <c r="BD38" s="8"/>
      <c r="BE38" s="8"/>
      <c r="BF38" s="18"/>
      <c r="BG38" s="18"/>
      <c r="BH38" s="18"/>
      <c r="BI38" s="18"/>
      <c r="BJ38" s="18"/>
      <c r="BK38" s="18"/>
      <c r="BL38" s="18"/>
      <c r="BM38" s="8"/>
      <c r="BN38" s="8"/>
      <c r="BO38" s="8"/>
      <c r="BP38" s="8"/>
      <c r="BQ38" s="8"/>
      <c r="BR38" s="8"/>
      <c r="BS38" s="37"/>
    </row>
    <row r="39" spans="1:71" ht="19.8" customHeight="1" x14ac:dyDescent="0.3">
      <c r="A39" s="32"/>
      <c r="B39" s="18"/>
      <c r="C39" s="18"/>
      <c r="D39" s="18"/>
      <c r="E39" s="18"/>
      <c r="F39" s="18"/>
      <c r="G39" s="18"/>
      <c r="H39" s="18"/>
      <c r="I39" s="18"/>
      <c r="J39" s="18"/>
      <c r="K39" s="18"/>
      <c r="L39" s="18"/>
      <c r="M39" s="18"/>
      <c r="N39" s="18"/>
      <c r="O39" s="18"/>
      <c r="P39" s="8"/>
      <c r="Q39" s="8"/>
      <c r="R39" s="8"/>
      <c r="S39" s="8"/>
      <c r="T39" s="8"/>
      <c r="U39" s="8"/>
      <c r="V39" s="18"/>
      <c r="W39" s="18"/>
      <c r="X39" s="18"/>
      <c r="Y39" s="18"/>
      <c r="Z39" s="18"/>
      <c r="AA39" s="18"/>
      <c r="AB39" s="18"/>
      <c r="AC39" s="8"/>
      <c r="AD39" s="22"/>
      <c r="AE39" s="93" t="str">
        <f>TEXT(INT(LEFT(AE34,2))+1,"0") &amp; " 
FEELT32601
Experimental de
Sistemas de Controle Realimentado"</f>
        <v>31 
FEELT32601
Experimental de
Sistemas de Controle Realimentado</v>
      </c>
      <c r="AF39" s="94"/>
      <c r="AG39" s="94"/>
      <c r="AH39" s="94"/>
      <c r="AI39" s="95"/>
      <c r="AJ39" s="8"/>
      <c r="AK39" s="117" t="s">
        <v>71</v>
      </c>
      <c r="AL39" s="93" t="str">
        <f>TEXT(INT(LEFT(AL34,2))+1,"0") &amp; " 
FEELT32002
Estágio Supervisionado Obrigatório"</f>
        <v>38 
FEELT32002
Estágio Supervisionado Obrigatório</v>
      </c>
      <c r="AM39" s="94"/>
      <c r="AN39" s="94"/>
      <c r="AO39" s="94"/>
      <c r="AP39" s="95"/>
      <c r="AQ39" s="42"/>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8"/>
      <c r="BP39" s="44"/>
      <c r="BQ39" s="44"/>
      <c r="BR39" s="44"/>
      <c r="BS39" s="37"/>
    </row>
    <row r="40" spans="1:71" ht="16.2" customHeight="1" thickBot="1" x14ac:dyDescent="0.35">
      <c r="A40" s="32"/>
      <c r="B40" s="18"/>
      <c r="C40" s="18"/>
      <c r="D40" s="18"/>
      <c r="E40" s="18"/>
      <c r="F40" s="18"/>
      <c r="G40" s="18"/>
      <c r="H40" s="18"/>
      <c r="I40" s="18"/>
      <c r="J40" s="18"/>
      <c r="K40" s="18"/>
      <c r="L40" s="18"/>
      <c r="M40" s="18"/>
      <c r="N40" s="18"/>
      <c r="O40" s="18"/>
      <c r="P40" s="8"/>
      <c r="Q40" s="8"/>
      <c r="R40" s="8"/>
      <c r="S40" s="8"/>
      <c r="T40" s="8"/>
      <c r="U40" s="8"/>
      <c r="V40" s="18"/>
      <c r="W40" s="18"/>
      <c r="X40" s="18"/>
      <c r="Y40" s="18"/>
      <c r="Z40" s="18"/>
      <c r="AA40" s="18"/>
      <c r="AB40" s="18"/>
      <c r="AC40" s="8"/>
      <c r="AD40" s="29" t="str">
        <f>LEFT(AE24,2)</f>
        <v>28</v>
      </c>
      <c r="AE40" s="96"/>
      <c r="AF40" s="97"/>
      <c r="AG40" s="97"/>
      <c r="AH40" s="97"/>
      <c r="AI40" s="98"/>
      <c r="AJ40" s="8"/>
      <c r="AK40" s="98"/>
      <c r="AL40" s="96"/>
      <c r="AM40" s="97"/>
      <c r="AN40" s="97"/>
      <c r="AO40" s="97"/>
      <c r="AP40" s="98"/>
      <c r="AQ40" s="42"/>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8"/>
      <c r="BP40" s="18"/>
      <c r="BQ40" s="18"/>
      <c r="BR40" s="18"/>
      <c r="BS40" s="37"/>
    </row>
    <row r="41" spans="1:71" ht="25.8" customHeight="1" thickTop="1" x14ac:dyDescent="0.3">
      <c r="A41" s="32"/>
      <c r="B41" s="18"/>
      <c r="C41" s="18"/>
      <c r="D41" s="18"/>
      <c r="E41" s="18"/>
      <c r="F41" s="18"/>
      <c r="G41" s="18"/>
      <c r="H41" s="18"/>
      <c r="I41" s="18"/>
      <c r="J41" s="18"/>
      <c r="K41" s="18"/>
      <c r="L41" s="18"/>
      <c r="M41" s="18"/>
      <c r="N41" s="18"/>
      <c r="O41" s="18"/>
      <c r="P41" s="8"/>
      <c r="Q41" s="8"/>
      <c r="R41" s="8"/>
      <c r="S41" s="8"/>
      <c r="T41" s="8"/>
      <c r="U41" s="8"/>
      <c r="V41" s="18"/>
      <c r="W41" s="18"/>
      <c r="X41" s="18"/>
      <c r="Y41" s="18"/>
      <c r="Z41" s="18"/>
      <c r="AA41" s="18"/>
      <c r="AB41" s="18"/>
      <c r="AC41" s="8"/>
      <c r="AD41" s="23" t="str">
        <f>LEFT(X34,2)</f>
        <v>24</v>
      </c>
      <c r="AE41" s="99"/>
      <c r="AF41" s="100"/>
      <c r="AG41" s="100"/>
      <c r="AH41" s="100"/>
      <c r="AI41" s="101"/>
      <c r="AJ41" s="8"/>
      <c r="AK41" s="101"/>
      <c r="AL41" s="99"/>
      <c r="AM41" s="100"/>
      <c r="AN41" s="100"/>
      <c r="AO41" s="100"/>
      <c r="AP41" s="101"/>
      <c r="AQ41" s="42"/>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8"/>
      <c r="BP41" s="51"/>
      <c r="BQ41" s="51"/>
      <c r="BR41" s="51"/>
      <c r="BS41" s="52"/>
    </row>
    <row r="42" spans="1:71" ht="13.8" customHeight="1" x14ac:dyDescent="0.3">
      <c r="A42" s="32"/>
      <c r="B42" s="18"/>
      <c r="C42" s="18"/>
      <c r="D42" s="18"/>
      <c r="E42" s="18"/>
      <c r="F42" s="18"/>
      <c r="G42" s="18"/>
      <c r="H42" s="18"/>
      <c r="I42" s="18"/>
      <c r="J42" s="18"/>
      <c r="K42" s="18"/>
      <c r="L42" s="18"/>
      <c r="M42" s="18"/>
      <c r="N42" s="18"/>
      <c r="O42" s="18"/>
      <c r="P42" s="8"/>
      <c r="Q42" s="8"/>
      <c r="R42" s="8"/>
      <c r="S42" s="8"/>
      <c r="T42" s="8"/>
      <c r="U42" s="8"/>
      <c r="V42" s="18"/>
      <c r="W42" s="18"/>
      <c r="X42" s="18"/>
      <c r="Y42" s="18"/>
      <c r="Z42" s="18"/>
      <c r="AA42" s="18"/>
      <c r="AB42" s="18"/>
      <c r="AC42" s="8"/>
      <c r="AD42" s="22"/>
      <c r="AE42" s="25">
        <v>0</v>
      </c>
      <c r="AF42" s="25">
        <v>0</v>
      </c>
      <c r="AG42" s="25">
        <v>30</v>
      </c>
      <c r="AH42" s="25">
        <v>0</v>
      </c>
      <c r="AI42" s="25">
        <f>SUM(AE42:AH42)</f>
        <v>30</v>
      </c>
      <c r="AJ42" s="8"/>
      <c r="AK42" s="18"/>
      <c r="AL42" s="25">
        <v>0</v>
      </c>
      <c r="AM42" s="25">
        <v>0</v>
      </c>
      <c r="AN42" s="25">
        <v>0</v>
      </c>
      <c r="AO42" s="25">
        <v>0</v>
      </c>
      <c r="AP42" s="25">
        <v>160</v>
      </c>
      <c r="AQ42" s="42"/>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8"/>
      <c r="BP42" s="53"/>
      <c r="BQ42" s="53"/>
      <c r="BR42" s="53"/>
      <c r="BS42" s="54"/>
    </row>
    <row r="43" spans="1:71" ht="6.75" customHeight="1" x14ac:dyDescent="0.3">
      <c r="B43" s="17"/>
      <c r="C43" s="18"/>
      <c r="D43" s="18"/>
      <c r="E43" s="18"/>
      <c r="F43" s="18"/>
      <c r="G43" s="18"/>
      <c r="H43" s="18"/>
      <c r="I43" s="18"/>
      <c r="J43" s="18"/>
      <c r="K43" s="18"/>
      <c r="L43" s="18"/>
      <c r="M43" s="18"/>
      <c r="N43" s="18"/>
      <c r="O43" s="18"/>
      <c r="P43" s="8"/>
      <c r="Q43" s="8"/>
      <c r="R43" s="8"/>
      <c r="S43" s="8"/>
      <c r="T43" s="8"/>
      <c r="U43" s="8"/>
      <c r="V43" s="18"/>
      <c r="W43" s="8"/>
      <c r="X43" s="8"/>
      <c r="Y43" s="8"/>
      <c r="Z43" s="8"/>
      <c r="AA43" s="8"/>
      <c r="AB43" s="8"/>
      <c r="AC43" s="8"/>
      <c r="AD43" s="8"/>
      <c r="AE43" s="18"/>
      <c r="AF43" s="18"/>
      <c r="AG43" s="18"/>
      <c r="AH43" s="18"/>
      <c r="AI43" s="18"/>
      <c r="AJ43" s="8"/>
      <c r="AK43" s="22"/>
      <c r="AL43" s="18"/>
      <c r="AM43" s="18"/>
      <c r="AN43" s="18"/>
      <c r="AO43" s="18"/>
      <c r="AP43" s="18"/>
      <c r="AQ43" s="8"/>
      <c r="AR43" s="18"/>
      <c r="AS43" s="18"/>
      <c r="AT43" s="18"/>
      <c r="AU43" s="18"/>
      <c r="AV43" s="18"/>
      <c r="AW43" s="18"/>
      <c r="AX43" s="18"/>
      <c r="AY43" s="18"/>
      <c r="AZ43" s="18"/>
      <c r="BA43" s="18"/>
      <c r="BB43" s="53"/>
      <c r="BC43" s="53"/>
      <c r="BD43" s="18"/>
      <c r="BE43" s="18"/>
      <c r="BF43" s="18"/>
      <c r="BG43" s="18"/>
      <c r="BH43" s="18"/>
      <c r="BI43" s="18"/>
      <c r="BJ43" s="18"/>
      <c r="BK43" s="18"/>
      <c r="BL43" s="18"/>
      <c r="BM43" s="18"/>
      <c r="BN43" s="18"/>
      <c r="BO43" s="53"/>
      <c r="BP43" s="53"/>
      <c r="BQ43" s="53"/>
      <c r="BR43" s="53"/>
      <c r="BS43" s="54"/>
    </row>
    <row r="44" spans="1:71" ht="15" customHeight="1" x14ac:dyDescent="0.3">
      <c r="A44" s="32"/>
      <c r="B44" s="8"/>
      <c r="C44" s="8"/>
      <c r="D44" s="8"/>
      <c r="E44" s="8"/>
      <c r="F44" s="8"/>
      <c r="G44" s="8"/>
      <c r="H44" s="18"/>
      <c r="I44" s="18"/>
      <c r="J44" s="122"/>
      <c r="K44" s="97"/>
      <c r="L44" s="97"/>
      <c r="M44" s="97"/>
      <c r="N44" s="97"/>
      <c r="O44" s="18"/>
      <c r="P44" s="8"/>
      <c r="Q44" s="8"/>
      <c r="R44" s="8"/>
      <c r="S44" s="8"/>
      <c r="T44" s="8"/>
      <c r="U44" s="8"/>
      <c r="V44" s="18"/>
      <c r="W44" s="8"/>
      <c r="X44" s="8"/>
      <c r="Y44" s="8"/>
      <c r="Z44" s="8"/>
      <c r="AA44" s="8"/>
      <c r="AB44" s="8"/>
      <c r="AC44" s="8"/>
      <c r="AD44" s="8"/>
      <c r="AE44" s="18"/>
      <c r="AF44" s="18"/>
      <c r="AG44" s="18"/>
      <c r="AH44" s="18"/>
      <c r="AI44" s="18"/>
      <c r="AJ44" s="8"/>
      <c r="AK44" s="18"/>
      <c r="AL44" s="18"/>
      <c r="AM44" s="18"/>
      <c r="AN44" s="18"/>
      <c r="AO44" s="18"/>
      <c r="AP44" s="18"/>
      <c r="AQ44" s="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37"/>
    </row>
    <row r="45" spans="1:71" ht="15.75" customHeight="1" x14ac:dyDescent="0.3">
      <c r="A45" s="32"/>
      <c r="B45" s="8"/>
      <c r="C45" s="8"/>
      <c r="D45" s="8"/>
      <c r="E45" s="8"/>
      <c r="F45" s="8"/>
      <c r="G45" s="8"/>
      <c r="H45" s="18"/>
      <c r="I45" s="18"/>
      <c r="J45" s="97"/>
      <c r="K45" s="97"/>
      <c r="L45" s="97"/>
      <c r="M45" s="97"/>
      <c r="N45" s="97"/>
      <c r="O45" s="18"/>
      <c r="P45" s="8"/>
      <c r="Q45" s="8"/>
      <c r="R45" s="8"/>
      <c r="S45" s="8"/>
      <c r="T45" s="8"/>
      <c r="U45" s="8"/>
      <c r="V45" s="18"/>
      <c r="W45" s="8"/>
      <c r="X45" s="8"/>
      <c r="Y45" s="8"/>
      <c r="Z45" s="8"/>
      <c r="AA45" s="8"/>
      <c r="AB45" s="8"/>
      <c r="AC45" s="8"/>
      <c r="AD45" s="8"/>
      <c r="AE45" s="18"/>
      <c r="AF45" s="18"/>
      <c r="AG45" s="18"/>
      <c r="AH45" s="18"/>
      <c r="AI45" s="18"/>
      <c r="AJ45" s="8"/>
      <c r="AK45" s="18"/>
      <c r="AL45" s="18"/>
      <c r="AM45" s="18"/>
      <c r="AN45" s="18"/>
      <c r="AO45" s="18"/>
      <c r="AP45" s="18"/>
      <c r="AQ45" s="18"/>
      <c r="AR45" s="18"/>
      <c r="AS45" s="18"/>
      <c r="AT45" s="18"/>
      <c r="AU45" s="18"/>
      <c r="AV45" s="18"/>
      <c r="AW45" s="18"/>
      <c r="AX45" s="18"/>
      <c r="AY45" s="22"/>
      <c r="AZ45" s="18"/>
      <c r="BA45" s="18"/>
      <c r="BB45" s="44"/>
      <c r="BC45" s="44"/>
      <c r="BD45" s="18"/>
      <c r="BE45" s="18"/>
      <c r="BF45" s="18"/>
      <c r="BG45" s="18"/>
      <c r="BH45" s="18"/>
      <c r="BI45" s="18"/>
      <c r="BJ45" s="18"/>
      <c r="BK45" s="18"/>
      <c r="BL45" s="18"/>
      <c r="BM45" s="18"/>
      <c r="BN45" s="18"/>
      <c r="BO45" s="18"/>
      <c r="BP45" s="18"/>
      <c r="BQ45" s="18"/>
      <c r="BR45" s="18"/>
      <c r="BS45" s="37"/>
    </row>
    <row r="46" spans="1:71" ht="12.75" customHeight="1" x14ac:dyDescent="0.3">
      <c r="A46" s="32"/>
      <c r="B46" s="8"/>
      <c r="C46" s="8"/>
      <c r="D46" s="8"/>
      <c r="E46" s="8"/>
      <c r="F46" s="8"/>
      <c r="G46" s="8"/>
      <c r="H46" s="18"/>
      <c r="I46" s="18"/>
      <c r="J46" s="97"/>
      <c r="K46" s="97"/>
      <c r="L46" s="97"/>
      <c r="M46" s="97"/>
      <c r="N46" s="97"/>
      <c r="O46" s="18"/>
      <c r="P46" s="18"/>
      <c r="Q46" s="18"/>
      <c r="R46" s="18"/>
      <c r="S46" s="18"/>
      <c r="T46" s="18"/>
      <c r="U46" s="18"/>
      <c r="V46" s="18"/>
      <c r="W46" s="8"/>
      <c r="X46" s="8"/>
      <c r="Y46" s="8"/>
      <c r="Z46" s="8"/>
      <c r="AA46" s="8"/>
      <c r="AB46" s="8"/>
      <c r="AC46" s="8"/>
      <c r="AD46" s="8"/>
      <c r="AE46" s="18"/>
      <c r="AF46" s="18"/>
      <c r="AG46" s="18"/>
      <c r="AH46" s="18"/>
      <c r="AI46" s="18"/>
      <c r="AJ46" s="18"/>
      <c r="AK46" s="18"/>
      <c r="AL46" s="18"/>
      <c r="AM46" s="18"/>
      <c r="AN46" s="18"/>
      <c r="AO46" s="18"/>
      <c r="AP46" s="18"/>
      <c r="AQ46" s="43"/>
      <c r="AR46" s="18"/>
      <c r="AS46" s="18"/>
      <c r="AT46" s="18"/>
      <c r="AU46" s="18"/>
      <c r="AV46" s="18"/>
      <c r="AW46" s="18"/>
      <c r="AX46" s="43"/>
      <c r="AY46" s="59"/>
      <c r="AZ46" s="18"/>
      <c r="BA46" s="18"/>
      <c r="BB46" s="18"/>
      <c r="BC46" s="18"/>
      <c r="BD46" s="18"/>
      <c r="BE46" s="18"/>
      <c r="BF46" s="18"/>
      <c r="BG46" s="18"/>
      <c r="BH46" s="18"/>
      <c r="BI46" s="18"/>
      <c r="BJ46" s="18"/>
      <c r="BK46" s="18"/>
      <c r="BL46" s="18"/>
      <c r="BM46" s="18"/>
      <c r="BN46" s="18"/>
      <c r="BO46" s="18"/>
      <c r="BP46" s="18"/>
      <c r="BQ46" s="18"/>
      <c r="BR46" s="18"/>
      <c r="BS46" s="37"/>
    </row>
    <row r="47" spans="1:71" ht="12.75" customHeight="1" x14ac:dyDescent="0.3">
      <c r="A47" s="32"/>
      <c r="B47" s="8"/>
      <c r="C47" s="8"/>
      <c r="D47" s="8"/>
      <c r="E47" s="8"/>
      <c r="F47" s="8"/>
      <c r="G47" s="8"/>
      <c r="H47" s="18"/>
      <c r="I47" s="18"/>
      <c r="J47" s="60"/>
      <c r="K47" s="60"/>
      <c r="L47" s="60"/>
      <c r="M47" s="60"/>
      <c r="N47" s="60"/>
      <c r="O47" s="18"/>
      <c r="P47" s="18"/>
      <c r="Q47" s="18"/>
      <c r="R47" s="18"/>
      <c r="S47" s="18"/>
      <c r="T47" s="18"/>
      <c r="U47" s="18"/>
      <c r="V47" s="18"/>
      <c r="W47" s="8"/>
      <c r="X47" s="8"/>
      <c r="Y47" s="8"/>
      <c r="Z47" s="8"/>
      <c r="AA47" s="8"/>
      <c r="AB47" s="8"/>
      <c r="AC47" s="8"/>
      <c r="AD47" s="8"/>
      <c r="AE47" s="18"/>
      <c r="AF47" s="18"/>
      <c r="AG47" s="18"/>
      <c r="AH47" s="18"/>
      <c r="AI47" s="18"/>
      <c r="AJ47" s="18"/>
      <c r="AK47" s="18"/>
      <c r="AL47" s="18"/>
      <c r="AM47" s="18"/>
      <c r="AN47" s="18"/>
      <c r="AO47" s="18"/>
      <c r="AP47" s="18"/>
      <c r="AQ47" s="43"/>
      <c r="AR47" s="18"/>
      <c r="AS47" s="18"/>
      <c r="AT47" s="18"/>
      <c r="AU47" s="18"/>
      <c r="AV47" s="18"/>
      <c r="AW47" s="18"/>
      <c r="AX47" s="43"/>
      <c r="AY47" s="35"/>
      <c r="AZ47" s="8"/>
      <c r="BA47" s="8"/>
      <c r="BB47" s="8"/>
      <c r="BC47" s="8"/>
      <c r="BD47" s="51"/>
      <c r="BE47" s="43"/>
      <c r="BF47" s="43"/>
      <c r="BG47" s="43"/>
      <c r="BH47" s="43"/>
      <c r="BI47" s="43"/>
      <c r="BJ47" s="43"/>
      <c r="BK47" s="43"/>
      <c r="BL47" s="43"/>
      <c r="BM47" s="18"/>
      <c r="BN47" s="18"/>
      <c r="BO47" s="18"/>
      <c r="BP47" s="18"/>
      <c r="BQ47" s="18"/>
      <c r="BR47" s="18"/>
      <c r="BS47" s="37"/>
    </row>
    <row r="48" spans="1:71" ht="5.25" customHeight="1" thickBot="1" x14ac:dyDescent="0.35">
      <c r="B48" s="56"/>
      <c r="C48" s="57"/>
      <c r="D48" s="57"/>
      <c r="E48" s="57"/>
      <c r="F48" s="57"/>
      <c r="G48" s="57"/>
      <c r="H48" s="61"/>
      <c r="I48" s="61"/>
      <c r="J48" s="61"/>
      <c r="K48" s="61"/>
      <c r="L48" s="61"/>
      <c r="M48" s="61"/>
      <c r="N48" s="61"/>
      <c r="O48" s="61"/>
      <c r="P48" s="61"/>
      <c r="Q48" s="62"/>
      <c r="R48" s="62"/>
      <c r="S48" s="62"/>
      <c r="T48" s="62"/>
      <c r="U48" s="62"/>
      <c r="V48" s="62"/>
      <c r="W48" s="62"/>
      <c r="X48" s="62"/>
      <c r="Y48" s="62"/>
      <c r="Z48" s="62"/>
      <c r="AA48" s="62"/>
      <c r="AB48" s="62"/>
      <c r="AC48" s="62"/>
      <c r="AD48" s="62"/>
      <c r="AE48" s="62"/>
      <c r="AF48" s="62"/>
      <c r="AG48" s="62"/>
      <c r="AH48" s="62"/>
      <c r="AI48" s="62"/>
      <c r="AJ48" s="61"/>
      <c r="AK48" s="57"/>
      <c r="AL48" s="57"/>
      <c r="AM48" s="57"/>
      <c r="AN48" s="57"/>
      <c r="AO48" s="57"/>
      <c r="AP48" s="57"/>
      <c r="AQ48" s="63"/>
      <c r="AR48" s="63"/>
      <c r="AS48" s="61"/>
      <c r="AT48" s="61"/>
      <c r="AU48" s="61"/>
      <c r="AV48" s="61"/>
      <c r="AW48" s="61"/>
      <c r="AX48" s="61"/>
      <c r="AY48" s="57"/>
      <c r="AZ48" s="57"/>
      <c r="BA48" s="57"/>
      <c r="BB48" s="57"/>
      <c r="BC48" s="57"/>
      <c r="BD48" s="63"/>
      <c r="BE48" s="63"/>
      <c r="BF48" s="63"/>
      <c r="BG48" s="61"/>
      <c r="BH48" s="61"/>
      <c r="BI48" s="61"/>
      <c r="BJ48" s="61"/>
      <c r="BK48" s="61"/>
      <c r="BL48" s="61"/>
      <c r="BM48" s="61"/>
      <c r="BN48" s="61"/>
      <c r="BO48" s="61"/>
      <c r="BP48" s="61"/>
      <c r="BQ48" s="61"/>
      <c r="BR48" s="61"/>
      <c r="BS48" s="64"/>
    </row>
    <row r="49" spans="1:90" ht="0.75" customHeight="1" thickBot="1" x14ac:dyDescent="0.35">
      <c r="B49" s="65"/>
      <c r="C49" s="61"/>
      <c r="D49" s="61"/>
      <c r="E49" s="61"/>
      <c r="F49" s="61"/>
      <c r="G49" s="61"/>
      <c r="H49" s="61"/>
      <c r="I49" s="61"/>
      <c r="J49" s="61"/>
      <c r="K49" s="61"/>
      <c r="L49" s="61"/>
      <c r="M49" s="61"/>
      <c r="N49" s="61"/>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c r="AR49" s="61"/>
      <c r="AS49" s="61"/>
      <c r="AT49" s="61"/>
      <c r="AU49" s="61"/>
      <c r="AV49" s="61"/>
      <c r="AW49" s="61"/>
      <c r="AX49" s="61"/>
      <c r="AY49" s="61"/>
      <c r="AZ49" s="61"/>
      <c r="BA49" s="61"/>
      <c r="BB49" s="61"/>
      <c r="BC49" s="61"/>
      <c r="BD49" s="61"/>
      <c r="BE49" s="61"/>
      <c r="BF49" s="61"/>
      <c r="BG49" s="61"/>
      <c r="BH49" s="61"/>
      <c r="BI49" s="61"/>
      <c r="BJ49" s="61"/>
      <c r="BK49" s="61"/>
      <c r="BL49" s="61"/>
      <c r="BM49" s="61"/>
      <c r="BN49" s="61"/>
      <c r="BO49" s="61"/>
      <c r="BP49" s="61"/>
      <c r="BQ49" s="61"/>
      <c r="BR49" s="61"/>
      <c r="BS49" s="66"/>
    </row>
    <row r="50" spans="1:90" ht="3" customHeight="1" thickBot="1" x14ac:dyDescent="0.35">
      <c r="B50" s="67"/>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68"/>
    </row>
    <row r="51" spans="1:90" ht="15" customHeight="1" thickBot="1" x14ac:dyDescent="0.35">
      <c r="A51" s="32"/>
      <c r="B51" s="18"/>
      <c r="C51" s="18"/>
      <c r="D51" s="18"/>
      <c r="E51" s="18"/>
      <c r="F51" s="18"/>
      <c r="G51" s="18"/>
      <c r="H51" s="18"/>
      <c r="I51" s="18"/>
      <c r="J51" s="18"/>
      <c r="K51" s="18"/>
      <c r="L51" s="18"/>
      <c r="M51" s="18"/>
      <c r="N51" s="18"/>
      <c r="O51" s="18"/>
      <c r="P51" s="18"/>
      <c r="Q51" s="18"/>
      <c r="R51" s="18"/>
      <c r="S51" s="18"/>
      <c r="T51" s="18"/>
      <c r="U51" s="18"/>
      <c r="V51" s="18"/>
      <c r="W51" s="18"/>
      <c r="X51" s="106" t="s">
        <v>75</v>
      </c>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8"/>
      <c r="AX51" s="18"/>
      <c r="AY51" s="18"/>
      <c r="AZ51" s="18"/>
      <c r="BA51" s="18"/>
      <c r="BB51" s="18"/>
      <c r="BC51" s="18"/>
      <c r="BD51" s="18"/>
      <c r="BE51" s="18"/>
      <c r="BF51" s="18"/>
      <c r="BG51" s="18"/>
      <c r="BH51" s="18"/>
      <c r="BI51" s="18"/>
      <c r="BJ51" s="18"/>
      <c r="BK51" s="18"/>
      <c r="BL51" s="18"/>
      <c r="BM51" s="18"/>
      <c r="BN51" s="18"/>
      <c r="BO51" s="18"/>
      <c r="BP51" s="18"/>
      <c r="BQ51" s="18"/>
      <c r="BR51" s="18"/>
      <c r="BS51" s="37"/>
      <c r="BU51" s="69"/>
    </row>
    <row r="52" spans="1:90" ht="6" customHeight="1" x14ac:dyDescent="0.3">
      <c r="A52" s="32"/>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37"/>
      <c r="BU52" s="69"/>
    </row>
    <row r="53" spans="1:90" ht="14.4" customHeight="1" x14ac:dyDescent="0.3">
      <c r="A53" s="32"/>
      <c r="B53" s="137" t="s">
        <v>76</v>
      </c>
      <c r="C53" s="114" t="str">
        <f>TEXT(INT(LEFT(AS9,2))+1,"0") &amp; " 
FEELT!TE1
Tópicos Especiais I"</f>
        <v>40 
FEELT!TE1
Tópicos Especiais I</v>
      </c>
      <c r="D53" s="94"/>
      <c r="E53" s="94"/>
      <c r="F53" s="94"/>
      <c r="G53" s="95"/>
      <c r="H53" s="18"/>
      <c r="I53" s="137" t="s">
        <v>76</v>
      </c>
      <c r="J53" s="114" t="str">
        <f>TEXT(INT(LEFT(C53,2))+1,"0") &amp; " 
FEELT!TE2
Tópicos Especiais II"</f>
        <v>41 
FEELT!TE2
Tópicos Especiais II</v>
      </c>
      <c r="K53" s="115"/>
      <c r="L53" s="94"/>
      <c r="M53" s="94"/>
      <c r="N53" s="95"/>
      <c r="O53" s="18"/>
      <c r="P53" s="137" t="s">
        <v>76</v>
      </c>
      <c r="Q53" s="114" t="str">
        <f>TEXT(INT(LEFT(J53,2))+1,"0") &amp; " 
FEELT!TE3
Tópicos Especiais  III"</f>
        <v>42 
FEELT!TE3
Tópicos Especiais  III</v>
      </c>
      <c r="R53" s="115"/>
      <c r="S53" s="94"/>
      <c r="T53" s="94"/>
      <c r="U53" s="95"/>
      <c r="V53" s="70"/>
      <c r="W53" s="137" t="s">
        <v>76</v>
      </c>
      <c r="X53" s="114" t="str">
        <f>TEXT(INT(LEFT(Q53,2))+1,"0") &amp; " 
FEELT!TE4
 Tópicos Especiais IV"</f>
        <v>43 
FEELT!TE4
 Tópicos Especiais IV</v>
      </c>
      <c r="Y53" s="115"/>
      <c r="Z53" s="94"/>
      <c r="AA53" s="94"/>
      <c r="AB53" s="95"/>
      <c r="AC53" s="1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37"/>
      <c r="BU53" s="69"/>
    </row>
    <row r="54" spans="1:90" x14ac:dyDescent="0.3">
      <c r="A54" s="32"/>
      <c r="B54" s="98"/>
      <c r="C54" s="96"/>
      <c r="D54" s="97"/>
      <c r="E54" s="97"/>
      <c r="F54" s="97"/>
      <c r="G54" s="98"/>
      <c r="H54" s="18"/>
      <c r="I54" s="98"/>
      <c r="J54" s="96"/>
      <c r="K54" s="116"/>
      <c r="L54" s="97"/>
      <c r="M54" s="97"/>
      <c r="N54" s="98"/>
      <c r="O54" s="18"/>
      <c r="P54" s="98"/>
      <c r="Q54" s="96"/>
      <c r="R54" s="116"/>
      <c r="S54" s="97"/>
      <c r="T54" s="97"/>
      <c r="U54" s="98"/>
      <c r="V54" s="70"/>
      <c r="W54" s="98"/>
      <c r="X54" s="96"/>
      <c r="Y54" s="116"/>
      <c r="Z54" s="97"/>
      <c r="AA54" s="97"/>
      <c r="AB54" s="98"/>
      <c r="AC54" s="1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37"/>
      <c r="BU54" s="69"/>
    </row>
    <row r="55" spans="1:90" ht="26.25" customHeight="1" x14ac:dyDescent="0.3">
      <c r="A55" s="32"/>
      <c r="B55" s="101"/>
      <c r="C55" s="99"/>
      <c r="D55" s="100"/>
      <c r="E55" s="100"/>
      <c r="F55" s="100"/>
      <c r="G55" s="101"/>
      <c r="H55" s="18"/>
      <c r="I55" s="101"/>
      <c r="J55" s="99"/>
      <c r="K55" s="100"/>
      <c r="L55" s="100"/>
      <c r="M55" s="100"/>
      <c r="N55" s="101"/>
      <c r="O55" s="18"/>
      <c r="P55" s="101"/>
      <c r="Q55" s="99"/>
      <c r="R55" s="100"/>
      <c r="S55" s="100"/>
      <c r="T55" s="100"/>
      <c r="U55" s="101"/>
      <c r="V55" s="70"/>
      <c r="W55" s="101"/>
      <c r="X55" s="99"/>
      <c r="Y55" s="100"/>
      <c r="Z55" s="100"/>
      <c r="AA55" s="100"/>
      <c r="AB55" s="101"/>
      <c r="AC55" s="1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37"/>
      <c r="BU55" s="69"/>
    </row>
    <row r="56" spans="1:90" x14ac:dyDescent="0.3">
      <c r="A56" s="32"/>
      <c r="B56" s="71"/>
      <c r="C56" s="25">
        <v>60</v>
      </c>
      <c r="D56" s="25">
        <v>0</v>
      </c>
      <c r="E56" s="25">
        <v>0</v>
      </c>
      <c r="F56" s="25">
        <v>0</v>
      </c>
      <c r="G56" s="25">
        <f>C56+E56</f>
        <v>60</v>
      </c>
      <c r="H56" s="18"/>
      <c r="I56" s="71"/>
      <c r="J56" s="25">
        <v>60</v>
      </c>
      <c r="K56" s="25">
        <v>0</v>
      </c>
      <c r="L56" s="25">
        <v>0</v>
      </c>
      <c r="M56" s="25">
        <v>0</v>
      </c>
      <c r="N56" s="25">
        <f>J56+L56</f>
        <v>60</v>
      </c>
      <c r="O56" s="18"/>
      <c r="P56" s="18"/>
      <c r="Q56" s="25">
        <v>60</v>
      </c>
      <c r="R56" s="25">
        <v>0</v>
      </c>
      <c r="S56" s="25">
        <v>0</v>
      </c>
      <c r="T56" s="25">
        <v>0</v>
      </c>
      <c r="U56" s="25">
        <f>Q56+S56</f>
        <v>60</v>
      </c>
      <c r="V56" s="70"/>
      <c r="W56" s="70"/>
      <c r="X56" s="25">
        <v>60</v>
      </c>
      <c r="Y56" s="25">
        <v>0</v>
      </c>
      <c r="Z56" s="25">
        <v>0</v>
      </c>
      <c r="AA56" s="25">
        <v>0</v>
      </c>
      <c r="AB56" s="25">
        <f>X56+Z56</f>
        <v>60</v>
      </c>
      <c r="AC56" s="1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37"/>
      <c r="BU56" s="69"/>
    </row>
    <row r="57" spans="1:90" ht="4.5" customHeight="1" x14ac:dyDescent="0.3">
      <c r="B57" s="17"/>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37"/>
      <c r="BU57" s="69"/>
    </row>
    <row r="58" spans="1:90" ht="14.4" customHeight="1" x14ac:dyDescent="0.3">
      <c r="A58" s="32"/>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19"/>
      <c r="BU58" s="69"/>
    </row>
    <row r="59" spans="1:90" x14ac:dyDescent="0.3">
      <c r="A59" s="32"/>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8"/>
      <c r="BS59" s="19"/>
      <c r="BU59" s="69"/>
    </row>
    <row r="60" spans="1:90" ht="27.75" customHeight="1" x14ac:dyDescent="0.3">
      <c r="A60" s="32"/>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8"/>
      <c r="BR60" s="8"/>
      <c r="BS60" s="19"/>
      <c r="BU60" s="69"/>
    </row>
    <row r="61" spans="1:90" x14ac:dyDescent="0.3">
      <c r="A61" s="32"/>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c r="BR61" s="8"/>
      <c r="BS61" s="19"/>
      <c r="BU61" s="69"/>
    </row>
    <row r="62" spans="1:90" ht="4.5" customHeight="1" thickBot="1" x14ac:dyDescent="0.35">
      <c r="B62" s="72"/>
      <c r="C62" s="73"/>
      <c r="D62" s="73"/>
      <c r="E62" s="73"/>
      <c r="F62" s="73"/>
      <c r="G62" s="73"/>
      <c r="H62" s="61"/>
      <c r="I62" s="61"/>
      <c r="J62" s="73"/>
      <c r="K62" s="73"/>
      <c r="L62" s="73"/>
      <c r="M62" s="73"/>
      <c r="N62" s="73"/>
      <c r="O62" s="61"/>
      <c r="P62" s="61"/>
      <c r="Q62" s="73"/>
      <c r="R62" s="73"/>
      <c r="S62" s="73"/>
      <c r="T62" s="73"/>
      <c r="U62" s="73"/>
      <c r="V62" s="61"/>
      <c r="W62" s="61"/>
      <c r="X62" s="73"/>
      <c r="Y62" s="73"/>
      <c r="Z62" s="73"/>
      <c r="AA62" s="73"/>
      <c r="AB62" s="73"/>
      <c r="AC62" s="61"/>
      <c r="AD62" s="61"/>
      <c r="AE62" s="73"/>
      <c r="AF62" s="73"/>
      <c r="AG62" s="73"/>
      <c r="AH62" s="73"/>
      <c r="AI62" s="73"/>
      <c r="AJ62" s="61"/>
      <c r="AK62" s="61"/>
      <c r="AL62" s="73"/>
      <c r="AM62" s="73"/>
      <c r="AN62" s="73"/>
      <c r="AO62" s="73"/>
      <c r="AP62" s="73"/>
      <c r="AQ62" s="61"/>
      <c r="AR62" s="61"/>
      <c r="AS62" s="74"/>
      <c r="AT62" s="74"/>
      <c r="AU62" s="74"/>
      <c r="AV62" s="74"/>
      <c r="AW62" s="74"/>
      <c r="AX62" s="74"/>
      <c r="AY62" s="74"/>
      <c r="AZ62" s="74"/>
      <c r="BA62" s="74"/>
      <c r="BB62" s="74"/>
      <c r="BC62" s="74"/>
      <c r="BD62" s="74"/>
      <c r="BE62" s="61"/>
      <c r="BF62" s="57"/>
      <c r="BG62" s="57"/>
      <c r="BH62" s="57"/>
      <c r="BI62" s="57"/>
      <c r="BJ62" s="57"/>
      <c r="BK62" s="57"/>
      <c r="BL62" s="57"/>
      <c r="BM62" s="57"/>
      <c r="BN62" s="57"/>
      <c r="BO62" s="57"/>
      <c r="BP62" s="57"/>
      <c r="BQ62" s="57"/>
      <c r="BR62" s="57"/>
      <c r="BS62" s="58"/>
      <c r="BU62" s="69"/>
    </row>
    <row r="63" spans="1:90" s="2" customFormat="1" ht="6" customHeight="1" x14ac:dyDescent="0.3">
      <c r="A63" s="1"/>
      <c r="B63" s="1"/>
      <c r="L63" s="1"/>
      <c r="M63" s="1"/>
      <c r="N63" s="1"/>
      <c r="O63" s="1"/>
      <c r="P63" s="18"/>
      <c r="Q63" s="18"/>
      <c r="R63" s="18"/>
      <c r="S63" s="18"/>
      <c r="T63" s="18"/>
      <c r="U63" s="18"/>
      <c r="V63" s="1"/>
      <c r="W63" s="1"/>
      <c r="X63" s="18"/>
      <c r="Y63" s="18"/>
      <c r="Z63" s="18"/>
      <c r="AA63" s="18"/>
      <c r="AB63" s="18"/>
      <c r="AC63" s="18"/>
      <c r="AD63" s="18"/>
      <c r="AE63" s="18"/>
      <c r="AF63" s="18"/>
      <c r="AG63" s="18"/>
      <c r="AH63" s="18"/>
      <c r="AI63" s="18"/>
      <c r="AJ63" s="1"/>
      <c r="AK63" s="18"/>
      <c r="AL63" s="18"/>
      <c r="AM63" s="18"/>
      <c r="AN63" s="18"/>
      <c r="AO63" s="18"/>
      <c r="AP63" s="18"/>
      <c r="AQ63" s="1"/>
      <c r="AR63" s="18"/>
      <c r="AS63" s="18"/>
      <c r="AT63" s="18"/>
      <c r="AU63" s="18"/>
      <c r="AV63" s="18"/>
      <c r="AW63" s="18"/>
      <c r="AX63" s="1"/>
      <c r="AY63" s="18"/>
      <c r="AZ63" s="18"/>
      <c r="BA63" s="18"/>
      <c r="BB63" s="18"/>
      <c r="BC63" s="18"/>
      <c r="BD63" s="18"/>
      <c r="BE63" s="1"/>
      <c r="BF63" s="18"/>
      <c r="BG63" s="18"/>
      <c r="BH63" s="18"/>
      <c r="BI63" s="18"/>
      <c r="BJ63" s="18"/>
      <c r="BK63" s="18"/>
      <c r="BL63" s="1"/>
      <c r="BM63" s="1"/>
      <c r="BN63" s="1"/>
      <c r="BO63" s="1"/>
      <c r="BP63" s="1"/>
      <c r="BQ63" s="1"/>
      <c r="BR63" s="1"/>
      <c r="BS63" s="1"/>
      <c r="BU63" s="1"/>
      <c r="BV63" s="1"/>
      <c r="BW63" s="1"/>
      <c r="BX63" s="1"/>
      <c r="BY63" s="1"/>
      <c r="BZ63" s="1"/>
      <c r="CA63" s="1"/>
      <c r="CB63" s="1"/>
      <c r="CC63" s="1"/>
      <c r="CD63" s="1"/>
      <c r="CE63" s="1"/>
      <c r="CF63" s="1"/>
      <c r="CG63" s="1"/>
      <c r="CH63" s="1"/>
      <c r="CI63" s="1"/>
      <c r="CJ63" s="1"/>
      <c r="CK63" s="1"/>
      <c r="CL63" s="1"/>
    </row>
    <row r="64" spans="1:90" s="2" customFormat="1" x14ac:dyDescent="0.3">
      <c r="A64" s="1"/>
      <c r="B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U64" s="1"/>
      <c r="BV64" s="1"/>
      <c r="BW64" s="1"/>
      <c r="BX64" s="1"/>
      <c r="BY64" s="1"/>
      <c r="BZ64" s="1"/>
      <c r="CA64" s="1"/>
      <c r="CB64" s="1"/>
      <c r="CC64" s="1"/>
      <c r="CD64" s="1"/>
      <c r="CE64" s="1"/>
      <c r="CF64" s="1"/>
      <c r="CG64" s="1"/>
      <c r="CH64" s="1"/>
      <c r="CI64" s="1"/>
      <c r="CJ64" s="1"/>
      <c r="CK64" s="1"/>
      <c r="CL64" s="1"/>
    </row>
    <row r="68" spans="1:90" s="2" customFormat="1" x14ac:dyDescent="0.3">
      <c r="A68" s="1"/>
      <c r="B68" s="1"/>
      <c r="C68" s="1"/>
      <c r="D68" s="1"/>
      <c r="E68" s="1"/>
      <c r="F68" s="1"/>
      <c r="G68" s="1"/>
      <c r="H68" s="1"/>
      <c r="I68" s="1"/>
      <c r="J68" s="1"/>
      <c r="K68" s="1"/>
      <c r="L68" s="1"/>
      <c r="M68" s="1"/>
      <c r="N68" s="1"/>
      <c r="O68" s="1"/>
      <c r="P68" s="18"/>
      <c r="Q68" s="18"/>
      <c r="R68" s="18"/>
      <c r="S68" s="18"/>
      <c r="T68" s="18"/>
      <c r="U68" s="18"/>
      <c r="V68" s="1"/>
      <c r="W68" s="1"/>
      <c r="X68" s="18"/>
      <c r="Y68" s="18"/>
      <c r="Z68" s="18"/>
      <c r="AA68" s="18"/>
      <c r="AB68" s="18"/>
      <c r="AC68" s="18"/>
      <c r="AD68" s="18"/>
      <c r="AE68" s="18"/>
      <c r="AF68" s="18"/>
      <c r="AG68" s="18"/>
      <c r="AH68" s="18"/>
      <c r="AI68" s="18"/>
      <c r="AJ68" s="1"/>
      <c r="AK68" s="18"/>
      <c r="AL68" s="18"/>
      <c r="AM68" s="18"/>
      <c r="AN68" s="18"/>
      <c r="AO68" s="18"/>
      <c r="AP68" s="18"/>
      <c r="AQ68" s="1"/>
      <c r="AR68" s="18"/>
      <c r="AS68" s="18"/>
      <c r="AT68" s="18"/>
      <c r="AU68" s="18"/>
      <c r="AV68" s="18"/>
      <c r="AW68" s="18"/>
      <c r="AX68" s="1"/>
      <c r="AY68" s="18"/>
      <c r="AZ68" s="18"/>
      <c r="BA68" s="18"/>
      <c r="BB68" s="18"/>
      <c r="BC68" s="18"/>
      <c r="BD68" s="18"/>
      <c r="BE68" s="1"/>
      <c r="BF68" s="18"/>
      <c r="BG68" s="18"/>
      <c r="BH68" s="18"/>
      <c r="BI68" s="18"/>
      <c r="BJ68" s="18"/>
      <c r="BK68" s="18"/>
      <c r="BL68" s="1"/>
      <c r="BM68" s="1"/>
      <c r="BN68" s="1"/>
      <c r="BO68" s="1"/>
      <c r="BP68" s="1"/>
      <c r="BQ68" s="1"/>
      <c r="BR68" s="1"/>
      <c r="BS68" s="1"/>
      <c r="BU68" s="1"/>
      <c r="BV68" s="1"/>
      <c r="BW68" s="1"/>
      <c r="BX68" s="1"/>
      <c r="BY68" s="1"/>
      <c r="BZ68" s="1"/>
      <c r="CA68" s="1"/>
      <c r="CB68" s="1"/>
      <c r="CC68" s="1"/>
      <c r="CD68" s="1"/>
      <c r="CE68" s="1"/>
      <c r="CF68" s="1"/>
      <c r="CG68" s="1"/>
      <c r="CH68" s="1"/>
      <c r="CI68" s="1"/>
      <c r="CJ68" s="1"/>
      <c r="CK68" s="1"/>
      <c r="CL68" s="1"/>
    </row>
    <row r="73" spans="1:90" s="2" customFormat="1" x14ac:dyDescent="0.3">
      <c r="A73" s="1"/>
      <c r="B73" s="1"/>
      <c r="C73" s="1"/>
      <c r="D73" s="1"/>
      <c r="E73" s="1"/>
      <c r="F73" s="1"/>
      <c r="G73" s="1"/>
      <c r="H73" s="1"/>
      <c r="I73" s="1"/>
      <c r="J73" s="1"/>
      <c r="K73" s="1"/>
      <c r="L73" s="1"/>
      <c r="M73" s="1"/>
      <c r="N73" s="1"/>
      <c r="O73" s="1"/>
      <c r="P73" s="18"/>
      <c r="Q73" s="18"/>
      <c r="R73" s="18"/>
      <c r="S73" s="18"/>
      <c r="T73" s="18"/>
      <c r="U73" s="18"/>
      <c r="V73" s="1"/>
      <c r="W73" s="1"/>
      <c r="X73" s="18"/>
      <c r="Y73" s="18"/>
      <c r="Z73" s="18"/>
      <c r="AA73" s="18"/>
      <c r="AB73" s="18"/>
      <c r="AC73" s="18"/>
      <c r="AD73" s="18"/>
      <c r="AE73" s="18"/>
      <c r="AF73" s="18"/>
      <c r="AG73" s="18"/>
      <c r="AH73" s="18"/>
      <c r="AI73" s="18"/>
      <c r="AJ73" s="1"/>
      <c r="AK73" s="18"/>
      <c r="AL73" s="18"/>
      <c r="AM73" s="18"/>
      <c r="AN73" s="18"/>
      <c r="AO73" s="18"/>
      <c r="AP73" s="18"/>
      <c r="AQ73" s="1"/>
      <c r="AR73" s="18"/>
      <c r="AS73" s="18"/>
      <c r="AT73" s="18"/>
      <c r="AU73" s="18"/>
      <c r="AV73" s="18"/>
      <c r="AW73" s="18"/>
      <c r="AX73" s="1"/>
      <c r="AY73" s="1"/>
      <c r="AZ73" s="1"/>
      <c r="BA73" s="1"/>
      <c r="BB73" s="1"/>
      <c r="BC73" s="1"/>
      <c r="BD73" s="1"/>
      <c r="BE73" s="1"/>
      <c r="BF73" s="18"/>
      <c r="BG73" s="18"/>
      <c r="BH73" s="18"/>
      <c r="BI73" s="18"/>
      <c r="BJ73" s="18"/>
      <c r="BK73" s="18"/>
      <c r="BL73" s="1"/>
      <c r="BM73" s="1"/>
      <c r="BN73" s="1"/>
      <c r="BO73" s="1"/>
      <c r="BP73" s="1"/>
      <c r="BQ73" s="1"/>
      <c r="BR73" s="1"/>
      <c r="BS73" s="1"/>
      <c r="BU73" s="1"/>
      <c r="BV73" s="1"/>
      <c r="BW73" s="1"/>
      <c r="BX73" s="1"/>
      <c r="BY73" s="1"/>
      <c r="BZ73" s="1"/>
      <c r="CA73" s="1"/>
      <c r="CB73" s="1"/>
      <c r="CC73" s="1"/>
      <c r="CD73" s="1"/>
      <c r="CE73" s="1"/>
      <c r="CF73" s="1"/>
      <c r="CG73" s="1"/>
      <c r="CH73" s="1"/>
      <c r="CI73" s="1"/>
      <c r="CJ73" s="1"/>
      <c r="CK73" s="1"/>
      <c r="CL73" s="1"/>
    </row>
    <row r="78" spans="1:90" x14ac:dyDescent="0.3">
      <c r="P78" s="18"/>
      <c r="Q78" s="18"/>
      <c r="R78" s="18"/>
      <c r="S78" s="18"/>
      <c r="T78" s="18"/>
      <c r="U78" s="18"/>
      <c r="X78" s="18"/>
      <c r="Y78" s="18"/>
      <c r="Z78" s="18"/>
      <c r="AA78" s="18"/>
      <c r="AB78" s="18"/>
      <c r="AC78" s="18"/>
      <c r="AD78" s="18"/>
      <c r="AE78" s="18"/>
      <c r="AF78" s="18"/>
      <c r="AG78" s="18"/>
      <c r="AH78" s="18"/>
      <c r="AI78" s="18"/>
      <c r="AK78" s="18"/>
      <c r="AL78" s="18"/>
      <c r="AM78" s="18"/>
      <c r="AN78" s="18"/>
      <c r="AO78" s="18"/>
      <c r="AP78" s="18"/>
      <c r="AR78" s="18"/>
      <c r="AS78" s="18"/>
      <c r="AT78" s="18"/>
      <c r="AU78" s="18"/>
      <c r="AV78" s="18"/>
      <c r="AW78" s="18"/>
    </row>
    <row r="83" spans="24:42" x14ac:dyDescent="0.3">
      <c r="X83" s="18"/>
      <c r="Y83" s="18"/>
      <c r="Z83" s="18"/>
      <c r="AA83" s="18"/>
      <c r="AB83" s="18"/>
      <c r="AC83" s="18"/>
      <c r="AK83" s="18"/>
      <c r="AL83" s="18"/>
      <c r="AM83" s="18"/>
      <c r="AN83" s="18"/>
      <c r="AO83" s="18"/>
      <c r="AP83" s="18"/>
    </row>
    <row r="88" spans="24:42" x14ac:dyDescent="0.3">
      <c r="X88" s="18"/>
      <c r="Y88" s="18"/>
      <c r="Z88" s="18"/>
      <c r="AA88" s="18"/>
      <c r="AB88" s="18"/>
      <c r="AC88" s="18"/>
    </row>
    <row r="89" spans="24:42" x14ac:dyDescent="0.3">
      <c r="X89" s="18"/>
      <c r="Y89" s="18"/>
      <c r="Z89" s="18"/>
      <c r="AA89" s="18"/>
      <c r="AB89" s="18"/>
      <c r="AC89" s="18"/>
    </row>
  </sheetData>
  <mergeCells count="82">
    <mergeCell ref="B2:BS2"/>
    <mergeCell ref="Q24:U26"/>
    <mergeCell ref="AG5:AG7"/>
    <mergeCell ref="AE24:AI26"/>
    <mergeCell ref="B53:B55"/>
    <mergeCell ref="Q5:Q7"/>
    <mergeCell ref="C9:G11"/>
    <mergeCell ref="AE4:AI4"/>
    <mergeCell ref="Q29:U31"/>
    <mergeCell ref="Q53:U55"/>
    <mergeCell ref="D5:D7"/>
    <mergeCell ref="K5:K7"/>
    <mergeCell ref="X34:AB36"/>
    <mergeCell ref="AL39:AP41"/>
    <mergeCell ref="AS9:AW11"/>
    <mergeCell ref="AK39:AK41"/>
    <mergeCell ref="C53:G55"/>
    <mergeCell ref="J44:N46"/>
    <mergeCell ref="J34:N36"/>
    <mergeCell ref="S5:S7"/>
    <mergeCell ref="X19:AB21"/>
    <mergeCell ref="J53:N55"/>
    <mergeCell ref="Y5:Y7"/>
    <mergeCell ref="Q14:U16"/>
    <mergeCell ref="E5:E7"/>
    <mergeCell ref="J9:N11"/>
    <mergeCell ref="P53:P55"/>
    <mergeCell ref="I53:I55"/>
    <mergeCell ref="W53:W55"/>
    <mergeCell ref="C34:G36"/>
    <mergeCell ref="Q34:U36"/>
    <mergeCell ref="J29:N31"/>
    <mergeCell ref="X53:AB55"/>
    <mergeCell ref="AN5:AN7"/>
    <mergeCell ref="AL24:AP26"/>
    <mergeCell ref="AE29:AI31"/>
    <mergeCell ref="AL9:AP11"/>
    <mergeCell ref="AE19:AI21"/>
    <mergeCell ref="AE34:AI36"/>
    <mergeCell ref="AE14:AI16"/>
    <mergeCell ref="AK34:AK36"/>
    <mergeCell ref="X29:AB31"/>
    <mergeCell ref="X14:AB16"/>
    <mergeCell ref="C4:G4"/>
    <mergeCell ref="C14:G16"/>
    <mergeCell ref="C29:G31"/>
    <mergeCell ref="C24:G26"/>
    <mergeCell ref="X9:AB11"/>
    <mergeCell ref="Q4:U4"/>
    <mergeCell ref="J5:J7"/>
    <mergeCell ref="L5:L7"/>
    <mergeCell ref="C5:C7"/>
    <mergeCell ref="C19:G21"/>
    <mergeCell ref="X24:AB26"/>
    <mergeCell ref="Q19:U21"/>
    <mergeCell ref="Q9:U11"/>
    <mergeCell ref="J4:N4"/>
    <mergeCell ref="R5:R7"/>
    <mergeCell ref="J14:N16"/>
    <mergeCell ref="J19:N21"/>
    <mergeCell ref="X5:X7"/>
    <mergeCell ref="J24:N26"/>
    <mergeCell ref="Z5:Z7"/>
    <mergeCell ref="X4:AB4"/>
    <mergeCell ref="F5:F7"/>
    <mergeCell ref="M5:M7"/>
    <mergeCell ref="T5:T7"/>
    <mergeCell ref="AA5:AA7"/>
    <mergeCell ref="AH5:AH7"/>
    <mergeCell ref="AE5:AE7"/>
    <mergeCell ref="AF5:AF7"/>
    <mergeCell ref="AL4:AP4"/>
    <mergeCell ref="AL34:AP36"/>
    <mergeCell ref="AM5:AM7"/>
    <mergeCell ref="AL14:AP16"/>
    <mergeCell ref="X51:AW51"/>
    <mergeCell ref="AL29:AP31"/>
    <mergeCell ref="AE39:AI41"/>
    <mergeCell ref="AL19:AP21"/>
    <mergeCell ref="AO5:AO7"/>
    <mergeCell ref="AL5:AL7"/>
    <mergeCell ref="AE9:AI11"/>
  </mergeCells>
  <printOptions horizontalCentered="1"/>
  <pageMargins left="0.23622047244094491" right="0.23622047244094491" top="6.0778985507246377E-2" bottom="0.74803149606299213" header="0.31496062992125978" footer="0.31496062992125978"/>
  <pageSetup paperSize="9" scale="64" orientation="landscape" horizontalDpi="360" verticalDpi="360" r:id="rId1"/>
  <rowBreaks count="1" manualBreakCount="1">
    <brk id="4" max="71" man="1"/>
  </rowBreaks>
  <colBreaks count="1" manualBreakCount="1">
    <brk id="6" max="62" man="1"/>
  </colBreaks>
  <drawing r:id="rId2"/>
  <legacyDrawing r:id="rId3"/>
  <mc:AlternateContent xmlns:mc="http://schemas.openxmlformats.org/markup-compatibility/2006">
    <mc:Choice Requires="x14">
      <controls>
        <mc:AlternateContent xmlns:mc="http://schemas.openxmlformats.org/markup-compatibility/2006">
          <mc:Choice Requires="x14">
            <control shapeId="1124" r:id="rId4" name="Button 100">
              <controlPr defaultSize="0" print="0" autoFill="0" autoPict="0" macro="[0]!Diagrama5.btnAtualizarComponentes">
                <anchor moveWithCells="1" sizeWithCells="1">
                  <from>
                    <xdr:col>7</xdr:col>
                    <xdr:colOff>15240</xdr:colOff>
                    <xdr:row>1</xdr:row>
                    <xdr:rowOff>68580</xdr:rowOff>
                  </from>
                  <to>
                    <xdr:col>16</xdr:col>
                    <xdr:colOff>129540</xdr:colOff>
                    <xdr:row>1</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dimension ref="A1:T44"/>
  <sheetViews>
    <sheetView workbookViewId="0">
      <selection activeCell="F9" sqref="F9"/>
    </sheetView>
  </sheetViews>
  <sheetFormatPr defaultColWidth="9.109375" defaultRowHeight="14.4" x14ac:dyDescent="0.3"/>
  <cols>
    <col min="1" max="1" width="12.44140625" style="75" bestFit="1" customWidth="1"/>
    <col min="2" max="2" width="54.6640625" style="75" bestFit="1" customWidth="1"/>
    <col min="3" max="3" width="10.109375" style="75" bestFit="1" customWidth="1"/>
    <col min="4" max="4" width="3.6640625" style="75" bestFit="1" customWidth="1"/>
    <col min="5" max="5" width="4.109375" style="75" customWidth="1"/>
    <col min="6" max="7" width="4.109375" style="75" bestFit="1" customWidth="1"/>
    <col min="8" max="8" width="4" style="75" bestFit="1" customWidth="1"/>
    <col min="9" max="9" width="23" style="75" customWidth="1"/>
    <col min="10" max="10" width="12.109375" style="75" bestFit="1" customWidth="1"/>
    <col min="11" max="11" width="21.88671875" style="75" bestFit="1" customWidth="1"/>
    <col min="12" max="12" width="23.77734375" style="75" bestFit="1" customWidth="1"/>
    <col min="13" max="13" width="14.44140625" style="75" customWidth="1"/>
    <col min="14" max="14" width="11.21875" style="75" customWidth="1"/>
    <col min="15" max="15" width="9.88671875" style="75" customWidth="1"/>
    <col min="16" max="16" width="17.44140625" style="75" customWidth="1"/>
    <col min="17" max="17" width="13.6640625" style="75" customWidth="1"/>
    <col min="18" max="18" width="12.109375" style="75" bestFit="1" customWidth="1"/>
    <col min="19" max="20" width="28.44140625" style="75" customWidth="1"/>
    <col min="21" max="16384" width="9.109375" style="75"/>
  </cols>
  <sheetData>
    <row r="1" spans="1:20" s="76" customFormat="1" x14ac:dyDescent="0.3">
      <c r="A1" s="77" t="s">
        <v>0</v>
      </c>
      <c r="B1" s="77" t="s">
        <v>1</v>
      </c>
      <c r="C1" s="77" t="s">
        <v>3</v>
      </c>
      <c r="D1" s="77" t="s">
        <v>6</v>
      </c>
      <c r="E1" s="77" t="s">
        <v>7</v>
      </c>
      <c r="F1" s="77" t="s">
        <v>8</v>
      </c>
      <c r="G1" s="77" t="s">
        <v>9</v>
      </c>
      <c r="H1" s="77" t="s">
        <v>10</v>
      </c>
      <c r="I1" s="77" t="s">
        <v>2</v>
      </c>
      <c r="J1" s="77" t="s">
        <v>5</v>
      </c>
      <c r="K1" s="77" t="s">
        <v>13</v>
      </c>
      <c r="L1" s="77" t="s">
        <v>14</v>
      </c>
      <c r="M1" s="77" t="s">
        <v>11</v>
      </c>
      <c r="N1" s="77" t="s">
        <v>15</v>
      </c>
      <c r="O1" s="77" t="s">
        <v>16</v>
      </c>
      <c r="P1" s="77" t="s">
        <v>18</v>
      </c>
      <c r="Q1" s="77" t="s">
        <v>17</v>
      </c>
      <c r="R1" s="77" t="s">
        <v>4</v>
      </c>
      <c r="S1" s="77" t="s">
        <v>12</v>
      </c>
      <c r="T1"/>
    </row>
    <row r="2" spans="1:20" x14ac:dyDescent="0.3">
      <c r="A2" s="75" t="s">
        <v>467</v>
      </c>
      <c r="B2" s="75" t="s">
        <v>468</v>
      </c>
      <c r="C2" s="75">
        <v>6</v>
      </c>
      <c r="D2" s="75">
        <v>30</v>
      </c>
      <c r="H2" s="75">
        <v>30</v>
      </c>
      <c r="I2" s="75" t="s">
        <v>396</v>
      </c>
      <c r="J2" s="75" t="b">
        <v>1</v>
      </c>
      <c r="K2" s="75" t="s">
        <v>76</v>
      </c>
      <c r="R2" s="75" t="b">
        <v>1</v>
      </c>
      <c r="T2"/>
    </row>
    <row r="3" spans="1:20" ht="14.4" customHeight="1" x14ac:dyDescent="0.3">
      <c r="A3" s="75" t="s">
        <v>394</v>
      </c>
      <c r="B3" s="75" t="s">
        <v>395</v>
      </c>
      <c r="C3" s="75">
        <v>1</v>
      </c>
      <c r="D3" s="75">
        <v>90</v>
      </c>
      <c r="H3" s="75">
        <v>90</v>
      </c>
      <c r="I3" s="75" t="s">
        <v>396</v>
      </c>
      <c r="J3" s="75" t="b">
        <v>1</v>
      </c>
      <c r="R3" s="75" t="b">
        <v>1</v>
      </c>
      <c r="T3"/>
    </row>
    <row r="4" spans="1:20" ht="14.4" customHeight="1" x14ac:dyDescent="0.3">
      <c r="A4" s="75" t="s">
        <v>407</v>
      </c>
      <c r="B4" s="75" t="s">
        <v>408</v>
      </c>
      <c r="C4" s="75">
        <v>2</v>
      </c>
      <c r="D4" s="75">
        <v>90</v>
      </c>
      <c r="H4" s="75">
        <v>90</v>
      </c>
      <c r="I4" s="75" t="s">
        <v>396</v>
      </c>
      <c r="J4" s="75" t="b">
        <v>1</v>
      </c>
      <c r="K4" s="75" t="s">
        <v>394</v>
      </c>
      <c r="R4" s="75" t="b">
        <v>1</v>
      </c>
      <c r="T4"/>
    </row>
    <row r="5" spans="1:20" ht="14.4" customHeight="1" x14ac:dyDescent="0.3">
      <c r="A5" s="75" t="s">
        <v>472</v>
      </c>
      <c r="B5" s="75" t="s">
        <v>473</v>
      </c>
      <c r="H5" s="75">
        <v>80</v>
      </c>
      <c r="I5" s="75" t="s">
        <v>474</v>
      </c>
      <c r="J5" s="75" t="b">
        <v>1</v>
      </c>
      <c r="R5" s="75" t="b">
        <v>1</v>
      </c>
      <c r="T5"/>
    </row>
    <row r="6" spans="1:20" ht="14.4" customHeight="1" x14ac:dyDescent="0.3">
      <c r="A6" s="75" t="s">
        <v>431</v>
      </c>
      <c r="B6" s="75" t="s">
        <v>432</v>
      </c>
      <c r="C6" s="75">
        <v>4</v>
      </c>
      <c r="G6" s="75">
        <v>90</v>
      </c>
      <c r="H6" s="75">
        <v>90</v>
      </c>
      <c r="I6" s="75" t="s">
        <v>433</v>
      </c>
      <c r="J6" s="75" t="b">
        <v>1</v>
      </c>
      <c r="R6" s="75" t="b">
        <v>1</v>
      </c>
      <c r="T6"/>
    </row>
    <row r="7" spans="1:20" ht="14.4" customHeight="1" x14ac:dyDescent="0.3">
      <c r="A7" s="75" t="s">
        <v>444</v>
      </c>
      <c r="B7" s="75" t="s">
        <v>445</v>
      </c>
      <c r="C7" s="75">
        <v>5</v>
      </c>
      <c r="G7" s="75">
        <v>90</v>
      </c>
      <c r="H7" s="75">
        <v>90</v>
      </c>
      <c r="I7" s="75" t="s">
        <v>433</v>
      </c>
      <c r="J7" s="75" t="b">
        <v>1</v>
      </c>
      <c r="R7" s="75" t="b">
        <v>1</v>
      </c>
      <c r="T7"/>
    </row>
    <row r="8" spans="1:20" ht="14.4" customHeight="1" x14ac:dyDescent="0.3">
      <c r="A8" s="75" t="s">
        <v>457</v>
      </c>
      <c r="B8" s="75" t="s">
        <v>458</v>
      </c>
      <c r="C8" s="75">
        <v>6</v>
      </c>
      <c r="G8" s="75">
        <v>60</v>
      </c>
      <c r="H8" s="75">
        <v>60</v>
      </c>
      <c r="I8" s="75" t="s">
        <v>433</v>
      </c>
      <c r="J8" s="75" t="b">
        <v>1</v>
      </c>
      <c r="R8" s="75" t="b">
        <v>1</v>
      </c>
      <c r="T8"/>
    </row>
    <row r="9" spans="1:20" ht="14.4" customHeight="1" x14ac:dyDescent="0.3">
      <c r="A9" s="75" t="s">
        <v>417</v>
      </c>
      <c r="B9" s="75" t="s">
        <v>418</v>
      </c>
      <c r="C9" s="75">
        <v>2</v>
      </c>
      <c r="D9" s="75">
        <v>15</v>
      </c>
      <c r="E9" s="75">
        <v>30</v>
      </c>
      <c r="F9" s="75">
        <v>30</v>
      </c>
      <c r="H9" s="75">
        <v>75</v>
      </c>
      <c r="I9" s="75" t="s">
        <v>396</v>
      </c>
      <c r="J9" s="75" t="b">
        <v>1</v>
      </c>
      <c r="K9" s="75" t="s">
        <v>405</v>
      </c>
      <c r="R9" s="75" t="b">
        <v>1</v>
      </c>
      <c r="T9"/>
    </row>
    <row r="10" spans="1:20" ht="14.4" customHeight="1" x14ac:dyDescent="0.3">
      <c r="A10" s="75" t="s">
        <v>397</v>
      </c>
      <c r="B10" s="75" t="s">
        <v>398</v>
      </c>
      <c r="C10" s="75" t="s">
        <v>54</v>
      </c>
      <c r="E10" s="75">
        <v>30</v>
      </c>
      <c r="F10" s="75">
        <v>30</v>
      </c>
      <c r="H10" s="75">
        <v>60</v>
      </c>
      <c r="I10" s="75" t="s">
        <v>396</v>
      </c>
      <c r="J10" s="75" t="b">
        <v>1</v>
      </c>
      <c r="R10" s="75" t="b">
        <v>1</v>
      </c>
      <c r="T10"/>
    </row>
    <row r="11" spans="1:20" ht="14.4" customHeight="1" x14ac:dyDescent="0.3">
      <c r="A11" s="75" t="s">
        <v>409</v>
      </c>
      <c r="B11" s="75" t="s">
        <v>410</v>
      </c>
      <c r="C11" s="75" t="s">
        <v>55</v>
      </c>
      <c r="D11" s="75">
        <v>60</v>
      </c>
      <c r="F11" s="75">
        <v>15</v>
      </c>
      <c r="H11" s="75">
        <v>75</v>
      </c>
      <c r="I11" s="75" t="s">
        <v>396</v>
      </c>
      <c r="J11" s="75" t="b">
        <v>1</v>
      </c>
      <c r="L11" s="75" t="s">
        <v>483</v>
      </c>
      <c r="R11" s="75" t="b">
        <v>1</v>
      </c>
      <c r="T11"/>
    </row>
    <row r="12" spans="1:20" ht="14.4" customHeight="1" x14ac:dyDescent="0.3">
      <c r="A12" s="75" t="s">
        <v>421</v>
      </c>
      <c r="B12" s="75" t="s">
        <v>422</v>
      </c>
      <c r="C12" s="75" t="s">
        <v>56</v>
      </c>
      <c r="D12" s="75">
        <v>60</v>
      </c>
      <c r="F12" s="75">
        <v>15</v>
      </c>
      <c r="H12" s="75">
        <v>75</v>
      </c>
      <c r="I12" s="75" t="s">
        <v>396</v>
      </c>
      <c r="J12" s="75" t="b">
        <v>1</v>
      </c>
      <c r="L12" s="75" t="s">
        <v>485</v>
      </c>
      <c r="R12" s="75" t="b">
        <v>1</v>
      </c>
      <c r="T12"/>
    </row>
    <row r="13" spans="1:20" ht="14.4" customHeight="1" x14ac:dyDescent="0.3">
      <c r="A13" s="75" t="s">
        <v>446</v>
      </c>
      <c r="B13" s="75" t="s">
        <v>447</v>
      </c>
      <c r="C13" s="75" t="s">
        <v>58</v>
      </c>
      <c r="D13" s="75">
        <v>60</v>
      </c>
      <c r="E13" s="75">
        <v>15</v>
      </c>
      <c r="H13" s="75">
        <v>75</v>
      </c>
      <c r="I13" s="75" t="s">
        <v>396</v>
      </c>
      <c r="J13" s="75" t="b">
        <v>1</v>
      </c>
      <c r="K13" s="75" t="s">
        <v>486</v>
      </c>
      <c r="R13" s="75" t="b">
        <v>1</v>
      </c>
      <c r="T13"/>
    </row>
    <row r="14" spans="1:20" ht="14.4" customHeight="1" x14ac:dyDescent="0.3">
      <c r="A14" s="75" t="s">
        <v>403</v>
      </c>
      <c r="B14" s="75" t="s">
        <v>404</v>
      </c>
      <c r="C14" s="75" t="s">
        <v>54</v>
      </c>
      <c r="E14" s="75">
        <v>30</v>
      </c>
      <c r="F14" s="75">
        <v>45</v>
      </c>
      <c r="H14" s="75">
        <v>75</v>
      </c>
      <c r="I14" s="75" t="s">
        <v>396</v>
      </c>
      <c r="J14" s="75" t="b">
        <v>1</v>
      </c>
      <c r="R14" s="75" t="b">
        <v>1</v>
      </c>
      <c r="T14"/>
    </row>
    <row r="15" spans="1:20" ht="14.4" customHeight="1" x14ac:dyDescent="0.3">
      <c r="A15" s="75" t="s">
        <v>411</v>
      </c>
      <c r="B15" s="75" t="s">
        <v>412</v>
      </c>
      <c r="C15" s="75" t="s">
        <v>55</v>
      </c>
      <c r="E15" s="75">
        <v>15</v>
      </c>
      <c r="H15" s="75">
        <v>15</v>
      </c>
      <c r="I15" s="75" t="s">
        <v>396</v>
      </c>
      <c r="J15" s="75" t="b">
        <v>1</v>
      </c>
      <c r="L15" s="75" t="s">
        <v>484</v>
      </c>
      <c r="R15" s="75" t="b">
        <v>1</v>
      </c>
      <c r="T15"/>
    </row>
    <row r="16" spans="1:20" ht="14.4" customHeight="1" x14ac:dyDescent="0.3">
      <c r="A16" s="75" t="s">
        <v>423</v>
      </c>
      <c r="B16" s="75" t="s">
        <v>424</v>
      </c>
      <c r="C16" s="75" t="s">
        <v>56</v>
      </c>
      <c r="E16" s="75">
        <v>15</v>
      </c>
      <c r="H16" s="75">
        <v>15</v>
      </c>
      <c r="I16" s="75" t="s">
        <v>396</v>
      </c>
      <c r="J16" s="75" t="b">
        <v>1</v>
      </c>
      <c r="L16" s="75" t="s">
        <v>486</v>
      </c>
      <c r="R16" s="75" t="b">
        <v>1</v>
      </c>
      <c r="T16"/>
    </row>
    <row r="17" spans="1:20" ht="14.4" customHeight="1" x14ac:dyDescent="0.3">
      <c r="A17" s="75" t="s">
        <v>448</v>
      </c>
      <c r="B17" s="75" t="s">
        <v>449</v>
      </c>
      <c r="C17" s="75" t="s">
        <v>58</v>
      </c>
      <c r="E17" s="75">
        <v>30</v>
      </c>
      <c r="H17" s="75">
        <v>30</v>
      </c>
      <c r="I17" s="75" t="s">
        <v>396</v>
      </c>
      <c r="J17" s="75" t="b">
        <v>1</v>
      </c>
      <c r="L17" s="75" t="s">
        <v>488</v>
      </c>
      <c r="R17" s="75" t="b">
        <v>1</v>
      </c>
      <c r="T17"/>
    </row>
    <row r="18" spans="1:20" ht="14.4" customHeight="1" x14ac:dyDescent="0.3">
      <c r="A18" s="75" t="s">
        <v>434</v>
      </c>
      <c r="B18" s="75" t="s">
        <v>435</v>
      </c>
      <c r="C18" s="75" t="s">
        <v>57</v>
      </c>
      <c r="E18" s="75">
        <v>30</v>
      </c>
      <c r="F18" s="75">
        <v>30</v>
      </c>
      <c r="H18" s="75">
        <v>60</v>
      </c>
      <c r="I18" s="75" t="s">
        <v>396</v>
      </c>
      <c r="J18" s="75" t="b">
        <v>1</v>
      </c>
      <c r="K18" s="75" t="s">
        <v>487</v>
      </c>
      <c r="R18" s="75" t="b">
        <v>1</v>
      </c>
      <c r="T18"/>
    </row>
    <row r="19" spans="1:20" ht="14.4" customHeight="1" x14ac:dyDescent="0.3">
      <c r="A19" s="75" t="s">
        <v>401</v>
      </c>
      <c r="B19" s="75" t="s">
        <v>402</v>
      </c>
      <c r="C19" s="75" t="s">
        <v>54</v>
      </c>
      <c r="D19" s="75">
        <v>30</v>
      </c>
      <c r="H19" s="75">
        <v>30</v>
      </c>
      <c r="I19" s="75" t="s">
        <v>396</v>
      </c>
      <c r="J19" s="75" t="b">
        <v>1</v>
      </c>
      <c r="R19" s="75" t="b">
        <v>1</v>
      </c>
      <c r="T19"/>
    </row>
    <row r="20" spans="1:20" ht="14.4" customHeight="1" x14ac:dyDescent="0.3">
      <c r="A20" s="75" t="s">
        <v>425</v>
      </c>
      <c r="B20" s="75" t="s">
        <v>426</v>
      </c>
      <c r="C20" s="75" t="s">
        <v>56</v>
      </c>
      <c r="D20" s="75">
        <v>30</v>
      </c>
      <c r="E20" s="75">
        <v>15</v>
      </c>
      <c r="H20" s="75">
        <v>45</v>
      </c>
      <c r="I20" s="75" t="s">
        <v>396</v>
      </c>
      <c r="J20" s="75" t="b">
        <v>1</v>
      </c>
      <c r="K20" s="75" t="s">
        <v>407</v>
      </c>
      <c r="R20" s="75" t="b">
        <v>1</v>
      </c>
      <c r="T20"/>
    </row>
    <row r="21" spans="1:20" ht="14.4" customHeight="1" x14ac:dyDescent="0.3">
      <c r="A21" s="75" t="s">
        <v>450</v>
      </c>
      <c r="B21" s="75" t="s">
        <v>451</v>
      </c>
      <c r="C21" s="75" t="s">
        <v>58</v>
      </c>
      <c r="D21" s="75">
        <v>30</v>
      </c>
      <c r="E21" s="75">
        <v>15</v>
      </c>
      <c r="F21" s="75">
        <v>15</v>
      </c>
      <c r="H21" s="75">
        <v>60</v>
      </c>
      <c r="I21" s="75" t="s">
        <v>396</v>
      </c>
      <c r="J21" s="75" t="b">
        <v>1</v>
      </c>
      <c r="K21" s="75" t="s">
        <v>489</v>
      </c>
      <c r="R21" s="75" t="b">
        <v>1</v>
      </c>
      <c r="T21"/>
    </row>
    <row r="22" spans="1:20" ht="14.4" customHeight="1" x14ac:dyDescent="0.3">
      <c r="A22" s="75" t="s">
        <v>459</v>
      </c>
      <c r="B22" s="75" t="s">
        <v>460</v>
      </c>
      <c r="C22" s="75" t="s">
        <v>59</v>
      </c>
      <c r="D22" s="75">
        <v>60</v>
      </c>
      <c r="E22" s="75">
        <v>15</v>
      </c>
      <c r="H22" s="75">
        <v>75</v>
      </c>
      <c r="I22" s="75" t="s">
        <v>396</v>
      </c>
      <c r="J22" s="75" t="b">
        <v>1</v>
      </c>
      <c r="R22" s="75" t="b">
        <v>1</v>
      </c>
      <c r="T22"/>
    </row>
    <row r="23" spans="1:20" ht="14.4" customHeight="1" x14ac:dyDescent="0.3">
      <c r="A23" s="75" t="s">
        <v>461</v>
      </c>
      <c r="B23" s="75" t="s">
        <v>462</v>
      </c>
      <c r="C23" s="75" t="s">
        <v>59</v>
      </c>
      <c r="D23" s="75">
        <v>30</v>
      </c>
      <c r="H23" s="75">
        <v>30</v>
      </c>
      <c r="I23" s="75" t="s">
        <v>396</v>
      </c>
      <c r="J23" s="75" t="b">
        <v>1</v>
      </c>
      <c r="R23" s="75" t="b">
        <v>1</v>
      </c>
      <c r="T23"/>
    </row>
    <row r="24" spans="1:20" ht="14.4" customHeight="1" x14ac:dyDescent="0.3">
      <c r="A24" s="75" t="s">
        <v>438</v>
      </c>
      <c r="B24" s="75" t="s">
        <v>439</v>
      </c>
      <c r="C24" s="75" t="s">
        <v>57</v>
      </c>
      <c r="D24" s="75">
        <v>60</v>
      </c>
      <c r="E24" s="75">
        <v>30</v>
      </c>
      <c r="H24" s="75">
        <v>90</v>
      </c>
      <c r="I24" s="75" t="s">
        <v>396</v>
      </c>
      <c r="J24" s="75" t="b">
        <v>1</v>
      </c>
      <c r="K24" s="75" t="s">
        <v>417</v>
      </c>
      <c r="R24" s="75" t="b">
        <v>1</v>
      </c>
      <c r="T24"/>
    </row>
    <row r="25" spans="1:20" ht="14.4" customHeight="1" x14ac:dyDescent="0.3">
      <c r="A25" s="75" t="s">
        <v>452</v>
      </c>
      <c r="B25" s="75" t="s">
        <v>453</v>
      </c>
      <c r="C25" s="75" t="s">
        <v>58</v>
      </c>
      <c r="D25" s="75">
        <v>30</v>
      </c>
      <c r="E25" s="75">
        <v>30</v>
      </c>
      <c r="F25" s="75">
        <v>15</v>
      </c>
      <c r="H25" s="75">
        <v>75</v>
      </c>
      <c r="I25" s="75" t="s">
        <v>396</v>
      </c>
      <c r="J25" s="75" t="b">
        <v>1</v>
      </c>
      <c r="K25" s="75" t="s">
        <v>490</v>
      </c>
      <c r="R25" s="75" t="b">
        <v>1</v>
      </c>
      <c r="T25"/>
    </row>
    <row r="26" spans="1:20" ht="14.4" customHeight="1" x14ac:dyDescent="0.3">
      <c r="A26" s="75" t="s">
        <v>419</v>
      </c>
      <c r="B26" s="75" t="s">
        <v>420</v>
      </c>
      <c r="C26" s="75" t="s">
        <v>56</v>
      </c>
      <c r="D26" s="75">
        <v>60</v>
      </c>
      <c r="F26" s="75">
        <v>30</v>
      </c>
      <c r="H26" s="75">
        <v>90</v>
      </c>
      <c r="I26" s="75" t="s">
        <v>396</v>
      </c>
      <c r="J26" s="75" t="b">
        <v>1</v>
      </c>
      <c r="K26" s="75" t="s">
        <v>407</v>
      </c>
      <c r="R26" s="75" t="b">
        <v>1</v>
      </c>
      <c r="T26"/>
    </row>
    <row r="27" spans="1:20" ht="14.4" customHeight="1" x14ac:dyDescent="0.3">
      <c r="A27" s="75" t="s">
        <v>440</v>
      </c>
      <c r="B27" s="75" t="s">
        <v>441</v>
      </c>
      <c r="C27" s="75" t="s">
        <v>57</v>
      </c>
      <c r="D27" s="75">
        <v>60</v>
      </c>
      <c r="H27" s="75">
        <v>60</v>
      </c>
      <c r="I27" s="75" t="s">
        <v>396</v>
      </c>
      <c r="J27" s="75" t="b">
        <v>1</v>
      </c>
      <c r="K27" s="75" t="s">
        <v>419</v>
      </c>
      <c r="R27" s="75" t="b">
        <v>1</v>
      </c>
      <c r="T27"/>
    </row>
    <row r="28" spans="1:20" ht="14.4" customHeight="1" x14ac:dyDescent="0.3">
      <c r="A28" s="75" t="s">
        <v>475</v>
      </c>
      <c r="B28" s="75" t="s">
        <v>476</v>
      </c>
      <c r="D28" s="75">
        <v>60</v>
      </c>
      <c r="H28" s="75">
        <v>60</v>
      </c>
      <c r="I28" s="75" t="s">
        <v>396</v>
      </c>
      <c r="J28" s="75" t="b">
        <v>0</v>
      </c>
      <c r="K28" s="75" t="s">
        <v>76</v>
      </c>
      <c r="R28" s="75" t="b">
        <v>1</v>
      </c>
      <c r="T28"/>
    </row>
    <row r="29" spans="1:20" ht="14.4" customHeight="1" x14ac:dyDescent="0.3">
      <c r="A29" s="75" t="s">
        <v>477</v>
      </c>
      <c r="B29" s="75" t="s">
        <v>478</v>
      </c>
      <c r="D29" s="75">
        <v>60</v>
      </c>
      <c r="H29" s="75">
        <v>60</v>
      </c>
      <c r="I29" s="75" t="s">
        <v>396</v>
      </c>
      <c r="J29" s="75" t="b">
        <v>0</v>
      </c>
      <c r="K29" s="75" t="s">
        <v>76</v>
      </c>
      <c r="R29" s="75" t="b">
        <v>1</v>
      </c>
      <c r="T29"/>
    </row>
    <row r="30" spans="1:20" ht="14.4" customHeight="1" x14ac:dyDescent="0.3">
      <c r="A30" s="75" t="s">
        <v>479</v>
      </c>
      <c r="B30" s="75" t="s">
        <v>480</v>
      </c>
      <c r="D30" s="75">
        <v>60</v>
      </c>
      <c r="H30" s="75">
        <v>60</v>
      </c>
      <c r="I30" s="75" t="s">
        <v>396</v>
      </c>
      <c r="J30" s="75" t="b">
        <v>0</v>
      </c>
      <c r="K30" s="75" t="s">
        <v>76</v>
      </c>
      <c r="R30" s="75" t="b">
        <v>1</v>
      </c>
      <c r="T30"/>
    </row>
    <row r="31" spans="1:20" ht="14.4" customHeight="1" x14ac:dyDescent="0.3">
      <c r="A31" s="75" t="s">
        <v>481</v>
      </c>
      <c r="B31" s="75" t="s">
        <v>482</v>
      </c>
      <c r="D31" s="75">
        <v>60</v>
      </c>
      <c r="H31" s="75">
        <v>60</v>
      </c>
      <c r="I31" s="75" t="s">
        <v>396</v>
      </c>
      <c r="J31" s="75" t="b">
        <v>0</v>
      </c>
      <c r="K31" s="75" t="s">
        <v>76</v>
      </c>
      <c r="R31" s="75" t="b">
        <v>1</v>
      </c>
      <c r="T31"/>
    </row>
    <row r="32" spans="1:20" ht="14.4" customHeight="1" x14ac:dyDescent="0.3">
      <c r="A32" s="75" t="s">
        <v>405</v>
      </c>
      <c r="B32" s="75" t="s">
        <v>406</v>
      </c>
      <c r="C32" s="75" t="s">
        <v>54</v>
      </c>
      <c r="D32" s="75">
        <v>30</v>
      </c>
      <c r="E32" s="75">
        <v>30</v>
      </c>
      <c r="H32" s="75">
        <v>60</v>
      </c>
      <c r="I32" s="75" t="s">
        <v>396</v>
      </c>
      <c r="J32" s="75" t="b">
        <v>1</v>
      </c>
      <c r="L32" s="75" t="s">
        <v>397</v>
      </c>
      <c r="R32" s="75" t="b">
        <v>1</v>
      </c>
      <c r="T32"/>
    </row>
    <row r="33" spans="1:20" ht="14.4" customHeight="1" x14ac:dyDescent="0.3">
      <c r="A33" s="75" t="s">
        <v>463</v>
      </c>
      <c r="B33" s="75" t="s">
        <v>464</v>
      </c>
      <c r="C33" s="75" t="s">
        <v>59</v>
      </c>
      <c r="D33" s="75">
        <v>30</v>
      </c>
      <c r="H33" s="75">
        <v>30</v>
      </c>
      <c r="I33" s="75" t="s">
        <v>396</v>
      </c>
      <c r="J33" s="75" t="b">
        <v>1</v>
      </c>
      <c r="L33" s="75" t="s">
        <v>493</v>
      </c>
      <c r="R33" s="75" t="b">
        <v>1</v>
      </c>
      <c r="T33"/>
    </row>
    <row r="34" spans="1:20" ht="14.4" customHeight="1" x14ac:dyDescent="0.3">
      <c r="A34" s="75" t="s">
        <v>465</v>
      </c>
      <c r="B34" s="75" t="s">
        <v>466</v>
      </c>
      <c r="C34" s="75" t="s">
        <v>59</v>
      </c>
      <c r="E34" s="75">
        <v>30</v>
      </c>
      <c r="H34" s="75">
        <v>30</v>
      </c>
      <c r="I34" s="75" t="s">
        <v>396</v>
      </c>
      <c r="J34" s="75" t="b">
        <v>1</v>
      </c>
      <c r="L34" s="75" t="s">
        <v>494</v>
      </c>
      <c r="R34" s="75" t="b">
        <v>1</v>
      </c>
      <c r="T34"/>
    </row>
    <row r="35" spans="1:20" ht="14.4" customHeight="1" x14ac:dyDescent="0.3">
      <c r="A35" s="75" t="s">
        <v>469</v>
      </c>
      <c r="B35" s="75" t="s">
        <v>470</v>
      </c>
      <c r="C35" s="75" t="s">
        <v>59</v>
      </c>
      <c r="H35" s="75">
        <v>160</v>
      </c>
      <c r="I35" s="75" t="s">
        <v>471</v>
      </c>
      <c r="J35" s="75" t="b">
        <v>1</v>
      </c>
      <c r="K35" s="75" t="s">
        <v>71</v>
      </c>
      <c r="R35" s="75" t="b">
        <v>1</v>
      </c>
      <c r="T35"/>
    </row>
    <row r="36" spans="1:20" ht="14.4" customHeight="1" x14ac:dyDescent="0.3">
      <c r="A36" s="75" t="s">
        <v>429</v>
      </c>
      <c r="B36" s="75" t="s">
        <v>430</v>
      </c>
      <c r="C36" s="75" t="s">
        <v>56</v>
      </c>
      <c r="D36" s="75">
        <v>30</v>
      </c>
      <c r="E36" s="75">
        <v>30</v>
      </c>
      <c r="H36" s="75">
        <v>60</v>
      </c>
      <c r="I36" s="75" t="s">
        <v>396</v>
      </c>
      <c r="J36" s="75" t="b">
        <v>1</v>
      </c>
      <c r="K36" s="75" t="s">
        <v>417</v>
      </c>
      <c r="R36" s="75" t="b">
        <v>1</v>
      </c>
      <c r="T36"/>
    </row>
    <row r="37" spans="1:20" ht="14.4" customHeight="1" x14ac:dyDescent="0.3">
      <c r="A37" s="75" t="s">
        <v>436</v>
      </c>
      <c r="B37" s="75" t="s">
        <v>437</v>
      </c>
      <c r="C37" s="75" t="s">
        <v>57</v>
      </c>
      <c r="D37" s="75">
        <v>30</v>
      </c>
      <c r="E37" s="75">
        <v>30</v>
      </c>
      <c r="H37" s="75">
        <v>60</v>
      </c>
      <c r="I37" s="75" t="s">
        <v>396</v>
      </c>
      <c r="J37" s="75" t="b">
        <v>1</v>
      </c>
      <c r="K37" s="75" t="s">
        <v>429</v>
      </c>
      <c r="R37" s="75" t="b">
        <v>1</v>
      </c>
      <c r="T37"/>
    </row>
    <row r="38" spans="1:20" ht="14.4" customHeight="1" x14ac:dyDescent="0.3">
      <c r="A38" s="75" t="s">
        <v>456</v>
      </c>
      <c r="B38" s="75" t="s">
        <v>449</v>
      </c>
      <c r="C38" s="75" t="s">
        <v>58</v>
      </c>
      <c r="E38" s="75">
        <v>30</v>
      </c>
      <c r="H38" s="75">
        <v>30</v>
      </c>
      <c r="I38" s="75" t="s">
        <v>396</v>
      </c>
      <c r="J38" s="75" t="b">
        <v>1</v>
      </c>
      <c r="L38" s="75" t="s">
        <v>492</v>
      </c>
      <c r="R38" s="75" t="b">
        <v>1</v>
      </c>
      <c r="T38"/>
    </row>
    <row r="39" spans="1:20" ht="14.4" customHeight="1" x14ac:dyDescent="0.3">
      <c r="A39" s="75" t="s">
        <v>454</v>
      </c>
      <c r="B39" s="75" t="s">
        <v>455</v>
      </c>
      <c r="C39" s="75" t="s">
        <v>58</v>
      </c>
      <c r="D39" s="75">
        <v>60</v>
      </c>
      <c r="H39" s="75">
        <v>60</v>
      </c>
      <c r="I39" s="75" t="s">
        <v>396</v>
      </c>
      <c r="J39" s="75" t="b">
        <v>1</v>
      </c>
      <c r="L39" s="75" t="s">
        <v>491</v>
      </c>
      <c r="R39" s="75" t="b">
        <v>1</v>
      </c>
      <c r="T39"/>
    </row>
    <row r="40" spans="1:20" ht="14.4" customHeight="1" x14ac:dyDescent="0.3">
      <c r="A40" s="75" t="s">
        <v>399</v>
      </c>
      <c r="B40" s="75" t="s">
        <v>400</v>
      </c>
      <c r="C40" s="75" t="s">
        <v>54</v>
      </c>
      <c r="D40" s="75">
        <v>60</v>
      </c>
      <c r="H40" s="75">
        <v>60</v>
      </c>
      <c r="I40" s="75" t="s">
        <v>396</v>
      </c>
      <c r="J40" s="75" t="b">
        <v>1</v>
      </c>
      <c r="R40" s="75" t="b">
        <v>1</v>
      </c>
      <c r="T40"/>
    </row>
    <row r="41" spans="1:20" ht="14.4" customHeight="1" x14ac:dyDescent="0.3">
      <c r="A41" s="75" t="s">
        <v>442</v>
      </c>
      <c r="B41" s="75" t="s">
        <v>443</v>
      </c>
      <c r="C41" s="75" t="s">
        <v>57</v>
      </c>
      <c r="D41" s="75">
        <v>45</v>
      </c>
      <c r="E41" s="75">
        <v>15</v>
      </c>
      <c r="H41" s="75">
        <v>60</v>
      </c>
      <c r="I41" s="75" t="s">
        <v>396</v>
      </c>
      <c r="J41" s="75" t="b">
        <v>1</v>
      </c>
      <c r="K41" s="75" t="s">
        <v>427</v>
      </c>
      <c r="R41" s="75" t="b">
        <v>1</v>
      </c>
      <c r="T41"/>
    </row>
    <row r="42" spans="1:20" ht="14.4" customHeight="1" x14ac:dyDescent="0.3">
      <c r="A42" s="75" t="s">
        <v>427</v>
      </c>
      <c r="B42" s="75" t="s">
        <v>428</v>
      </c>
      <c r="C42" s="75" t="s">
        <v>56</v>
      </c>
      <c r="D42" s="75">
        <v>60</v>
      </c>
      <c r="H42" s="75">
        <v>60</v>
      </c>
      <c r="I42" s="75" t="s">
        <v>396</v>
      </c>
      <c r="J42" s="75" t="b">
        <v>1</v>
      </c>
      <c r="K42" s="75" t="s">
        <v>394</v>
      </c>
      <c r="R42" s="75" t="b">
        <v>1</v>
      </c>
      <c r="T42"/>
    </row>
    <row r="43" spans="1:20" ht="14.4" customHeight="1" x14ac:dyDescent="0.3">
      <c r="A43" s="75" t="s">
        <v>415</v>
      </c>
      <c r="B43" s="75" t="s">
        <v>416</v>
      </c>
      <c r="C43" s="75" t="s">
        <v>55</v>
      </c>
      <c r="D43" s="75">
        <v>60</v>
      </c>
      <c r="H43" s="75">
        <v>60</v>
      </c>
      <c r="I43" s="75" t="s">
        <v>396</v>
      </c>
      <c r="J43" s="75" t="b">
        <v>1</v>
      </c>
      <c r="K43" s="75" t="s">
        <v>394</v>
      </c>
      <c r="L43" s="75" t="s">
        <v>413</v>
      </c>
      <c r="R43" s="75" t="b">
        <v>1</v>
      </c>
      <c r="T43"/>
    </row>
    <row r="44" spans="1:20" ht="14.4" customHeight="1" x14ac:dyDescent="0.3">
      <c r="A44" s="75" t="s">
        <v>413</v>
      </c>
      <c r="B44" s="75" t="s">
        <v>414</v>
      </c>
      <c r="C44" s="75" t="s">
        <v>55</v>
      </c>
      <c r="E44" s="75">
        <v>30</v>
      </c>
      <c r="H44" s="75">
        <v>30</v>
      </c>
      <c r="I44" s="75" t="s">
        <v>396</v>
      </c>
      <c r="J44" s="75" t="b">
        <v>1</v>
      </c>
      <c r="K44" s="75" t="s">
        <v>394</v>
      </c>
      <c r="L44" s="75" t="s">
        <v>415</v>
      </c>
      <c r="R44" s="75" t="b">
        <v>1</v>
      </c>
      <c r="T44"/>
    </row>
  </sheetData>
  <sortState xmlns:xlrd2="http://schemas.microsoft.com/office/spreadsheetml/2017/richdata2" ref="A2:T44">
    <sortCondition ref="T2:T44"/>
  </sortState>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A1:C19"/>
  <sheetViews>
    <sheetView workbookViewId="0">
      <selection activeCell="F12" sqref="F12"/>
    </sheetView>
  </sheetViews>
  <sheetFormatPr defaultRowHeight="14.4" x14ac:dyDescent="0.3"/>
  <cols>
    <col min="1" max="1" width="14.33203125" bestFit="1" customWidth="1"/>
    <col min="2" max="2" width="14.6640625" bestFit="1" customWidth="1"/>
    <col min="3" max="3" width="69.5546875" bestFit="1" customWidth="1"/>
  </cols>
  <sheetData>
    <row r="1" spans="1:3" x14ac:dyDescent="0.3">
      <c r="A1" s="77" t="s">
        <v>77</v>
      </c>
      <c r="B1" s="77" t="s">
        <v>78</v>
      </c>
      <c r="C1" s="77" t="s">
        <v>79</v>
      </c>
    </row>
    <row r="2" spans="1:3" x14ac:dyDescent="0.3">
      <c r="A2" t="s">
        <v>19</v>
      </c>
      <c r="B2" t="s">
        <v>34</v>
      </c>
      <c r="C2" t="s">
        <v>80</v>
      </c>
    </row>
    <row r="3" spans="1:3" x14ac:dyDescent="0.3">
      <c r="A3" t="s">
        <v>21</v>
      </c>
      <c r="B3" t="s">
        <v>25</v>
      </c>
      <c r="C3" t="s">
        <v>81</v>
      </c>
    </row>
    <row r="4" spans="1:3" x14ac:dyDescent="0.3">
      <c r="A4" t="s">
        <v>22</v>
      </c>
      <c r="B4" t="s">
        <v>23</v>
      </c>
      <c r="C4" t="s">
        <v>82</v>
      </c>
    </row>
    <row r="5" spans="1:3" x14ac:dyDescent="0.3">
      <c r="A5" t="s">
        <v>27</v>
      </c>
      <c r="B5" t="s">
        <v>45</v>
      </c>
      <c r="C5" t="s">
        <v>83</v>
      </c>
    </row>
    <row r="6" spans="1:3" x14ac:dyDescent="0.3">
      <c r="A6" t="s">
        <v>26</v>
      </c>
      <c r="B6" t="s">
        <v>43</v>
      </c>
      <c r="C6" t="s">
        <v>84</v>
      </c>
    </row>
    <row r="7" spans="1:3" x14ac:dyDescent="0.3">
      <c r="A7" t="s">
        <v>32</v>
      </c>
      <c r="B7" t="s">
        <v>35</v>
      </c>
      <c r="C7" t="s">
        <v>85</v>
      </c>
    </row>
    <row r="8" spans="1:3" x14ac:dyDescent="0.3">
      <c r="A8" t="s">
        <v>31</v>
      </c>
      <c r="B8" t="s">
        <v>35</v>
      </c>
      <c r="C8" t="s">
        <v>85</v>
      </c>
    </row>
    <row r="9" spans="1:3" x14ac:dyDescent="0.3">
      <c r="A9" t="s">
        <v>36</v>
      </c>
      <c r="B9" t="s">
        <v>34</v>
      </c>
      <c r="C9" t="s">
        <v>86</v>
      </c>
    </row>
    <row r="10" spans="1:3" x14ac:dyDescent="0.3">
      <c r="A10" t="s">
        <v>38</v>
      </c>
      <c r="B10" t="s">
        <v>33</v>
      </c>
      <c r="C10" t="s">
        <v>87</v>
      </c>
    </row>
    <row r="11" spans="1:3" x14ac:dyDescent="0.3">
      <c r="A11" t="s">
        <v>37</v>
      </c>
      <c r="B11" t="s">
        <v>33</v>
      </c>
      <c r="C11" t="s">
        <v>87</v>
      </c>
    </row>
    <row r="12" spans="1:3" x14ac:dyDescent="0.3">
      <c r="A12" t="s">
        <v>40</v>
      </c>
      <c r="B12" t="s">
        <v>53</v>
      </c>
      <c r="C12" t="s">
        <v>88</v>
      </c>
    </row>
    <row r="13" spans="1:3" x14ac:dyDescent="0.3">
      <c r="A13" t="s">
        <v>42</v>
      </c>
      <c r="B13" t="s">
        <v>41</v>
      </c>
      <c r="C13" t="s">
        <v>89</v>
      </c>
    </row>
    <row r="14" spans="1:3" x14ac:dyDescent="0.3">
      <c r="A14" t="s">
        <v>46</v>
      </c>
      <c r="B14" t="s">
        <v>43</v>
      </c>
      <c r="C14" t="s">
        <v>90</v>
      </c>
    </row>
    <row r="15" spans="1:3" x14ac:dyDescent="0.3">
      <c r="A15" t="s">
        <v>47</v>
      </c>
      <c r="B15" t="s">
        <v>45</v>
      </c>
      <c r="C15" t="s">
        <v>91</v>
      </c>
    </row>
    <row r="16" spans="1:3" x14ac:dyDescent="0.3">
      <c r="A16" t="s">
        <v>51</v>
      </c>
      <c r="B16" t="s">
        <v>49</v>
      </c>
      <c r="C16" t="s">
        <v>92</v>
      </c>
    </row>
    <row r="17" spans="1:3" x14ac:dyDescent="0.3">
      <c r="A17" t="s">
        <v>50</v>
      </c>
      <c r="B17" t="s">
        <v>49</v>
      </c>
      <c r="C17" t="s">
        <v>92</v>
      </c>
    </row>
    <row r="18" spans="1:3" x14ac:dyDescent="0.3">
      <c r="A18" t="s">
        <v>52</v>
      </c>
      <c r="B18" t="s">
        <v>44</v>
      </c>
      <c r="C18" t="s">
        <v>93</v>
      </c>
    </row>
    <row r="19" spans="1:3" x14ac:dyDescent="0.3">
      <c r="A19" t="s">
        <v>48</v>
      </c>
      <c r="B19" t="s">
        <v>30</v>
      </c>
      <c r="C19" t="s">
        <v>94</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
  <dimension ref="A1:D6"/>
  <sheetViews>
    <sheetView workbookViewId="0">
      <selection activeCell="A2" sqref="A2:A6"/>
    </sheetView>
  </sheetViews>
  <sheetFormatPr defaultRowHeight="14.4" x14ac:dyDescent="0.3"/>
  <cols>
    <col min="1" max="1" width="16" bestFit="1" customWidth="1"/>
    <col min="2" max="2" width="34.33203125" bestFit="1" customWidth="1"/>
    <col min="3" max="3" width="71.33203125" customWidth="1"/>
    <col min="4" max="4" width="24" customWidth="1"/>
  </cols>
  <sheetData>
    <row r="1" spans="1:4" x14ac:dyDescent="0.3">
      <c r="A1" s="77" t="s">
        <v>95</v>
      </c>
      <c r="B1" s="77" t="s">
        <v>1</v>
      </c>
      <c r="C1" s="77" t="s">
        <v>96</v>
      </c>
      <c r="D1" s="77" t="s">
        <v>495</v>
      </c>
    </row>
    <row r="2" spans="1:4" ht="72" x14ac:dyDescent="0.3">
      <c r="A2" s="78" t="s">
        <v>20</v>
      </c>
      <c r="B2" s="78" t="s">
        <v>105</v>
      </c>
      <c r="C2" s="78" t="s">
        <v>106</v>
      </c>
      <c r="D2" s="78"/>
    </row>
    <row r="3" spans="1:4" ht="57.6" x14ac:dyDescent="0.3">
      <c r="A3" s="78" t="s">
        <v>24</v>
      </c>
      <c r="B3" s="78" t="s">
        <v>107</v>
      </c>
      <c r="C3" s="78" t="s">
        <v>108</v>
      </c>
      <c r="D3" s="78"/>
    </row>
    <row r="4" spans="1:4" ht="57.6" x14ac:dyDescent="0.3">
      <c r="A4" s="78" t="s">
        <v>29</v>
      </c>
      <c r="B4" s="78" t="s">
        <v>109</v>
      </c>
      <c r="C4" s="78" t="s">
        <v>110</v>
      </c>
      <c r="D4" s="78"/>
    </row>
    <row r="5" spans="1:4" ht="100.8" x14ac:dyDescent="0.3">
      <c r="A5" s="78" t="s">
        <v>111</v>
      </c>
      <c r="B5" s="78" t="s">
        <v>112</v>
      </c>
      <c r="C5" s="78" t="s">
        <v>113</v>
      </c>
      <c r="D5" s="78"/>
    </row>
    <row r="6" spans="1:4" ht="28.8" x14ac:dyDescent="0.3">
      <c r="A6" s="78" t="s">
        <v>28</v>
      </c>
      <c r="B6" s="78" t="s">
        <v>114</v>
      </c>
      <c r="C6" s="78" t="s">
        <v>115</v>
      </c>
      <c r="D6" s="78"/>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4"/>
  <dimension ref="A1:D25"/>
  <sheetViews>
    <sheetView workbookViewId="0">
      <selection activeCell="A2" sqref="A2"/>
    </sheetView>
  </sheetViews>
  <sheetFormatPr defaultRowHeight="14.4" x14ac:dyDescent="0.3"/>
  <cols>
    <col min="1" max="1" width="32" customWidth="1"/>
    <col min="2" max="2" width="31.5546875" customWidth="1"/>
    <col min="3" max="3" width="56.21875" customWidth="1"/>
    <col min="4" max="4" width="41.88671875" customWidth="1"/>
  </cols>
  <sheetData>
    <row r="1" spans="1:4" x14ac:dyDescent="0.3">
      <c r="A1" s="77" t="s">
        <v>95</v>
      </c>
      <c r="B1" s="77" t="s">
        <v>1</v>
      </c>
      <c r="C1" s="77" t="s">
        <v>96</v>
      </c>
      <c r="D1" s="77" t="s">
        <v>495</v>
      </c>
    </row>
    <row r="2" spans="1:4" ht="57.6" x14ac:dyDescent="0.3">
      <c r="A2" s="78" t="s">
        <v>116</v>
      </c>
      <c r="B2" s="78" t="s">
        <v>117</v>
      </c>
      <c r="C2" s="78" t="s">
        <v>118</v>
      </c>
      <c r="D2" s="78"/>
    </row>
    <row r="3" spans="1:4" ht="28.8" x14ac:dyDescent="0.3">
      <c r="A3" s="78" t="s">
        <v>119</v>
      </c>
      <c r="B3" s="78" t="s">
        <v>120</v>
      </c>
      <c r="C3" s="78" t="s">
        <v>121</v>
      </c>
      <c r="D3" s="78"/>
    </row>
    <row r="4" spans="1:4" ht="28.8" x14ac:dyDescent="0.3">
      <c r="A4" s="78" t="s">
        <v>122</v>
      </c>
      <c r="B4" s="78" t="s">
        <v>123</v>
      </c>
      <c r="C4" s="78" t="s">
        <v>124</v>
      </c>
      <c r="D4" s="78"/>
    </row>
    <row r="5" spans="1:4" ht="28.8" x14ac:dyDescent="0.3">
      <c r="A5" s="78" t="s">
        <v>125</v>
      </c>
      <c r="B5" s="78" t="s">
        <v>126</v>
      </c>
      <c r="C5" s="78" t="s">
        <v>127</v>
      </c>
      <c r="D5" s="78"/>
    </row>
    <row r="6" spans="1:4" ht="28.8" x14ac:dyDescent="0.3">
      <c r="A6" s="78" t="s">
        <v>128</v>
      </c>
      <c r="B6" s="78" t="s">
        <v>129</v>
      </c>
      <c r="C6" s="78" t="s">
        <v>130</v>
      </c>
      <c r="D6" s="78"/>
    </row>
    <row r="7" spans="1:4" x14ac:dyDescent="0.3">
      <c r="A7" s="78" t="s">
        <v>131</v>
      </c>
      <c r="B7" s="78" t="s">
        <v>132</v>
      </c>
      <c r="C7" s="78" t="s">
        <v>133</v>
      </c>
    </row>
    <row r="8" spans="1:4" ht="28.8" x14ac:dyDescent="0.3">
      <c r="A8" s="78" t="s">
        <v>134</v>
      </c>
      <c r="B8" s="78" t="s">
        <v>135</v>
      </c>
      <c r="C8" s="78" t="s">
        <v>136</v>
      </c>
    </row>
    <row r="9" spans="1:4" ht="28.8" x14ac:dyDescent="0.3">
      <c r="A9" s="78" t="s">
        <v>137</v>
      </c>
      <c r="B9" s="78" t="s">
        <v>138</v>
      </c>
      <c r="C9" s="78" t="s">
        <v>139</v>
      </c>
    </row>
    <row r="10" spans="1:4" ht="28.8" x14ac:dyDescent="0.3">
      <c r="A10" s="78" t="s">
        <v>140</v>
      </c>
      <c r="B10" s="78" t="s">
        <v>141</v>
      </c>
      <c r="C10" s="78" t="s">
        <v>142</v>
      </c>
    </row>
    <row r="11" spans="1:4" ht="28.8" x14ac:dyDescent="0.3">
      <c r="A11" s="78" t="s">
        <v>143</v>
      </c>
      <c r="B11" s="78" t="s">
        <v>144</v>
      </c>
      <c r="C11" s="78" t="s">
        <v>145</v>
      </c>
    </row>
    <row r="12" spans="1:4" ht="28.8" x14ac:dyDescent="0.3">
      <c r="A12" s="78" t="s">
        <v>146</v>
      </c>
      <c r="B12" s="78" t="s">
        <v>147</v>
      </c>
      <c r="C12" s="78" t="s">
        <v>148</v>
      </c>
    </row>
    <row r="13" spans="1:4" ht="28.8" x14ac:dyDescent="0.3">
      <c r="A13" s="78" t="s">
        <v>149</v>
      </c>
      <c r="B13" s="78" t="s">
        <v>150</v>
      </c>
      <c r="C13" s="78" t="s">
        <v>151</v>
      </c>
    </row>
    <row r="14" spans="1:4" ht="28.8" x14ac:dyDescent="0.3">
      <c r="A14" s="78" t="s">
        <v>152</v>
      </c>
      <c r="B14" s="78" t="s">
        <v>153</v>
      </c>
      <c r="C14" s="78" t="s">
        <v>154</v>
      </c>
    </row>
    <row r="15" spans="1:4" ht="28.8" x14ac:dyDescent="0.3">
      <c r="A15" s="78" t="s">
        <v>155</v>
      </c>
      <c r="B15" s="78" t="s">
        <v>156</v>
      </c>
      <c r="C15" s="78" t="s">
        <v>157</v>
      </c>
    </row>
    <row r="16" spans="1:4" ht="28.8" x14ac:dyDescent="0.3">
      <c r="A16" s="78" t="s">
        <v>158</v>
      </c>
      <c r="B16" s="78" t="s">
        <v>159</v>
      </c>
      <c r="C16" s="78" t="s">
        <v>160</v>
      </c>
    </row>
    <row r="17" spans="1:3" ht="28.8" x14ac:dyDescent="0.3">
      <c r="A17" s="78" t="s">
        <v>161</v>
      </c>
      <c r="B17" s="78" t="s">
        <v>162</v>
      </c>
      <c r="C17" s="78" t="s">
        <v>163</v>
      </c>
    </row>
    <row r="18" spans="1:3" ht="28.8" x14ac:dyDescent="0.3">
      <c r="A18" s="78" t="s">
        <v>164</v>
      </c>
      <c r="B18" s="78" t="s">
        <v>165</v>
      </c>
      <c r="C18" s="78" t="s">
        <v>166</v>
      </c>
    </row>
    <row r="19" spans="1:3" ht="28.8" x14ac:dyDescent="0.3">
      <c r="A19" s="78" t="s">
        <v>167</v>
      </c>
      <c r="B19" s="78" t="s">
        <v>168</v>
      </c>
      <c r="C19" s="78" t="s">
        <v>169</v>
      </c>
    </row>
    <row r="20" spans="1:3" ht="28.8" x14ac:dyDescent="0.3">
      <c r="A20" s="78" t="s">
        <v>170</v>
      </c>
      <c r="B20" s="78" t="s">
        <v>171</v>
      </c>
      <c r="C20" s="78" t="s">
        <v>172</v>
      </c>
    </row>
    <row r="21" spans="1:3" ht="28.8" x14ac:dyDescent="0.3">
      <c r="A21" s="78" t="s">
        <v>173</v>
      </c>
      <c r="B21" s="78" t="s">
        <v>174</v>
      </c>
      <c r="C21" s="78" t="s">
        <v>175</v>
      </c>
    </row>
    <row r="22" spans="1:3" ht="28.8" x14ac:dyDescent="0.3">
      <c r="A22" s="78" t="s">
        <v>176</v>
      </c>
      <c r="B22" s="78" t="s">
        <v>177</v>
      </c>
      <c r="C22" s="78" t="s">
        <v>178</v>
      </c>
    </row>
    <row r="23" spans="1:3" ht="28.8" x14ac:dyDescent="0.3">
      <c r="A23" s="78" t="s">
        <v>179</v>
      </c>
      <c r="B23" s="78" t="s">
        <v>180</v>
      </c>
      <c r="C23" s="78" t="s">
        <v>181</v>
      </c>
    </row>
    <row r="24" spans="1:3" ht="28.8" x14ac:dyDescent="0.3">
      <c r="A24" s="78" t="s">
        <v>182</v>
      </c>
      <c r="B24" s="78" t="s">
        <v>114</v>
      </c>
      <c r="C24" s="78" t="s">
        <v>183</v>
      </c>
    </row>
    <row r="25" spans="1:3" ht="28.8" x14ac:dyDescent="0.3">
      <c r="A25" s="78" t="s">
        <v>184</v>
      </c>
      <c r="B25" s="78" t="s">
        <v>185</v>
      </c>
      <c r="C25" s="78" t="s">
        <v>186</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5"/>
  <dimension ref="A1:F14"/>
  <sheetViews>
    <sheetView topLeftCell="B6" workbookViewId="0">
      <selection activeCell="F1" sqref="F1"/>
    </sheetView>
  </sheetViews>
  <sheetFormatPr defaultRowHeight="14.4" x14ac:dyDescent="0.3"/>
  <cols>
    <col min="1" max="1" width="26.88671875" customWidth="1"/>
    <col min="2" max="2" width="25.33203125" customWidth="1"/>
    <col min="3" max="3" width="50.33203125" customWidth="1"/>
    <col min="4" max="4" width="44.109375" customWidth="1"/>
    <col min="5" max="5" width="34" customWidth="1"/>
    <col min="6" max="6" width="33.6640625" customWidth="1"/>
  </cols>
  <sheetData>
    <row r="1" spans="1:6" s="79" customFormat="1" ht="21" customHeight="1" x14ac:dyDescent="0.3">
      <c r="A1" s="77" t="s">
        <v>95</v>
      </c>
      <c r="B1" s="77" t="s">
        <v>1</v>
      </c>
      <c r="C1" s="77" t="s">
        <v>96</v>
      </c>
      <c r="D1" s="77" t="s">
        <v>97</v>
      </c>
      <c r="E1" s="77" t="s">
        <v>98</v>
      </c>
      <c r="F1" s="77" t="s">
        <v>495</v>
      </c>
    </row>
    <row r="2" spans="1:6" ht="100.8" x14ac:dyDescent="0.3">
      <c r="A2" s="78" t="s">
        <v>99</v>
      </c>
      <c r="B2" s="78" t="s">
        <v>100</v>
      </c>
      <c r="C2" s="78" t="s">
        <v>187</v>
      </c>
      <c r="D2" s="78" t="s">
        <v>188</v>
      </c>
      <c r="E2" s="78" t="s">
        <v>189</v>
      </c>
      <c r="F2" s="78"/>
    </row>
    <row r="3" spans="1:6" ht="43.2" x14ac:dyDescent="0.3">
      <c r="A3" s="78" t="s">
        <v>39</v>
      </c>
      <c r="B3" s="78" t="s">
        <v>190</v>
      </c>
      <c r="C3" s="78" t="s">
        <v>191</v>
      </c>
      <c r="D3" s="78" t="s">
        <v>192</v>
      </c>
      <c r="E3" s="78" t="s">
        <v>193</v>
      </c>
      <c r="F3" s="78"/>
    </row>
    <row r="4" spans="1:6" ht="43.2" x14ac:dyDescent="0.3">
      <c r="A4" s="78" t="s">
        <v>101</v>
      </c>
      <c r="B4" s="78" t="s">
        <v>102</v>
      </c>
      <c r="C4" s="78" t="s">
        <v>194</v>
      </c>
      <c r="D4" s="78" t="s">
        <v>195</v>
      </c>
      <c r="E4" s="78" t="s">
        <v>189</v>
      </c>
      <c r="F4" s="78"/>
    </row>
    <row r="5" spans="1:6" ht="57.6" x14ac:dyDescent="0.3">
      <c r="A5" s="78" t="s">
        <v>103</v>
      </c>
      <c r="B5" s="78" t="s">
        <v>196</v>
      </c>
      <c r="C5" s="78" t="s">
        <v>197</v>
      </c>
      <c r="D5" s="78" t="s">
        <v>198</v>
      </c>
      <c r="E5" s="78" t="s">
        <v>199</v>
      </c>
      <c r="F5" s="78"/>
    </row>
    <row r="6" spans="1:6" ht="43.2" x14ac:dyDescent="0.3">
      <c r="A6" s="78" t="s">
        <v>200</v>
      </c>
      <c r="B6" s="78" t="s">
        <v>201</v>
      </c>
      <c r="C6" s="78" t="s">
        <v>202</v>
      </c>
      <c r="D6" s="78" t="s">
        <v>203</v>
      </c>
      <c r="E6" s="78" t="s">
        <v>204</v>
      </c>
      <c r="F6" s="78"/>
    </row>
    <row r="7" spans="1:6" ht="100.8" x14ac:dyDescent="0.3">
      <c r="A7" s="78" t="s">
        <v>205</v>
      </c>
      <c r="B7" s="78" t="s">
        <v>206</v>
      </c>
      <c r="C7" s="78" t="s">
        <v>207</v>
      </c>
      <c r="D7" s="78" t="s">
        <v>208</v>
      </c>
      <c r="E7" s="78" t="s">
        <v>209</v>
      </c>
    </row>
    <row r="8" spans="1:6" ht="72" x14ac:dyDescent="0.3">
      <c r="A8" s="78" t="s">
        <v>210</v>
      </c>
      <c r="B8" s="78" t="s">
        <v>211</v>
      </c>
      <c r="C8" s="78" t="s">
        <v>212</v>
      </c>
      <c r="D8" s="78" t="s">
        <v>213</v>
      </c>
      <c r="E8" s="78" t="s">
        <v>214</v>
      </c>
    </row>
    <row r="9" spans="1:6" ht="43.2" x14ac:dyDescent="0.3">
      <c r="A9" s="78" t="s">
        <v>215</v>
      </c>
      <c r="B9" s="78" t="s">
        <v>216</v>
      </c>
      <c r="C9" s="78" t="s">
        <v>217</v>
      </c>
      <c r="D9" s="78" t="s">
        <v>218</v>
      </c>
      <c r="E9" s="78" t="s">
        <v>219</v>
      </c>
    </row>
    <row r="10" spans="1:6" ht="72" x14ac:dyDescent="0.3">
      <c r="A10" s="78" t="s">
        <v>220</v>
      </c>
      <c r="B10" s="78" t="s">
        <v>221</v>
      </c>
      <c r="C10" s="78" t="s">
        <v>222</v>
      </c>
      <c r="D10" s="78" t="s">
        <v>223</v>
      </c>
      <c r="E10" s="78" t="s">
        <v>224</v>
      </c>
    </row>
    <row r="11" spans="1:6" ht="57.6" x14ac:dyDescent="0.3">
      <c r="A11" s="78" t="s">
        <v>225</v>
      </c>
      <c r="B11" s="78" t="s">
        <v>226</v>
      </c>
      <c r="C11" s="78" t="s">
        <v>227</v>
      </c>
      <c r="D11" s="78" t="s">
        <v>228</v>
      </c>
      <c r="E11" s="78" t="s">
        <v>229</v>
      </c>
    </row>
    <row r="12" spans="1:6" ht="57.6" x14ac:dyDescent="0.3">
      <c r="A12" s="78" t="s">
        <v>230</v>
      </c>
      <c r="B12" s="78" t="s">
        <v>231</v>
      </c>
      <c r="C12" s="78" t="s">
        <v>232</v>
      </c>
      <c r="D12" s="78" t="s">
        <v>228</v>
      </c>
      <c r="E12" s="78" t="s">
        <v>229</v>
      </c>
    </row>
    <row r="13" spans="1:6" ht="43.2" x14ac:dyDescent="0.3">
      <c r="A13" s="78" t="s">
        <v>233</v>
      </c>
      <c r="B13" s="78" t="s">
        <v>234</v>
      </c>
      <c r="C13" s="78" t="s">
        <v>235</v>
      </c>
      <c r="D13" s="78" t="s">
        <v>236</v>
      </c>
      <c r="E13" s="78" t="s">
        <v>237</v>
      </c>
    </row>
    <row r="14" spans="1:6" ht="43.2" x14ac:dyDescent="0.3">
      <c r="A14" s="78" t="s">
        <v>238</v>
      </c>
      <c r="B14" s="78" t="s">
        <v>239</v>
      </c>
      <c r="C14" s="78" t="s">
        <v>240</v>
      </c>
      <c r="D14" s="78" t="s">
        <v>241</v>
      </c>
      <c r="E14" s="78" t="s">
        <v>242</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6"/>
  <dimension ref="A1:E61"/>
  <sheetViews>
    <sheetView workbookViewId="0">
      <selection activeCell="E3" sqref="E3"/>
    </sheetView>
  </sheetViews>
  <sheetFormatPr defaultRowHeight="14.4" x14ac:dyDescent="0.3"/>
  <cols>
    <col min="1" max="1" width="31.21875" customWidth="1"/>
    <col min="2" max="2" width="53" customWidth="1"/>
    <col min="3" max="3" width="14" customWidth="1"/>
    <col min="4" max="4" width="35.6640625" customWidth="1"/>
    <col min="5" max="5" width="68.109375" customWidth="1"/>
  </cols>
  <sheetData>
    <row r="1" spans="1:5" ht="25.2" customHeight="1" x14ac:dyDescent="0.3">
      <c r="A1" s="77" t="s">
        <v>95</v>
      </c>
      <c r="B1" s="77" t="s">
        <v>96</v>
      </c>
      <c r="C1" s="77" t="s">
        <v>5</v>
      </c>
      <c r="D1" s="77" t="s">
        <v>104</v>
      </c>
      <c r="E1" s="77" t="s">
        <v>495</v>
      </c>
    </row>
    <row r="2" spans="1:5" ht="172.8" x14ac:dyDescent="0.3">
      <c r="A2" s="78" t="s">
        <v>243</v>
      </c>
      <c r="B2" s="78" t="s">
        <v>244</v>
      </c>
      <c r="C2" s="80" t="b">
        <v>1</v>
      </c>
      <c r="D2" s="78" t="s">
        <v>245</v>
      </c>
      <c r="E2" s="78" t="s">
        <v>504</v>
      </c>
    </row>
    <row r="3" spans="1:5" ht="172.8" x14ac:dyDescent="0.3">
      <c r="A3" s="78" t="s">
        <v>246</v>
      </c>
      <c r="B3" s="78" t="s">
        <v>247</v>
      </c>
      <c r="C3" s="80" t="b">
        <v>1</v>
      </c>
      <c r="D3" s="78" t="s">
        <v>245</v>
      </c>
      <c r="E3" s="78"/>
    </row>
    <row r="4" spans="1:5" ht="172.8" x14ac:dyDescent="0.3">
      <c r="A4" s="78" t="s">
        <v>248</v>
      </c>
      <c r="B4" s="78" t="s">
        <v>249</v>
      </c>
      <c r="C4" s="80" t="b">
        <v>1</v>
      </c>
      <c r="D4" s="78" t="s">
        <v>245</v>
      </c>
      <c r="E4" s="78"/>
    </row>
    <row r="5" spans="1:5" ht="172.8" x14ac:dyDescent="0.3">
      <c r="A5" s="78" t="s">
        <v>250</v>
      </c>
      <c r="B5" s="78" t="s">
        <v>251</v>
      </c>
      <c r="C5" s="80" t="b">
        <v>1</v>
      </c>
      <c r="D5" s="78" t="s">
        <v>245</v>
      </c>
      <c r="E5" s="78"/>
    </row>
    <row r="6" spans="1:5" ht="115.2" x14ac:dyDescent="0.3">
      <c r="A6" s="78" t="s">
        <v>252</v>
      </c>
      <c r="B6" s="78" t="s">
        <v>253</v>
      </c>
      <c r="C6" s="80" t="b">
        <v>1</v>
      </c>
      <c r="D6" s="78" t="s">
        <v>254</v>
      </c>
      <c r="E6" s="78"/>
    </row>
    <row r="7" spans="1:5" ht="115.2" x14ac:dyDescent="0.3">
      <c r="A7" s="78" t="s">
        <v>255</v>
      </c>
      <c r="B7" s="78" t="s">
        <v>256</v>
      </c>
      <c r="C7" s="80" t="b">
        <v>1</v>
      </c>
      <c r="D7" s="78" t="s">
        <v>254</v>
      </c>
    </row>
    <row r="8" spans="1:5" ht="115.2" x14ac:dyDescent="0.3">
      <c r="A8" s="78" t="s">
        <v>257</v>
      </c>
      <c r="B8" s="78" t="s">
        <v>258</v>
      </c>
      <c r="C8" s="80" t="b">
        <v>1</v>
      </c>
      <c r="D8" s="78" t="s">
        <v>259</v>
      </c>
    </row>
    <row r="9" spans="1:5" ht="172.8" x14ac:dyDescent="0.3">
      <c r="A9" s="78" t="s">
        <v>260</v>
      </c>
      <c r="B9" s="78" t="s">
        <v>261</v>
      </c>
      <c r="C9" s="80" t="b">
        <v>1</v>
      </c>
      <c r="D9" s="78" t="s">
        <v>245</v>
      </c>
    </row>
    <row r="10" spans="1:5" ht="172.8" x14ac:dyDescent="0.3">
      <c r="A10" s="78" t="s">
        <v>262</v>
      </c>
      <c r="B10" s="78" t="s">
        <v>263</v>
      </c>
      <c r="C10" s="80" t="b">
        <v>1</v>
      </c>
      <c r="D10" s="78" t="s">
        <v>245</v>
      </c>
    </row>
    <row r="11" spans="1:5" ht="115.2" x14ac:dyDescent="0.3">
      <c r="A11" s="78" t="s">
        <v>264</v>
      </c>
      <c r="B11" s="78" t="s">
        <v>265</v>
      </c>
      <c r="C11" s="80" t="b">
        <v>1</v>
      </c>
      <c r="D11" s="78" t="s">
        <v>254</v>
      </c>
    </row>
    <row r="12" spans="1:5" ht="115.2" x14ac:dyDescent="0.3">
      <c r="A12" s="78" t="s">
        <v>266</v>
      </c>
      <c r="B12" s="78" t="s">
        <v>267</v>
      </c>
      <c r="C12" s="80" t="b">
        <v>1</v>
      </c>
      <c r="D12" s="78" t="s">
        <v>254</v>
      </c>
    </row>
    <row r="13" spans="1:5" ht="115.2" x14ac:dyDescent="0.3">
      <c r="A13" s="78" t="s">
        <v>268</v>
      </c>
      <c r="B13" s="78" t="s">
        <v>269</v>
      </c>
      <c r="C13" s="80" t="b">
        <v>1</v>
      </c>
      <c r="D13" s="78" t="s">
        <v>254</v>
      </c>
    </row>
    <row r="14" spans="1:5" ht="115.2" x14ac:dyDescent="0.3">
      <c r="A14" s="78" t="s">
        <v>270</v>
      </c>
      <c r="B14" s="78" t="s">
        <v>271</v>
      </c>
      <c r="C14" s="80" t="b">
        <v>1</v>
      </c>
      <c r="D14" s="78" t="s">
        <v>254</v>
      </c>
    </row>
    <row r="15" spans="1:5" ht="115.2" x14ac:dyDescent="0.3">
      <c r="A15" s="78" t="s">
        <v>272</v>
      </c>
      <c r="B15" s="78" t="s">
        <v>273</v>
      </c>
      <c r="C15" s="80" t="b">
        <v>1</v>
      </c>
      <c r="D15" s="78" t="s">
        <v>254</v>
      </c>
    </row>
    <row r="16" spans="1:5" ht="115.2" x14ac:dyDescent="0.3">
      <c r="A16" s="78" t="s">
        <v>274</v>
      </c>
      <c r="B16" s="78" t="s">
        <v>275</v>
      </c>
      <c r="C16" s="80" t="b">
        <v>1</v>
      </c>
      <c r="D16" s="78" t="s">
        <v>254</v>
      </c>
    </row>
    <row r="17" spans="1:4" ht="115.2" x14ac:dyDescent="0.3">
      <c r="A17" s="78" t="s">
        <v>276</v>
      </c>
      <c r="B17" s="78" t="s">
        <v>277</v>
      </c>
      <c r="C17" s="80" t="b">
        <v>1</v>
      </c>
      <c r="D17" s="78" t="s">
        <v>254</v>
      </c>
    </row>
    <row r="18" spans="1:4" ht="115.2" x14ac:dyDescent="0.3">
      <c r="A18" s="78" t="s">
        <v>278</v>
      </c>
      <c r="B18" s="78" t="s">
        <v>279</v>
      </c>
      <c r="C18" s="80" t="b">
        <v>1</v>
      </c>
      <c r="D18" s="78" t="s">
        <v>254</v>
      </c>
    </row>
    <row r="19" spans="1:4" ht="172.8" x14ac:dyDescent="0.3">
      <c r="A19" s="78" t="s">
        <v>280</v>
      </c>
      <c r="B19" s="78" t="s">
        <v>281</v>
      </c>
      <c r="C19" s="80" t="b">
        <v>1</v>
      </c>
      <c r="D19" s="78" t="s">
        <v>245</v>
      </c>
    </row>
    <row r="20" spans="1:4" ht="172.8" x14ac:dyDescent="0.3">
      <c r="A20" s="78" t="s">
        <v>282</v>
      </c>
      <c r="B20" s="78" t="s">
        <v>283</v>
      </c>
      <c r="C20" s="80" t="b">
        <v>1</v>
      </c>
      <c r="D20" s="78" t="s">
        <v>245</v>
      </c>
    </row>
    <row r="21" spans="1:4" ht="115.2" x14ac:dyDescent="0.3">
      <c r="A21" s="78" t="s">
        <v>284</v>
      </c>
      <c r="B21" s="78" t="s">
        <v>285</v>
      </c>
      <c r="C21" s="80" t="b">
        <v>1</v>
      </c>
      <c r="D21" s="78" t="s">
        <v>254</v>
      </c>
    </row>
    <row r="22" spans="1:4" ht="115.2" x14ac:dyDescent="0.3">
      <c r="A22" s="78" t="s">
        <v>286</v>
      </c>
      <c r="B22" s="78" t="s">
        <v>287</v>
      </c>
      <c r="C22" s="80" t="b">
        <v>1</v>
      </c>
      <c r="D22" s="78" t="s">
        <v>254</v>
      </c>
    </row>
    <row r="23" spans="1:4" ht="115.2" x14ac:dyDescent="0.3">
      <c r="A23" s="78" t="s">
        <v>288</v>
      </c>
      <c r="B23" s="78" t="s">
        <v>289</v>
      </c>
      <c r="C23" s="80" t="b">
        <v>1</v>
      </c>
      <c r="D23" s="78" t="s">
        <v>254</v>
      </c>
    </row>
    <row r="24" spans="1:4" ht="115.2" x14ac:dyDescent="0.3">
      <c r="A24" s="78" t="s">
        <v>290</v>
      </c>
      <c r="B24" s="78" t="s">
        <v>291</v>
      </c>
      <c r="C24" s="80" t="b">
        <v>1</v>
      </c>
      <c r="D24" s="78" t="s">
        <v>254</v>
      </c>
    </row>
    <row r="25" spans="1:4" ht="115.2" x14ac:dyDescent="0.3">
      <c r="A25" s="78" t="s">
        <v>292</v>
      </c>
      <c r="B25" s="78" t="s">
        <v>293</v>
      </c>
      <c r="C25" s="80" t="b">
        <v>1</v>
      </c>
      <c r="D25" s="78" t="s">
        <v>254</v>
      </c>
    </row>
    <row r="26" spans="1:4" ht="115.2" x14ac:dyDescent="0.3">
      <c r="A26" s="78" t="s">
        <v>294</v>
      </c>
      <c r="B26" s="78" t="s">
        <v>295</v>
      </c>
      <c r="C26" s="80" t="b">
        <v>1</v>
      </c>
      <c r="D26" s="78" t="s">
        <v>254</v>
      </c>
    </row>
    <row r="27" spans="1:4" ht="115.2" x14ac:dyDescent="0.3">
      <c r="A27" s="78" t="s">
        <v>296</v>
      </c>
      <c r="B27" s="78" t="s">
        <v>297</v>
      </c>
      <c r="C27" s="80" t="b">
        <v>1</v>
      </c>
      <c r="D27" s="78" t="s">
        <v>254</v>
      </c>
    </row>
    <row r="28" spans="1:4" ht="115.2" x14ac:dyDescent="0.3">
      <c r="A28" s="78" t="s">
        <v>298</v>
      </c>
      <c r="B28" s="78" t="s">
        <v>299</v>
      </c>
      <c r="C28" s="80" t="b">
        <v>1</v>
      </c>
      <c r="D28" s="78" t="s">
        <v>254</v>
      </c>
    </row>
    <row r="29" spans="1:4" ht="172.8" x14ac:dyDescent="0.3">
      <c r="A29" s="78" t="s">
        <v>300</v>
      </c>
      <c r="B29" s="78" t="s">
        <v>301</v>
      </c>
      <c r="C29" s="80" t="b">
        <v>1</v>
      </c>
      <c r="D29" s="78" t="s">
        <v>245</v>
      </c>
    </row>
    <row r="30" spans="1:4" ht="115.2" x14ac:dyDescent="0.3">
      <c r="A30" s="78" t="s">
        <v>302</v>
      </c>
      <c r="B30" s="78" t="s">
        <v>303</v>
      </c>
      <c r="C30" s="80" t="b">
        <v>1</v>
      </c>
      <c r="D30" s="78" t="s">
        <v>254</v>
      </c>
    </row>
    <row r="31" spans="1:4" ht="115.2" x14ac:dyDescent="0.3">
      <c r="A31" s="78" t="s">
        <v>304</v>
      </c>
      <c r="B31" s="78" t="s">
        <v>151</v>
      </c>
      <c r="C31" s="80" t="b">
        <v>1</v>
      </c>
      <c r="D31" s="78" t="s">
        <v>254</v>
      </c>
    </row>
    <row r="32" spans="1:4" ht="115.2" x14ac:dyDescent="0.3">
      <c r="A32" s="78" t="s">
        <v>305</v>
      </c>
      <c r="B32" s="78" t="s">
        <v>306</v>
      </c>
      <c r="C32" s="80" t="b">
        <v>1</v>
      </c>
      <c r="D32" s="78" t="s">
        <v>254</v>
      </c>
    </row>
    <row r="33" spans="1:4" ht="115.2" x14ac:dyDescent="0.3">
      <c r="A33" s="78" t="s">
        <v>307</v>
      </c>
      <c r="B33" s="78" t="s">
        <v>308</v>
      </c>
      <c r="C33" s="80" t="b">
        <v>1</v>
      </c>
      <c r="D33" s="78" t="s">
        <v>254</v>
      </c>
    </row>
    <row r="34" spans="1:4" ht="115.2" x14ac:dyDescent="0.3">
      <c r="A34" s="78" t="s">
        <v>309</v>
      </c>
      <c r="B34" s="78" t="s">
        <v>310</v>
      </c>
      <c r="C34" s="80" t="b">
        <v>0</v>
      </c>
      <c r="D34" s="78" t="s">
        <v>254</v>
      </c>
    </row>
    <row r="35" spans="1:4" ht="115.2" x14ac:dyDescent="0.3">
      <c r="A35" s="78" t="s">
        <v>311</v>
      </c>
      <c r="B35" s="78" t="s">
        <v>312</v>
      </c>
      <c r="C35" s="80" t="b">
        <v>1</v>
      </c>
      <c r="D35" s="78" t="s">
        <v>254</v>
      </c>
    </row>
    <row r="36" spans="1:4" ht="115.2" x14ac:dyDescent="0.3">
      <c r="A36" s="78" t="s">
        <v>313</v>
      </c>
      <c r="B36" s="78" t="s">
        <v>314</v>
      </c>
      <c r="C36" s="80" t="b">
        <v>1</v>
      </c>
      <c r="D36" s="78" t="s">
        <v>254</v>
      </c>
    </row>
    <row r="37" spans="1:4" ht="115.2" x14ac:dyDescent="0.3">
      <c r="A37" s="78" t="s">
        <v>315</v>
      </c>
      <c r="B37" s="78" t="s">
        <v>316</v>
      </c>
      <c r="C37" s="80" t="b">
        <v>0</v>
      </c>
      <c r="D37" s="78" t="s">
        <v>254</v>
      </c>
    </row>
    <row r="38" spans="1:4" ht="115.2" x14ac:dyDescent="0.3">
      <c r="A38" s="78" t="s">
        <v>317</v>
      </c>
      <c r="B38" s="78" t="s">
        <v>318</v>
      </c>
      <c r="C38" s="80" t="b">
        <v>1</v>
      </c>
      <c r="D38" s="78" t="s">
        <v>254</v>
      </c>
    </row>
    <row r="39" spans="1:4" ht="115.2" x14ac:dyDescent="0.3">
      <c r="A39" s="78" t="s">
        <v>319</v>
      </c>
      <c r="B39" s="78" t="s">
        <v>320</v>
      </c>
      <c r="C39" s="80" t="b">
        <v>1</v>
      </c>
      <c r="D39" s="78" t="s">
        <v>254</v>
      </c>
    </row>
    <row r="40" spans="1:4" ht="172.8" x14ac:dyDescent="0.3">
      <c r="A40" s="78" t="s">
        <v>321</v>
      </c>
      <c r="B40" s="78" t="s">
        <v>322</v>
      </c>
      <c r="C40" s="80" t="b">
        <v>1</v>
      </c>
      <c r="D40" s="78" t="s">
        <v>245</v>
      </c>
    </row>
    <row r="41" spans="1:4" ht="158.4" x14ac:dyDescent="0.3">
      <c r="A41" s="78" t="s">
        <v>323</v>
      </c>
      <c r="B41" s="78" t="s">
        <v>324</v>
      </c>
      <c r="C41" s="80" t="b">
        <v>1</v>
      </c>
      <c r="D41" s="78" t="s">
        <v>325</v>
      </c>
    </row>
    <row r="42" spans="1:4" ht="115.2" x14ac:dyDescent="0.3">
      <c r="A42" s="78" t="s">
        <v>326</v>
      </c>
      <c r="B42" s="78" t="s">
        <v>327</v>
      </c>
      <c r="C42" s="80" t="b">
        <v>1</v>
      </c>
      <c r="D42" s="78" t="s">
        <v>259</v>
      </c>
    </row>
    <row r="43" spans="1:4" ht="115.2" x14ac:dyDescent="0.3">
      <c r="A43" s="78" t="s">
        <v>328</v>
      </c>
      <c r="B43" s="78" t="s">
        <v>329</v>
      </c>
      <c r="C43" s="80" t="b">
        <v>1</v>
      </c>
      <c r="D43" s="78" t="s">
        <v>254</v>
      </c>
    </row>
    <row r="44" spans="1:4" ht="115.2" x14ac:dyDescent="0.3">
      <c r="A44" s="78" t="s">
        <v>330</v>
      </c>
      <c r="B44" s="78" t="s">
        <v>331</v>
      </c>
      <c r="C44" s="80" t="b">
        <v>1</v>
      </c>
      <c r="D44" s="78" t="s">
        <v>254</v>
      </c>
    </row>
    <row r="45" spans="1:4" ht="172.8" x14ac:dyDescent="0.3">
      <c r="A45" s="78" t="s">
        <v>332</v>
      </c>
      <c r="B45" s="78" t="s">
        <v>333</v>
      </c>
      <c r="C45" s="80" t="b">
        <v>1</v>
      </c>
      <c r="D45" s="78" t="s">
        <v>245</v>
      </c>
    </row>
    <row r="46" spans="1:4" ht="172.8" x14ac:dyDescent="0.3">
      <c r="A46" s="78" t="s">
        <v>334</v>
      </c>
      <c r="B46" s="78" t="s">
        <v>335</v>
      </c>
      <c r="C46" s="80" t="b">
        <v>1</v>
      </c>
      <c r="D46" s="78" t="s">
        <v>336</v>
      </c>
    </row>
    <row r="47" spans="1:4" ht="115.2" x14ac:dyDescent="0.3">
      <c r="A47" s="78" t="s">
        <v>337</v>
      </c>
      <c r="B47" s="78" t="s">
        <v>338</v>
      </c>
      <c r="C47" s="80" t="b">
        <v>1</v>
      </c>
      <c r="D47" s="78" t="s">
        <v>259</v>
      </c>
    </row>
    <row r="48" spans="1:4" ht="100.8" x14ac:dyDescent="0.3">
      <c r="A48" s="78" t="s">
        <v>339</v>
      </c>
      <c r="B48" s="78" t="s">
        <v>340</v>
      </c>
      <c r="C48" s="80" t="b">
        <v>1</v>
      </c>
      <c r="D48" s="78" t="s">
        <v>341</v>
      </c>
    </row>
    <row r="49" spans="1:4" ht="172.8" x14ac:dyDescent="0.3">
      <c r="A49" s="78" t="s">
        <v>342</v>
      </c>
      <c r="B49" s="78" t="s">
        <v>343</v>
      </c>
      <c r="C49" s="80" t="b">
        <v>1</v>
      </c>
      <c r="D49" s="78" t="s">
        <v>344</v>
      </c>
    </row>
    <row r="50" spans="1:4" ht="86.4" x14ac:dyDescent="0.3">
      <c r="A50" s="78" t="s">
        <v>345</v>
      </c>
      <c r="B50" s="78" t="s">
        <v>346</v>
      </c>
      <c r="C50" s="80" t="b">
        <v>0</v>
      </c>
      <c r="D50" s="78" t="s">
        <v>347</v>
      </c>
    </row>
    <row r="51" spans="1:4" ht="100.8" x14ac:dyDescent="0.3">
      <c r="A51" s="78" t="s">
        <v>348</v>
      </c>
      <c r="B51" s="78" t="s">
        <v>349</v>
      </c>
      <c r="C51" s="80" t="b">
        <v>1</v>
      </c>
      <c r="D51" s="78" t="s">
        <v>350</v>
      </c>
    </row>
    <row r="52" spans="1:4" ht="115.2" x14ac:dyDescent="0.3">
      <c r="A52" s="78" t="s">
        <v>351</v>
      </c>
      <c r="B52" s="78" t="s">
        <v>352</v>
      </c>
      <c r="C52" s="80" t="b">
        <v>1</v>
      </c>
      <c r="D52" s="78" t="s">
        <v>259</v>
      </c>
    </row>
    <row r="53" spans="1:4" ht="115.2" x14ac:dyDescent="0.3">
      <c r="A53" s="78" t="s">
        <v>353</v>
      </c>
      <c r="B53" s="78" t="s">
        <v>354</v>
      </c>
      <c r="C53" s="80" t="b">
        <v>1</v>
      </c>
      <c r="D53" s="78" t="s">
        <v>355</v>
      </c>
    </row>
    <row r="54" spans="1:4" ht="115.2" x14ac:dyDescent="0.3">
      <c r="A54" s="78" t="s">
        <v>356</v>
      </c>
      <c r="B54" s="78" t="s">
        <v>357</v>
      </c>
      <c r="C54" s="80" t="b">
        <v>1</v>
      </c>
      <c r="D54" s="78" t="s">
        <v>358</v>
      </c>
    </row>
    <row r="55" spans="1:4" ht="115.2" x14ac:dyDescent="0.3">
      <c r="A55" s="78" t="s">
        <v>359</v>
      </c>
      <c r="B55" s="78" t="s">
        <v>360</v>
      </c>
      <c r="C55" s="80" t="b">
        <v>0</v>
      </c>
      <c r="D55" s="78" t="s">
        <v>358</v>
      </c>
    </row>
    <row r="56" spans="1:4" ht="115.2" x14ac:dyDescent="0.3">
      <c r="A56" s="78" t="s">
        <v>361</v>
      </c>
      <c r="B56" s="78" t="s">
        <v>362</v>
      </c>
      <c r="C56" s="80" t="b">
        <v>0</v>
      </c>
      <c r="D56" s="78" t="s">
        <v>358</v>
      </c>
    </row>
    <row r="57" spans="1:4" ht="115.2" x14ac:dyDescent="0.3">
      <c r="A57" s="78" t="s">
        <v>363</v>
      </c>
      <c r="B57" s="78" t="s">
        <v>364</v>
      </c>
      <c r="C57" s="80" t="b">
        <v>0</v>
      </c>
      <c r="D57" s="78" t="s">
        <v>358</v>
      </c>
    </row>
    <row r="58" spans="1:4" ht="115.2" x14ac:dyDescent="0.3">
      <c r="A58" s="78" t="s">
        <v>365</v>
      </c>
      <c r="B58" s="78" t="s">
        <v>366</v>
      </c>
      <c r="C58" s="80" t="b">
        <v>0</v>
      </c>
      <c r="D58" s="78" t="s">
        <v>358</v>
      </c>
    </row>
    <row r="59" spans="1:4" ht="115.2" x14ac:dyDescent="0.3">
      <c r="A59" s="78" t="s">
        <v>367</v>
      </c>
      <c r="B59" s="78" t="s">
        <v>368</v>
      </c>
      <c r="C59" s="80" t="b">
        <v>0</v>
      </c>
      <c r="D59" s="78" t="s">
        <v>358</v>
      </c>
    </row>
    <row r="60" spans="1:4" ht="115.2" x14ac:dyDescent="0.3">
      <c r="A60" s="78" t="s">
        <v>369</v>
      </c>
      <c r="B60" s="78" t="s">
        <v>370</v>
      </c>
      <c r="C60" s="80" t="b">
        <v>0</v>
      </c>
      <c r="D60" s="78" t="s">
        <v>358</v>
      </c>
    </row>
    <row r="61" spans="1:4" ht="115.2" x14ac:dyDescent="0.3">
      <c r="A61" s="78" t="s">
        <v>371</v>
      </c>
      <c r="B61" s="78" t="s">
        <v>372</v>
      </c>
      <c r="C61" s="80" t="b">
        <v>0</v>
      </c>
      <c r="D61" s="78" t="s">
        <v>358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696F-E74D-4AD0-AE52-B46589CF15F5}">
  <sheetPr codeName="Planilha7"/>
  <dimension ref="A1:E61"/>
  <sheetViews>
    <sheetView workbookViewId="0"/>
  </sheetViews>
  <sheetFormatPr defaultRowHeight="14.4" x14ac:dyDescent="0.3"/>
  <cols>
    <col min="1" max="1" width="41.33203125" style="85" bestFit="1" customWidth="1"/>
    <col min="2" max="2" width="73.109375" style="85" customWidth="1"/>
    <col min="3" max="3" width="14" customWidth="1"/>
    <col min="4" max="4" width="31" style="85" customWidth="1"/>
    <col min="5" max="5" width="41.6640625" style="85" customWidth="1"/>
    <col min="6" max="16384" width="8.88671875" style="85"/>
  </cols>
  <sheetData>
    <row r="1" spans="1:5" x14ac:dyDescent="0.3">
      <c r="A1" s="77" t="s">
        <v>95</v>
      </c>
      <c r="B1" s="77" t="s">
        <v>96</v>
      </c>
      <c r="C1" s="77" t="s">
        <v>496</v>
      </c>
      <c r="D1" s="77" t="s">
        <v>104</v>
      </c>
      <c r="E1" s="77" t="s">
        <v>495</v>
      </c>
    </row>
    <row r="2" spans="1:5" ht="28.8" x14ac:dyDescent="0.3">
      <c r="A2" s="85" t="s">
        <v>374</v>
      </c>
      <c r="B2" s="86" t="s">
        <v>383</v>
      </c>
      <c r="C2" s="80" t="b">
        <v>1</v>
      </c>
      <c r="D2" s="85" t="s">
        <v>384</v>
      </c>
      <c r="E2" s="78"/>
    </row>
    <row r="3" spans="1:5" ht="28.8" x14ac:dyDescent="0.3">
      <c r="A3" s="85" t="s">
        <v>375</v>
      </c>
      <c r="B3" s="86" t="s">
        <v>385</v>
      </c>
      <c r="C3" s="80" t="b">
        <v>1</v>
      </c>
      <c r="D3" s="85" t="s">
        <v>384</v>
      </c>
      <c r="E3" s="78"/>
    </row>
    <row r="4" spans="1:5" ht="28.8" x14ac:dyDescent="0.3">
      <c r="A4" s="85" t="s">
        <v>376</v>
      </c>
      <c r="B4" s="86" t="s">
        <v>386</v>
      </c>
      <c r="C4" s="80" t="b">
        <v>1</v>
      </c>
      <c r="D4" s="85" t="s">
        <v>384</v>
      </c>
      <c r="E4" s="78"/>
    </row>
    <row r="5" spans="1:5" ht="28.8" x14ac:dyDescent="0.3">
      <c r="A5" s="85" t="s">
        <v>377</v>
      </c>
      <c r="B5" s="86" t="s">
        <v>387</v>
      </c>
      <c r="C5" s="80" t="b">
        <v>1</v>
      </c>
      <c r="D5" s="85" t="s">
        <v>384</v>
      </c>
      <c r="E5" s="78"/>
    </row>
    <row r="6" spans="1:5" ht="28.8" x14ac:dyDescent="0.3">
      <c r="A6" s="85" t="s">
        <v>378</v>
      </c>
      <c r="B6" s="86" t="s">
        <v>388</v>
      </c>
      <c r="C6" s="80" t="b">
        <v>1</v>
      </c>
      <c r="D6" s="85" t="s">
        <v>384</v>
      </c>
      <c r="E6" s="78"/>
    </row>
    <row r="7" spans="1:5" ht="28.8" x14ac:dyDescent="0.3">
      <c r="A7" s="85" t="s">
        <v>379</v>
      </c>
      <c r="B7" s="86" t="s">
        <v>389</v>
      </c>
      <c r="C7" s="80" t="b">
        <v>0</v>
      </c>
      <c r="D7" s="85" t="s">
        <v>384</v>
      </c>
    </row>
    <row r="8" spans="1:5" ht="28.8" x14ac:dyDescent="0.3">
      <c r="A8" s="85" t="s">
        <v>380</v>
      </c>
      <c r="B8" s="86" t="s">
        <v>390</v>
      </c>
      <c r="C8" s="80" t="b">
        <v>1</v>
      </c>
      <c r="D8" s="85" t="s">
        <v>384</v>
      </c>
    </row>
    <row r="9" spans="1:5" ht="28.8" x14ac:dyDescent="0.3">
      <c r="A9" s="85" t="s">
        <v>381</v>
      </c>
      <c r="B9" s="86" t="s">
        <v>391</v>
      </c>
      <c r="C9" s="80" t="b">
        <v>0</v>
      </c>
      <c r="D9" s="85" t="s">
        <v>384</v>
      </c>
    </row>
    <row r="10" spans="1:5" x14ac:dyDescent="0.3">
      <c r="A10" s="85" t="s">
        <v>382</v>
      </c>
      <c r="B10" s="86" t="s">
        <v>392</v>
      </c>
      <c r="C10" s="80" t="b">
        <v>1</v>
      </c>
      <c r="D10" s="85" t="s">
        <v>384</v>
      </c>
    </row>
    <row r="11" spans="1:5" x14ac:dyDescent="0.3">
      <c r="C11" s="80"/>
    </row>
    <row r="12" spans="1:5" x14ac:dyDescent="0.3">
      <c r="C12" s="80"/>
    </row>
    <row r="13" spans="1:5" x14ac:dyDescent="0.3">
      <c r="C13" s="80"/>
    </row>
    <row r="14" spans="1:5" x14ac:dyDescent="0.3">
      <c r="C14" s="80"/>
    </row>
    <row r="15" spans="1:5" x14ac:dyDescent="0.3">
      <c r="C15" s="80"/>
    </row>
    <row r="16" spans="1:5" x14ac:dyDescent="0.3">
      <c r="C16" s="80"/>
    </row>
    <row r="17" spans="3:3" x14ac:dyDescent="0.3">
      <c r="C17" s="80"/>
    </row>
    <row r="18" spans="3:3" x14ac:dyDescent="0.3">
      <c r="C18" s="80"/>
    </row>
    <row r="19" spans="3:3" x14ac:dyDescent="0.3">
      <c r="C19" s="80"/>
    </row>
    <row r="20" spans="3:3" x14ac:dyDescent="0.3">
      <c r="C20" s="80"/>
    </row>
    <row r="21" spans="3:3" x14ac:dyDescent="0.3">
      <c r="C21" s="80"/>
    </row>
    <row r="22" spans="3:3" x14ac:dyDescent="0.3">
      <c r="C22" s="80"/>
    </row>
    <row r="23" spans="3:3" x14ac:dyDescent="0.3">
      <c r="C23" s="80"/>
    </row>
    <row r="24" spans="3:3" x14ac:dyDescent="0.3">
      <c r="C24" s="80"/>
    </row>
    <row r="25" spans="3:3" x14ac:dyDescent="0.3">
      <c r="C25" s="80"/>
    </row>
    <row r="26" spans="3:3" x14ac:dyDescent="0.3">
      <c r="C26" s="80"/>
    </row>
    <row r="27" spans="3:3" x14ac:dyDescent="0.3">
      <c r="C27" s="80"/>
    </row>
    <row r="28" spans="3:3" x14ac:dyDescent="0.3">
      <c r="C28" s="80"/>
    </row>
    <row r="29" spans="3:3" x14ac:dyDescent="0.3">
      <c r="C29" s="80"/>
    </row>
    <row r="30" spans="3:3" x14ac:dyDescent="0.3">
      <c r="C30" s="80"/>
    </row>
    <row r="31" spans="3:3" x14ac:dyDescent="0.3">
      <c r="C31" s="80"/>
    </row>
    <row r="32" spans="3:3" x14ac:dyDescent="0.3">
      <c r="C32" s="80"/>
    </row>
    <row r="33" spans="3:3" x14ac:dyDescent="0.3">
      <c r="C33" s="80"/>
    </row>
    <row r="34" spans="3:3" x14ac:dyDescent="0.3">
      <c r="C34" s="80"/>
    </row>
    <row r="35" spans="3:3" x14ac:dyDescent="0.3">
      <c r="C35" s="80"/>
    </row>
    <row r="36" spans="3:3" x14ac:dyDescent="0.3">
      <c r="C36" s="80"/>
    </row>
    <row r="37" spans="3:3" x14ac:dyDescent="0.3">
      <c r="C37" s="80"/>
    </row>
    <row r="38" spans="3:3" x14ac:dyDescent="0.3">
      <c r="C38" s="80"/>
    </row>
    <row r="39" spans="3:3" x14ac:dyDescent="0.3">
      <c r="C39" s="80"/>
    </row>
    <row r="40" spans="3:3" x14ac:dyDescent="0.3">
      <c r="C40" s="80"/>
    </row>
    <row r="41" spans="3:3" x14ac:dyDescent="0.3">
      <c r="C41" s="80"/>
    </row>
    <row r="42" spans="3:3" x14ac:dyDescent="0.3">
      <c r="C42" s="80"/>
    </row>
    <row r="43" spans="3:3" x14ac:dyDescent="0.3">
      <c r="C43" s="80"/>
    </row>
    <row r="44" spans="3:3" x14ac:dyDescent="0.3">
      <c r="C44" s="80"/>
    </row>
    <row r="45" spans="3:3" x14ac:dyDescent="0.3">
      <c r="C45" s="80"/>
    </row>
    <row r="46" spans="3:3" x14ac:dyDescent="0.3">
      <c r="C46" s="80"/>
    </row>
    <row r="47" spans="3:3" x14ac:dyDescent="0.3">
      <c r="C47" s="80"/>
    </row>
    <row r="48" spans="3:3" x14ac:dyDescent="0.3">
      <c r="C48" s="80"/>
    </row>
    <row r="49" spans="3:3" x14ac:dyDescent="0.3">
      <c r="C49" s="80"/>
    </row>
    <row r="50" spans="3:3" x14ac:dyDescent="0.3">
      <c r="C50" s="80"/>
    </row>
    <row r="51" spans="3:3" x14ac:dyDescent="0.3">
      <c r="C51" s="80"/>
    </row>
    <row r="52" spans="3:3" x14ac:dyDescent="0.3">
      <c r="C52" s="80"/>
    </row>
    <row r="53" spans="3:3" x14ac:dyDescent="0.3">
      <c r="C53" s="80"/>
    </row>
    <row r="54" spans="3:3" x14ac:dyDescent="0.3">
      <c r="C54" s="80"/>
    </row>
    <row r="55" spans="3:3" x14ac:dyDescent="0.3">
      <c r="C55" s="80"/>
    </row>
    <row r="56" spans="3:3" x14ac:dyDescent="0.3">
      <c r="C56" s="80"/>
    </row>
    <row r="57" spans="3:3" x14ac:dyDescent="0.3">
      <c r="C57" s="80"/>
    </row>
    <row r="58" spans="3:3" x14ac:dyDescent="0.3">
      <c r="C58" s="80"/>
    </row>
    <row r="59" spans="3:3" x14ac:dyDescent="0.3">
      <c r="C59" s="80"/>
    </row>
    <row r="60" spans="3:3" x14ac:dyDescent="0.3">
      <c r="C60" s="80"/>
    </row>
    <row r="61" spans="3:3" x14ac:dyDescent="0.3">
      <c r="C61" s="80"/>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33282-022B-4DFE-9A4F-D6E318F8C59C}">
  <dimension ref="A1:Q41"/>
  <sheetViews>
    <sheetView tabSelected="1" topLeftCell="P1" workbookViewId="0">
      <selection sqref="A1:Q1"/>
    </sheetView>
  </sheetViews>
  <sheetFormatPr defaultRowHeight="14.4" x14ac:dyDescent="0.3"/>
  <cols>
    <col min="1" max="1" width="27.6640625" bestFit="1" customWidth="1"/>
    <col min="2" max="2" width="10.109375" bestFit="1" customWidth="1"/>
    <col min="3" max="3" width="92.109375" customWidth="1"/>
    <col min="4" max="4" width="100.6640625" bestFit="1" customWidth="1"/>
    <col min="5" max="5" width="5" bestFit="1" customWidth="1"/>
    <col min="6" max="6" width="4.5546875" bestFit="1" customWidth="1"/>
    <col min="7" max="7" width="3.5546875" bestFit="1" customWidth="1"/>
    <col min="8" max="8" width="17.21875" bestFit="1" customWidth="1"/>
    <col min="9" max="9" width="17.77734375" bestFit="1" customWidth="1"/>
    <col min="10" max="10" width="21.109375" bestFit="1" customWidth="1"/>
    <col min="11" max="11" width="33.88671875" bestFit="1" customWidth="1"/>
    <col min="12" max="12" width="6.6640625" bestFit="1" customWidth="1"/>
    <col min="13" max="13" width="26" bestFit="1" customWidth="1"/>
    <col min="14" max="14" width="15.44140625" bestFit="1" customWidth="1"/>
    <col min="15" max="15" width="7.44140625" customWidth="1"/>
    <col min="16" max="16" width="167.88671875" bestFit="1" customWidth="1"/>
    <col min="17" max="17" width="114.33203125" customWidth="1"/>
  </cols>
  <sheetData>
    <row r="1" spans="1:17" x14ac:dyDescent="0.3">
      <c r="A1" s="77" t="s">
        <v>505</v>
      </c>
      <c r="B1" s="77" t="s">
        <v>2</v>
      </c>
      <c r="C1" s="77" t="s">
        <v>506</v>
      </c>
      <c r="D1" s="77" t="s">
        <v>507</v>
      </c>
      <c r="E1" s="77" t="s">
        <v>508</v>
      </c>
      <c r="F1" s="77" t="s">
        <v>509</v>
      </c>
      <c r="G1" s="77" t="s">
        <v>510</v>
      </c>
      <c r="H1" s="77" t="s">
        <v>511</v>
      </c>
      <c r="I1" s="77" t="s">
        <v>512</v>
      </c>
      <c r="J1" s="77" t="s">
        <v>513</v>
      </c>
      <c r="K1" s="77" t="s">
        <v>514</v>
      </c>
      <c r="L1" s="77" t="s">
        <v>515</v>
      </c>
      <c r="M1" s="77" t="s">
        <v>516</v>
      </c>
      <c r="N1" s="77" t="s">
        <v>517</v>
      </c>
      <c r="O1" s="77" t="s">
        <v>518</v>
      </c>
      <c r="P1" s="77" t="s">
        <v>519</v>
      </c>
      <c r="Q1" s="77" t="s">
        <v>520</v>
      </c>
    </row>
    <row r="2" spans="1:17" x14ac:dyDescent="0.3">
      <c r="A2" t="s">
        <v>521</v>
      </c>
      <c r="B2" t="s">
        <v>522</v>
      </c>
      <c r="C2" t="s">
        <v>523</v>
      </c>
      <c r="D2" t="s">
        <v>524</v>
      </c>
      <c r="E2" t="s">
        <v>525</v>
      </c>
      <c r="H2" t="s">
        <v>526</v>
      </c>
      <c r="J2" t="s">
        <v>527</v>
      </c>
      <c r="P2" t="s">
        <v>528</v>
      </c>
      <c r="Q2" t="s">
        <v>529</v>
      </c>
    </row>
    <row r="3" spans="1:17" x14ac:dyDescent="0.3">
      <c r="A3" t="s">
        <v>530</v>
      </c>
      <c r="B3" t="s">
        <v>522</v>
      </c>
      <c r="C3" t="s">
        <v>523</v>
      </c>
      <c r="D3" t="s">
        <v>531</v>
      </c>
      <c r="E3" t="s">
        <v>532</v>
      </c>
      <c r="F3" t="s">
        <v>533</v>
      </c>
      <c r="G3" t="s">
        <v>534</v>
      </c>
      <c r="H3" t="s">
        <v>526</v>
      </c>
      <c r="J3" t="s">
        <v>527</v>
      </c>
      <c r="P3" t="s">
        <v>535</v>
      </c>
      <c r="Q3" t="s">
        <v>536</v>
      </c>
    </row>
    <row r="4" spans="1:17" x14ac:dyDescent="0.3">
      <c r="A4" t="s">
        <v>537</v>
      </c>
      <c r="B4" t="s">
        <v>522</v>
      </c>
      <c r="C4" t="s">
        <v>538</v>
      </c>
      <c r="D4" t="s">
        <v>539</v>
      </c>
      <c r="E4" t="s">
        <v>540</v>
      </c>
      <c r="F4" t="s">
        <v>541</v>
      </c>
      <c r="G4" t="s">
        <v>542</v>
      </c>
      <c r="P4" t="s">
        <v>543</v>
      </c>
      <c r="Q4" t="s">
        <v>544</v>
      </c>
    </row>
    <row r="5" spans="1:17" x14ac:dyDescent="0.3">
      <c r="A5" t="s">
        <v>545</v>
      </c>
      <c r="B5" t="s">
        <v>522</v>
      </c>
      <c r="C5" t="s">
        <v>546</v>
      </c>
      <c r="D5" t="s">
        <v>547</v>
      </c>
      <c r="E5" t="s">
        <v>540</v>
      </c>
      <c r="F5" t="s">
        <v>548</v>
      </c>
      <c r="P5" t="s">
        <v>549</v>
      </c>
      <c r="Q5" t="s">
        <v>550</v>
      </c>
    </row>
    <row r="6" spans="1:17" x14ac:dyDescent="0.3">
      <c r="A6" t="s">
        <v>551</v>
      </c>
      <c r="B6" t="s">
        <v>522</v>
      </c>
      <c r="C6" t="s">
        <v>523</v>
      </c>
      <c r="D6" t="s">
        <v>552</v>
      </c>
      <c r="E6" t="s">
        <v>553</v>
      </c>
      <c r="F6" t="s">
        <v>554</v>
      </c>
      <c r="P6" t="s">
        <v>555</v>
      </c>
      <c r="Q6" t="s">
        <v>556</v>
      </c>
    </row>
    <row r="7" spans="1:17" x14ac:dyDescent="0.3">
      <c r="A7" t="s">
        <v>557</v>
      </c>
      <c r="B7" t="s">
        <v>522</v>
      </c>
      <c r="C7" t="s">
        <v>546</v>
      </c>
      <c r="D7" t="s">
        <v>558</v>
      </c>
      <c r="E7" t="s">
        <v>559</v>
      </c>
      <c r="F7" t="s">
        <v>560</v>
      </c>
      <c r="P7" t="s">
        <v>561</v>
      </c>
      <c r="Q7" t="s">
        <v>562</v>
      </c>
    </row>
    <row r="8" spans="1:17" x14ac:dyDescent="0.3">
      <c r="A8" t="s">
        <v>563</v>
      </c>
      <c r="B8" t="s">
        <v>522</v>
      </c>
      <c r="C8" t="s">
        <v>546</v>
      </c>
      <c r="D8" t="s">
        <v>564</v>
      </c>
      <c r="E8" t="s">
        <v>565</v>
      </c>
      <c r="F8" t="s">
        <v>566</v>
      </c>
      <c r="P8" t="s">
        <v>567</v>
      </c>
      <c r="Q8" t="s">
        <v>568</v>
      </c>
    </row>
    <row r="9" spans="1:17" x14ac:dyDescent="0.3">
      <c r="A9" t="s">
        <v>569</v>
      </c>
      <c r="B9" t="s">
        <v>522</v>
      </c>
      <c r="C9" t="s">
        <v>570</v>
      </c>
      <c r="D9" t="s">
        <v>571</v>
      </c>
      <c r="E9" t="s">
        <v>532</v>
      </c>
      <c r="F9" t="s">
        <v>560</v>
      </c>
      <c r="G9" t="s">
        <v>572</v>
      </c>
      <c r="P9" t="s">
        <v>573</v>
      </c>
      <c r="Q9" t="s">
        <v>574</v>
      </c>
    </row>
    <row r="10" spans="1:17" x14ac:dyDescent="0.3">
      <c r="A10" t="s">
        <v>575</v>
      </c>
      <c r="B10" t="s">
        <v>522</v>
      </c>
      <c r="C10" t="s">
        <v>546</v>
      </c>
      <c r="D10" t="s">
        <v>576</v>
      </c>
      <c r="E10" t="s">
        <v>577</v>
      </c>
      <c r="F10" t="s">
        <v>554</v>
      </c>
      <c r="P10" t="s">
        <v>578</v>
      </c>
      <c r="Q10" t="s">
        <v>579</v>
      </c>
    </row>
    <row r="11" spans="1:17" x14ac:dyDescent="0.3">
      <c r="A11" t="s">
        <v>580</v>
      </c>
      <c r="B11" t="s">
        <v>522</v>
      </c>
      <c r="C11" t="s">
        <v>581</v>
      </c>
      <c r="D11" t="s">
        <v>582</v>
      </c>
      <c r="E11" t="s">
        <v>583</v>
      </c>
      <c r="F11" t="s">
        <v>584</v>
      </c>
      <c r="G11" t="s">
        <v>585</v>
      </c>
      <c r="P11" t="s">
        <v>586</v>
      </c>
      <c r="Q11" t="s">
        <v>587</v>
      </c>
    </row>
    <row r="12" spans="1:17" x14ac:dyDescent="0.3">
      <c r="A12" t="s">
        <v>588</v>
      </c>
      <c r="B12" t="s">
        <v>522</v>
      </c>
      <c r="C12" t="s">
        <v>546</v>
      </c>
      <c r="D12" t="s">
        <v>589</v>
      </c>
      <c r="E12" t="s">
        <v>565</v>
      </c>
      <c r="F12" t="s">
        <v>584</v>
      </c>
      <c r="P12" t="s">
        <v>590</v>
      </c>
      <c r="Q12" t="s">
        <v>591</v>
      </c>
    </row>
    <row r="13" spans="1:17" x14ac:dyDescent="0.3">
      <c r="A13" t="s">
        <v>592</v>
      </c>
      <c r="B13" t="s">
        <v>522</v>
      </c>
      <c r="C13" t="s">
        <v>593</v>
      </c>
      <c r="D13" t="s">
        <v>594</v>
      </c>
      <c r="E13" t="s">
        <v>595</v>
      </c>
      <c r="F13" t="s">
        <v>584</v>
      </c>
      <c r="P13" t="s">
        <v>596</v>
      </c>
      <c r="Q13" t="s">
        <v>597</v>
      </c>
    </row>
    <row r="14" spans="1:17" x14ac:dyDescent="0.3">
      <c r="A14" t="s">
        <v>598</v>
      </c>
      <c r="B14" t="s">
        <v>522</v>
      </c>
      <c r="C14" t="s">
        <v>593</v>
      </c>
      <c r="D14" t="s">
        <v>599</v>
      </c>
      <c r="E14" t="s">
        <v>600</v>
      </c>
      <c r="F14" t="s">
        <v>601</v>
      </c>
      <c r="P14" t="s">
        <v>602</v>
      </c>
      <c r="Q14" t="s">
        <v>603</v>
      </c>
    </row>
    <row r="15" spans="1:17" x14ac:dyDescent="0.3">
      <c r="A15" t="s">
        <v>604</v>
      </c>
      <c r="B15" t="s">
        <v>522</v>
      </c>
      <c r="C15" t="s">
        <v>523</v>
      </c>
      <c r="D15" t="s">
        <v>605</v>
      </c>
      <c r="E15" t="s">
        <v>606</v>
      </c>
      <c r="F15" t="s">
        <v>533</v>
      </c>
      <c r="P15" t="s">
        <v>607</v>
      </c>
      <c r="Q15" t="s">
        <v>608</v>
      </c>
    </row>
    <row r="16" spans="1:17" x14ac:dyDescent="0.3">
      <c r="A16" t="s">
        <v>609</v>
      </c>
      <c r="B16" t="s">
        <v>610</v>
      </c>
      <c r="C16" t="s">
        <v>611</v>
      </c>
      <c r="D16" t="s">
        <v>612</v>
      </c>
      <c r="E16" t="s">
        <v>613</v>
      </c>
      <c r="H16" t="s">
        <v>614</v>
      </c>
      <c r="L16" t="s">
        <v>615</v>
      </c>
      <c r="P16" t="s">
        <v>616</v>
      </c>
    </row>
    <row r="17" spans="1:17" x14ac:dyDescent="0.3">
      <c r="A17" t="s">
        <v>617</v>
      </c>
      <c r="B17" t="s">
        <v>522</v>
      </c>
      <c r="C17" t="s">
        <v>570</v>
      </c>
      <c r="D17" t="s">
        <v>618</v>
      </c>
      <c r="E17" t="s">
        <v>540</v>
      </c>
      <c r="F17" t="s">
        <v>541</v>
      </c>
      <c r="G17" t="s">
        <v>619</v>
      </c>
      <c r="P17" t="s">
        <v>620</v>
      </c>
      <c r="Q17" t="s">
        <v>621</v>
      </c>
    </row>
    <row r="18" spans="1:17" x14ac:dyDescent="0.3">
      <c r="A18" t="s">
        <v>622</v>
      </c>
      <c r="B18" t="s">
        <v>522</v>
      </c>
      <c r="C18" t="s">
        <v>623</v>
      </c>
      <c r="D18" t="s">
        <v>624</v>
      </c>
      <c r="E18" t="s">
        <v>553</v>
      </c>
      <c r="F18" t="s">
        <v>554</v>
      </c>
      <c r="G18" t="s">
        <v>625</v>
      </c>
      <c r="P18" t="s">
        <v>626</v>
      </c>
      <c r="Q18" t="s">
        <v>627</v>
      </c>
    </row>
    <row r="19" spans="1:17" x14ac:dyDescent="0.3">
      <c r="A19" t="s">
        <v>628</v>
      </c>
      <c r="B19" t="s">
        <v>522</v>
      </c>
      <c r="C19" t="s">
        <v>546</v>
      </c>
      <c r="D19" t="s">
        <v>629</v>
      </c>
      <c r="E19" t="s">
        <v>630</v>
      </c>
      <c r="F19" t="s">
        <v>554</v>
      </c>
      <c r="P19" t="s">
        <v>631</v>
      </c>
      <c r="Q19" t="s">
        <v>632</v>
      </c>
    </row>
    <row r="20" spans="1:17" x14ac:dyDescent="0.3">
      <c r="A20" t="s">
        <v>633</v>
      </c>
      <c r="B20" t="s">
        <v>522</v>
      </c>
      <c r="C20" t="s">
        <v>634</v>
      </c>
      <c r="D20" t="s">
        <v>635</v>
      </c>
      <c r="E20" t="s">
        <v>636</v>
      </c>
      <c r="P20" t="s">
        <v>637</v>
      </c>
    </row>
    <row r="21" spans="1:17" x14ac:dyDescent="0.3">
      <c r="A21" t="s">
        <v>638</v>
      </c>
      <c r="B21" t="s">
        <v>522</v>
      </c>
      <c r="C21" t="s">
        <v>546</v>
      </c>
      <c r="D21" t="s">
        <v>639</v>
      </c>
      <c r="E21" t="s">
        <v>540</v>
      </c>
      <c r="F21" t="s">
        <v>640</v>
      </c>
      <c r="P21" t="s">
        <v>641</v>
      </c>
      <c r="Q21" t="s">
        <v>642</v>
      </c>
    </row>
    <row r="22" spans="1:17" x14ac:dyDescent="0.3">
      <c r="A22" t="s">
        <v>643</v>
      </c>
      <c r="B22" t="s">
        <v>522</v>
      </c>
      <c r="C22" t="s">
        <v>644</v>
      </c>
      <c r="D22" t="s">
        <v>645</v>
      </c>
      <c r="E22" t="s">
        <v>565</v>
      </c>
      <c r="H22" t="s">
        <v>614</v>
      </c>
      <c r="P22" t="s">
        <v>646</v>
      </c>
      <c r="Q22" t="s">
        <v>647</v>
      </c>
    </row>
    <row r="23" spans="1:17" x14ac:dyDescent="0.3">
      <c r="A23" t="s">
        <v>648</v>
      </c>
      <c r="B23" t="s">
        <v>610</v>
      </c>
      <c r="C23" t="s">
        <v>649</v>
      </c>
      <c r="D23" t="s">
        <v>650</v>
      </c>
      <c r="E23" t="s">
        <v>613</v>
      </c>
      <c r="H23" t="s">
        <v>651</v>
      </c>
      <c r="I23" t="s">
        <v>652</v>
      </c>
      <c r="P23" t="s">
        <v>653</v>
      </c>
      <c r="Q23" t="s">
        <v>654</v>
      </c>
    </row>
    <row r="24" spans="1:17" x14ac:dyDescent="0.3">
      <c r="A24" t="s">
        <v>655</v>
      </c>
      <c r="B24" t="s">
        <v>522</v>
      </c>
      <c r="C24" t="s">
        <v>644</v>
      </c>
      <c r="D24" t="s">
        <v>656</v>
      </c>
      <c r="E24" t="s">
        <v>559</v>
      </c>
      <c r="F24" t="s">
        <v>657</v>
      </c>
      <c r="H24" t="s">
        <v>614</v>
      </c>
      <c r="P24" t="s">
        <v>658</v>
      </c>
      <c r="Q24" t="s">
        <v>659</v>
      </c>
    </row>
    <row r="25" spans="1:17" x14ac:dyDescent="0.3">
      <c r="A25" t="s">
        <v>660</v>
      </c>
      <c r="B25" t="s">
        <v>522</v>
      </c>
      <c r="C25" t="s">
        <v>593</v>
      </c>
      <c r="D25" t="s">
        <v>661</v>
      </c>
      <c r="E25" t="s">
        <v>662</v>
      </c>
      <c r="F25" t="s">
        <v>554</v>
      </c>
      <c r="P25" t="s">
        <v>663</v>
      </c>
      <c r="Q25" t="s">
        <v>664</v>
      </c>
    </row>
    <row r="26" spans="1:17" x14ac:dyDescent="0.3">
      <c r="A26" t="s">
        <v>665</v>
      </c>
      <c r="B26" t="s">
        <v>522</v>
      </c>
      <c r="C26" t="s">
        <v>666</v>
      </c>
      <c r="D26" t="s">
        <v>667</v>
      </c>
      <c r="E26" t="s">
        <v>668</v>
      </c>
      <c r="F26" t="s">
        <v>601</v>
      </c>
      <c r="P26" t="s">
        <v>669</v>
      </c>
      <c r="Q26" t="s">
        <v>670</v>
      </c>
    </row>
    <row r="27" spans="1:17" x14ac:dyDescent="0.3">
      <c r="A27" t="s">
        <v>671</v>
      </c>
      <c r="B27" t="s">
        <v>522</v>
      </c>
      <c r="C27" t="s">
        <v>666</v>
      </c>
      <c r="D27" t="s">
        <v>672</v>
      </c>
      <c r="E27" t="s">
        <v>673</v>
      </c>
      <c r="F27" t="s">
        <v>584</v>
      </c>
      <c r="P27" t="s">
        <v>674</v>
      </c>
      <c r="Q27" t="s">
        <v>675</v>
      </c>
    </row>
    <row r="28" spans="1:17" x14ac:dyDescent="0.3">
      <c r="A28" t="s">
        <v>676</v>
      </c>
      <c r="B28" t="s">
        <v>522</v>
      </c>
      <c r="C28" t="s">
        <v>623</v>
      </c>
      <c r="D28" t="s">
        <v>677</v>
      </c>
      <c r="E28" t="s">
        <v>678</v>
      </c>
      <c r="F28" t="s">
        <v>601</v>
      </c>
      <c r="G28" t="s">
        <v>679</v>
      </c>
      <c r="P28" t="s">
        <v>680</v>
      </c>
      <c r="Q28" t="s">
        <v>681</v>
      </c>
    </row>
    <row r="29" spans="1:17" x14ac:dyDescent="0.3">
      <c r="A29" t="s">
        <v>682</v>
      </c>
      <c r="B29" t="s">
        <v>522</v>
      </c>
      <c r="C29" t="s">
        <v>683</v>
      </c>
      <c r="D29" t="s">
        <v>684</v>
      </c>
      <c r="E29" t="s">
        <v>613</v>
      </c>
      <c r="F29" t="s">
        <v>685</v>
      </c>
      <c r="G29" t="s">
        <v>686</v>
      </c>
      <c r="P29" t="s">
        <v>687</v>
      </c>
      <c r="Q29" t="s">
        <v>688</v>
      </c>
    </row>
    <row r="30" spans="1:17" x14ac:dyDescent="0.3">
      <c r="A30" t="s">
        <v>689</v>
      </c>
      <c r="B30" t="s">
        <v>522</v>
      </c>
      <c r="C30" t="s">
        <v>683</v>
      </c>
      <c r="D30" t="s">
        <v>690</v>
      </c>
      <c r="E30" t="s">
        <v>678</v>
      </c>
      <c r="F30" t="s">
        <v>533</v>
      </c>
      <c r="G30" t="s">
        <v>679</v>
      </c>
      <c r="P30" t="s">
        <v>691</v>
      </c>
      <c r="Q30" t="s">
        <v>692</v>
      </c>
    </row>
    <row r="31" spans="1:17" x14ac:dyDescent="0.3">
      <c r="A31" t="s">
        <v>693</v>
      </c>
      <c r="B31" t="s">
        <v>522</v>
      </c>
      <c r="C31" t="s">
        <v>694</v>
      </c>
      <c r="D31" t="s">
        <v>695</v>
      </c>
      <c r="E31" t="s">
        <v>553</v>
      </c>
      <c r="F31" t="s">
        <v>566</v>
      </c>
      <c r="G31" t="s">
        <v>696</v>
      </c>
      <c r="P31" t="s">
        <v>697</v>
      </c>
      <c r="Q31" t="s">
        <v>698</v>
      </c>
    </row>
    <row r="32" spans="1:17" x14ac:dyDescent="0.3">
      <c r="A32" t="s">
        <v>699</v>
      </c>
      <c r="B32" t="s">
        <v>522</v>
      </c>
      <c r="C32" t="s">
        <v>666</v>
      </c>
      <c r="D32" t="s">
        <v>700</v>
      </c>
      <c r="E32" t="s">
        <v>701</v>
      </c>
      <c r="F32" t="s">
        <v>566</v>
      </c>
      <c r="G32" t="s">
        <v>702</v>
      </c>
      <c r="P32" t="s">
        <v>703</v>
      </c>
      <c r="Q32" t="s">
        <v>704</v>
      </c>
    </row>
    <row r="33" spans="1:17" x14ac:dyDescent="0.3">
      <c r="A33" t="s">
        <v>705</v>
      </c>
      <c r="B33" t="s">
        <v>522</v>
      </c>
      <c r="C33" t="s">
        <v>666</v>
      </c>
      <c r="D33" t="s">
        <v>706</v>
      </c>
      <c r="E33" t="s">
        <v>630</v>
      </c>
      <c r="F33" t="s">
        <v>533</v>
      </c>
      <c r="P33" t="s">
        <v>707</v>
      </c>
      <c r="Q33" t="s">
        <v>708</v>
      </c>
    </row>
    <row r="34" spans="1:17" x14ac:dyDescent="0.3">
      <c r="A34" t="s">
        <v>709</v>
      </c>
      <c r="B34" t="s">
        <v>522</v>
      </c>
      <c r="C34" t="s">
        <v>523</v>
      </c>
      <c r="D34" t="s">
        <v>710</v>
      </c>
      <c r="E34" t="s">
        <v>711</v>
      </c>
      <c r="F34" t="s">
        <v>584</v>
      </c>
      <c r="P34" t="s">
        <v>712</v>
      </c>
      <c r="Q34" t="s">
        <v>713</v>
      </c>
    </row>
    <row r="35" spans="1:17" x14ac:dyDescent="0.3">
      <c r="A35" t="s">
        <v>714</v>
      </c>
      <c r="B35" t="s">
        <v>522</v>
      </c>
      <c r="C35" t="s">
        <v>666</v>
      </c>
      <c r="D35" t="s">
        <v>715</v>
      </c>
      <c r="E35" t="s">
        <v>716</v>
      </c>
      <c r="F35" t="s">
        <v>640</v>
      </c>
      <c r="P35" t="s">
        <v>717</v>
      </c>
      <c r="Q35" t="s">
        <v>718</v>
      </c>
    </row>
    <row r="36" spans="1:17" x14ac:dyDescent="0.3">
      <c r="A36" t="s">
        <v>719</v>
      </c>
      <c r="B36" t="s">
        <v>522</v>
      </c>
      <c r="C36" t="s">
        <v>546</v>
      </c>
      <c r="D36" t="s">
        <v>720</v>
      </c>
      <c r="E36" t="s">
        <v>662</v>
      </c>
      <c r="P36" t="s">
        <v>721</v>
      </c>
      <c r="Q36" t="s">
        <v>722</v>
      </c>
    </row>
    <row r="37" spans="1:17" x14ac:dyDescent="0.3">
      <c r="A37" t="s">
        <v>723</v>
      </c>
      <c r="B37" t="s">
        <v>522</v>
      </c>
      <c r="C37" t="s">
        <v>724</v>
      </c>
      <c r="D37" t="s">
        <v>725</v>
      </c>
      <c r="E37" t="s">
        <v>595</v>
      </c>
      <c r="F37" t="s">
        <v>726</v>
      </c>
      <c r="G37" t="s">
        <v>727</v>
      </c>
      <c r="O37" t="s">
        <v>728</v>
      </c>
      <c r="P37" t="s">
        <v>729</v>
      </c>
      <c r="Q37" t="s">
        <v>730</v>
      </c>
    </row>
    <row r="38" spans="1:17" x14ac:dyDescent="0.3">
      <c r="A38" t="s">
        <v>731</v>
      </c>
      <c r="B38" t="s">
        <v>732</v>
      </c>
      <c r="C38" t="s">
        <v>733</v>
      </c>
      <c r="D38" t="s">
        <v>734</v>
      </c>
      <c r="E38" t="s">
        <v>577</v>
      </c>
      <c r="H38" t="s">
        <v>735</v>
      </c>
      <c r="K38" t="s">
        <v>736</v>
      </c>
      <c r="N38" t="s">
        <v>737</v>
      </c>
      <c r="P38" t="s">
        <v>738</v>
      </c>
    </row>
    <row r="39" spans="1:17" x14ac:dyDescent="0.3">
      <c r="A39" t="s">
        <v>739</v>
      </c>
      <c r="B39" t="s">
        <v>522</v>
      </c>
      <c r="C39" t="s">
        <v>593</v>
      </c>
      <c r="D39" t="s">
        <v>740</v>
      </c>
      <c r="E39" t="s">
        <v>630</v>
      </c>
      <c r="F39" t="s">
        <v>640</v>
      </c>
      <c r="P39" t="s">
        <v>741</v>
      </c>
      <c r="Q39" t="s">
        <v>742</v>
      </c>
    </row>
    <row r="40" spans="1:17" x14ac:dyDescent="0.3">
      <c r="A40" t="s">
        <v>743</v>
      </c>
      <c r="B40" t="s">
        <v>732</v>
      </c>
      <c r="C40" t="s">
        <v>744</v>
      </c>
      <c r="D40" t="s">
        <v>745</v>
      </c>
      <c r="E40" t="s">
        <v>553</v>
      </c>
      <c r="K40" t="s">
        <v>744</v>
      </c>
      <c r="M40" t="s">
        <v>746</v>
      </c>
      <c r="Q40" t="s">
        <v>747</v>
      </c>
    </row>
    <row r="41" spans="1:17" x14ac:dyDescent="0.3">
      <c r="A41" t="s">
        <v>748</v>
      </c>
      <c r="B41" t="s">
        <v>732</v>
      </c>
      <c r="C41" t="s">
        <v>749</v>
      </c>
      <c r="D41" t="s">
        <v>750</v>
      </c>
      <c r="E41" t="s">
        <v>553</v>
      </c>
      <c r="F41" t="s">
        <v>751</v>
      </c>
      <c r="K41" t="s">
        <v>752</v>
      </c>
      <c r="Q41" t="s">
        <v>753</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EFB79-9413-429D-AF2D-5031090968DC}">
  <sheetPr codeName="Planilha8"/>
  <dimension ref="A1:Z48"/>
  <sheetViews>
    <sheetView workbookViewId="0">
      <selection activeCell="A45" sqref="A45"/>
    </sheetView>
  </sheetViews>
  <sheetFormatPr defaultRowHeight="14.4" x14ac:dyDescent="0.3"/>
  <cols>
    <col min="1" max="1" width="5.77734375" customWidth="1"/>
    <col min="2" max="2" width="52.77734375" customWidth="1"/>
    <col min="3" max="3" width="22.77734375" customWidth="1"/>
    <col min="4" max="4" width="0" hidden="1" customWidth="1"/>
    <col min="26" max="26" width="0" hidden="1" customWidth="1"/>
  </cols>
  <sheetData>
    <row r="1" spans="1:26" ht="28.05" customHeight="1" x14ac:dyDescent="0.3">
      <c r="A1" s="141" t="s">
        <v>497</v>
      </c>
      <c r="B1" s="141"/>
      <c r="C1" s="141"/>
      <c r="D1" s="141"/>
      <c r="Z1" t="s">
        <v>502</v>
      </c>
    </row>
    <row r="2" spans="1:26" ht="36" customHeight="1" x14ac:dyDescent="0.3">
      <c r="A2" s="142" t="s">
        <v>498</v>
      </c>
      <c r="B2" s="142"/>
      <c r="C2" s="142"/>
      <c r="D2" s="142"/>
      <c r="Z2" t="s">
        <v>503</v>
      </c>
    </row>
    <row r="3" spans="1:26" ht="30" customHeight="1" x14ac:dyDescent="0.3">
      <c r="Z3">
        <v>48</v>
      </c>
    </row>
    <row r="5" spans="1:26" x14ac:dyDescent="0.3">
      <c r="A5" s="87" t="s">
        <v>499</v>
      </c>
      <c r="B5" s="87" t="s">
        <v>500</v>
      </c>
      <c r="C5" s="87" t="s">
        <v>501</v>
      </c>
    </row>
    <row r="6" spans="1:26" ht="22.05" customHeight="1" x14ac:dyDescent="0.3">
      <c r="A6" s="88"/>
      <c r="B6" s="89" t="s">
        <v>418</v>
      </c>
      <c r="C6" s="88" t="s">
        <v>417</v>
      </c>
      <c r="D6" t="b">
        <v>1</v>
      </c>
    </row>
    <row r="7" spans="1:26" ht="22.05" customHeight="1" x14ac:dyDescent="0.3">
      <c r="A7" s="88"/>
      <c r="B7" s="89" t="s">
        <v>473</v>
      </c>
      <c r="C7" s="88" t="s">
        <v>472</v>
      </c>
      <c r="D7" t="b">
        <v>0</v>
      </c>
    </row>
    <row r="8" spans="1:26" ht="22.05" customHeight="1" x14ac:dyDescent="0.3">
      <c r="A8" s="88"/>
      <c r="B8" s="89" t="s">
        <v>432</v>
      </c>
      <c r="C8" s="88" t="s">
        <v>431</v>
      </c>
      <c r="D8" t="b">
        <v>0</v>
      </c>
    </row>
    <row r="9" spans="1:26" ht="22.05" customHeight="1" x14ac:dyDescent="0.3">
      <c r="A9" s="88"/>
      <c r="B9" s="89" t="s">
        <v>445</v>
      </c>
      <c r="C9" s="88" t="s">
        <v>444</v>
      </c>
      <c r="D9" t="b">
        <v>0</v>
      </c>
    </row>
    <row r="10" spans="1:26" ht="22.05" customHeight="1" x14ac:dyDescent="0.3">
      <c r="A10" s="88"/>
      <c r="B10" s="89" t="s">
        <v>458</v>
      </c>
      <c r="C10" s="88" t="s">
        <v>457</v>
      </c>
      <c r="D10" t="b">
        <v>1</v>
      </c>
    </row>
    <row r="11" spans="1:26" ht="22.05" customHeight="1" x14ac:dyDescent="0.3">
      <c r="A11" s="88"/>
      <c r="B11" s="89" t="s">
        <v>395</v>
      </c>
      <c r="C11" s="88" t="s">
        <v>394</v>
      </c>
      <c r="D11" t="b">
        <v>0</v>
      </c>
    </row>
    <row r="12" spans="1:26" ht="22.05" customHeight="1" x14ac:dyDescent="0.3">
      <c r="A12" s="88"/>
      <c r="B12" s="89" t="s">
        <v>408</v>
      </c>
      <c r="C12" s="88" t="s">
        <v>407</v>
      </c>
      <c r="D12" t="b">
        <v>1</v>
      </c>
    </row>
    <row r="13" spans="1:26" ht="22.05" customHeight="1" x14ac:dyDescent="0.3">
      <c r="A13" s="88"/>
      <c r="B13" s="89" t="s">
        <v>398</v>
      </c>
      <c r="C13" s="88" t="s">
        <v>397</v>
      </c>
      <c r="D13" t="b">
        <v>0</v>
      </c>
    </row>
    <row r="14" spans="1:26" ht="22.05" customHeight="1" x14ac:dyDescent="0.3">
      <c r="A14" s="88"/>
      <c r="B14" s="89" t="s">
        <v>410</v>
      </c>
      <c r="C14" s="88" t="s">
        <v>409</v>
      </c>
      <c r="D14" t="b">
        <v>0</v>
      </c>
    </row>
    <row r="15" spans="1:26" ht="22.05" customHeight="1" x14ac:dyDescent="0.3">
      <c r="A15" s="88"/>
      <c r="B15" s="89" t="s">
        <v>422</v>
      </c>
      <c r="C15" s="88" t="s">
        <v>421</v>
      </c>
      <c r="D15" t="b">
        <v>1</v>
      </c>
    </row>
    <row r="16" spans="1:26" ht="22.05" customHeight="1" x14ac:dyDescent="0.3">
      <c r="A16" s="88"/>
      <c r="B16" s="89" t="s">
        <v>447</v>
      </c>
      <c r="C16" s="88" t="s">
        <v>446</v>
      </c>
      <c r="D16" t="b">
        <v>0</v>
      </c>
    </row>
    <row r="17" spans="1:4" ht="22.05" customHeight="1" x14ac:dyDescent="0.3">
      <c r="A17" s="88"/>
      <c r="B17" s="89" t="s">
        <v>404</v>
      </c>
      <c r="C17" s="88" t="s">
        <v>403</v>
      </c>
      <c r="D17" t="b">
        <v>0</v>
      </c>
    </row>
    <row r="18" spans="1:4" ht="22.05" customHeight="1" x14ac:dyDescent="0.3">
      <c r="A18" s="88"/>
      <c r="B18" s="89" t="s">
        <v>468</v>
      </c>
      <c r="C18" s="88" t="s">
        <v>467</v>
      </c>
      <c r="D18" t="b">
        <v>0</v>
      </c>
    </row>
    <row r="19" spans="1:4" ht="22.05" customHeight="1" x14ac:dyDescent="0.3">
      <c r="A19" s="88"/>
      <c r="B19" s="89" t="s">
        <v>470</v>
      </c>
      <c r="C19" s="88" t="s">
        <v>469</v>
      </c>
      <c r="D19" t="b">
        <v>0</v>
      </c>
    </row>
    <row r="20" spans="1:4" ht="22.05" customHeight="1" x14ac:dyDescent="0.3">
      <c r="A20" s="88"/>
      <c r="B20" s="89" t="s">
        <v>412</v>
      </c>
      <c r="C20" s="88" t="s">
        <v>411</v>
      </c>
      <c r="D20" t="b">
        <v>0</v>
      </c>
    </row>
    <row r="21" spans="1:4" ht="22.05" customHeight="1" x14ac:dyDescent="0.3">
      <c r="A21" s="88"/>
      <c r="B21" s="89" t="s">
        <v>424</v>
      </c>
      <c r="C21" s="88" t="s">
        <v>423</v>
      </c>
      <c r="D21" t="b">
        <v>0</v>
      </c>
    </row>
    <row r="22" spans="1:4" ht="22.05" customHeight="1" x14ac:dyDescent="0.3">
      <c r="A22" s="88"/>
      <c r="B22" s="89" t="s">
        <v>414</v>
      </c>
      <c r="C22" s="88" t="s">
        <v>413</v>
      </c>
      <c r="D22" t="b">
        <v>0</v>
      </c>
    </row>
    <row r="23" spans="1:4" ht="22.05" customHeight="1" x14ac:dyDescent="0.3">
      <c r="A23" s="88"/>
      <c r="B23" s="89" t="s">
        <v>466</v>
      </c>
      <c r="C23" s="88" t="s">
        <v>465</v>
      </c>
      <c r="D23" t="b">
        <v>0</v>
      </c>
    </row>
    <row r="24" spans="1:4" ht="22.05" customHeight="1" x14ac:dyDescent="0.3">
      <c r="A24" s="88"/>
      <c r="B24" s="89" t="s">
        <v>449</v>
      </c>
      <c r="C24" s="88" t="s">
        <v>448</v>
      </c>
      <c r="D24" t="b">
        <v>0</v>
      </c>
    </row>
    <row r="25" spans="1:4" ht="22.05" customHeight="1" x14ac:dyDescent="0.3">
      <c r="A25" s="88"/>
      <c r="B25" s="89" t="s">
        <v>449</v>
      </c>
      <c r="C25" s="88" t="s">
        <v>456</v>
      </c>
      <c r="D25" t="b">
        <v>0</v>
      </c>
    </row>
    <row r="26" spans="1:4" ht="22.05" customHeight="1" x14ac:dyDescent="0.3">
      <c r="A26" s="88"/>
      <c r="B26" s="89" t="s">
        <v>400</v>
      </c>
      <c r="C26" s="88" t="s">
        <v>399</v>
      </c>
      <c r="D26" t="b">
        <v>0</v>
      </c>
    </row>
    <row r="27" spans="1:4" ht="22.05" customHeight="1" x14ac:dyDescent="0.3">
      <c r="A27" s="88"/>
      <c r="B27" s="89" t="s">
        <v>428</v>
      </c>
      <c r="C27" s="88" t="s">
        <v>427</v>
      </c>
      <c r="D27" t="b">
        <v>0</v>
      </c>
    </row>
    <row r="28" spans="1:4" ht="22.05" customHeight="1" x14ac:dyDescent="0.3">
      <c r="A28" s="88"/>
      <c r="B28" s="89" t="s">
        <v>416</v>
      </c>
      <c r="C28" s="88" t="s">
        <v>415</v>
      </c>
      <c r="D28" t="b">
        <v>0</v>
      </c>
    </row>
    <row r="29" spans="1:4" ht="22.05" customHeight="1" x14ac:dyDescent="0.3">
      <c r="A29" s="88"/>
      <c r="B29" s="89" t="s">
        <v>430</v>
      </c>
      <c r="C29" s="88" t="s">
        <v>429</v>
      </c>
      <c r="D29" t="b">
        <v>0</v>
      </c>
    </row>
    <row r="30" spans="1:4" ht="22.05" customHeight="1" x14ac:dyDescent="0.3">
      <c r="A30" s="88"/>
      <c r="B30" s="89" t="s">
        <v>437</v>
      </c>
      <c r="C30" s="88" t="s">
        <v>436</v>
      </c>
      <c r="D30" t="b">
        <v>0</v>
      </c>
    </row>
    <row r="31" spans="1:4" ht="22.05" customHeight="1" x14ac:dyDescent="0.3">
      <c r="A31" s="88"/>
      <c r="B31" s="89" t="s">
        <v>464</v>
      </c>
      <c r="C31" s="88" t="s">
        <v>463</v>
      </c>
      <c r="D31" t="b">
        <v>0</v>
      </c>
    </row>
    <row r="32" spans="1:4" ht="22.05" customHeight="1" x14ac:dyDescent="0.3">
      <c r="A32" s="88"/>
      <c r="B32" s="89" t="s">
        <v>435</v>
      </c>
      <c r="C32" s="88" t="s">
        <v>434</v>
      </c>
      <c r="D32" t="b">
        <v>0</v>
      </c>
    </row>
    <row r="33" spans="1:4" ht="22.05" customHeight="1" x14ac:dyDescent="0.3">
      <c r="A33" s="88"/>
      <c r="B33" s="89" t="s">
        <v>402</v>
      </c>
      <c r="C33" s="88" t="s">
        <v>401</v>
      </c>
      <c r="D33" t="b">
        <v>0</v>
      </c>
    </row>
    <row r="34" spans="1:4" ht="22.05" customHeight="1" x14ac:dyDescent="0.3">
      <c r="A34" s="88"/>
      <c r="B34" s="89" t="s">
        <v>451</v>
      </c>
      <c r="C34" s="88" t="s">
        <v>450</v>
      </c>
      <c r="D34" t="b">
        <v>0</v>
      </c>
    </row>
    <row r="35" spans="1:4" ht="22.05" customHeight="1" x14ac:dyDescent="0.3">
      <c r="A35" s="88"/>
      <c r="B35" s="89" t="s">
        <v>426</v>
      </c>
      <c r="C35" s="88" t="s">
        <v>425</v>
      </c>
      <c r="D35" t="b">
        <v>0</v>
      </c>
    </row>
    <row r="36" spans="1:4" ht="22.05" customHeight="1" x14ac:dyDescent="0.3">
      <c r="A36" s="88"/>
      <c r="B36" s="89" t="s">
        <v>462</v>
      </c>
      <c r="C36" s="88" t="s">
        <v>461</v>
      </c>
      <c r="D36" t="b">
        <v>0</v>
      </c>
    </row>
    <row r="37" spans="1:4" ht="22.05" customHeight="1" x14ac:dyDescent="0.3">
      <c r="A37" s="88"/>
      <c r="B37" s="89" t="s">
        <v>460</v>
      </c>
      <c r="C37" s="88" t="s">
        <v>459</v>
      </c>
      <c r="D37" t="b">
        <v>0</v>
      </c>
    </row>
    <row r="38" spans="1:4" ht="22.05" customHeight="1" x14ac:dyDescent="0.3">
      <c r="A38" s="88"/>
      <c r="B38" s="89" t="s">
        <v>439</v>
      </c>
      <c r="C38" s="88" t="s">
        <v>438</v>
      </c>
      <c r="D38" t="b">
        <v>0</v>
      </c>
    </row>
    <row r="39" spans="1:4" ht="22.05" customHeight="1" x14ac:dyDescent="0.3">
      <c r="A39" s="88"/>
      <c r="B39" s="89" t="s">
        <v>453</v>
      </c>
      <c r="C39" s="88" t="s">
        <v>452</v>
      </c>
      <c r="D39" t="b">
        <v>0</v>
      </c>
    </row>
    <row r="40" spans="1:4" ht="22.05" customHeight="1" x14ac:dyDescent="0.3">
      <c r="A40" s="88"/>
      <c r="B40" s="89" t="s">
        <v>420</v>
      </c>
      <c r="C40" s="88" t="s">
        <v>419</v>
      </c>
      <c r="D40" t="b">
        <v>0</v>
      </c>
    </row>
    <row r="41" spans="1:4" ht="22.05" customHeight="1" x14ac:dyDescent="0.3">
      <c r="A41" s="88"/>
      <c r="B41" s="89" t="s">
        <v>441</v>
      </c>
      <c r="C41" s="88" t="s">
        <v>440</v>
      </c>
      <c r="D41" t="b">
        <v>0</v>
      </c>
    </row>
    <row r="42" spans="1:4" ht="22.05" customHeight="1" x14ac:dyDescent="0.3">
      <c r="A42" s="88"/>
      <c r="B42" s="89" t="s">
        <v>443</v>
      </c>
      <c r="C42" s="88" t="s">
        <v>442</v>
      </c>
      <c r="D42" t="b">
        <v>0</v>
      </c>
    </row>
    <row r="43" spans="1:4" ht="22.05" customHeight="1" x14ac:dyDescent="0.3">
      <c r="A43" s="88"/>
      <c r="B43" s="89" t="s">
        <v>455</v>
      </c>
      <c r="C43" s="88" t="s">
        <v>454</v>
      </c>
      <c r="D43" t="b">
        <v>0</v>
      </c>
    </row>
    <row r="44" spans="1:4" ht="22.05" customHeight="1" x14ac:dyDescent="0.3">
      <c r="A44" s="88"/>
      <c r="B44" s="89" t="s">
        <v>406</v>
      </c>
      <c r="C44" s="88" t="s">
        <v>405</v>
      </c>
      <c r="D44" t="b">
        <v>1</v>
      </c>
    </row>
    <row r="45" spans="1:4" ht="22.05" customHeight="1" x14ac:dyDescent="0.3">
      <c r="A45" s="88"/>
      <c r="B45" s="89" t="s">
        <v>476</v>
      </c>
      <c r="C45" s="88" t="s">
        <v>475</v>
      </c>
      <c r="D45" t="b">
        <v>1</v>
      </c>
    </row>
    <row r="46" spans="1:4" ht="22.05" customHeight="1" x14ac:dyDescent="0.3">
      <c r="A46" s="88"/>
      <c r="B46" s="89" t="s">
        <v>478</v>
      </c>
      <c r="C46" s="88" t="s">
        <v>477</v>
      </c>
      <c r="D46" t="b">
        <v>0</v>
      </c>
    </row>
    <row r="47" spans="1:4" ht="22.05" customHeight="1" x14ac:dyDescent="0.3">
      <c r="A47" s="88"/>
      <c r="B47" s="89" t="s">
        <v>480</v>
      </c>
      <c r="C47" s="88" t="s">
        <v>479</v>
      </c>
      <c r="D47" t="b">
        <v>1</v>
      </c>
    </row>
    <row r="48" spans="1:4" ht="22.05" customHeight="1" x14ac:dyDescent="0.3">
      <c r="A48" s="88"/>
      <c r="B48" s="89" t="s">
        <v>482</v>
      </c>
      <c r="C48" s="88" t="s">
        <v>481</v>
      </c>
      <c r="D48" t="b">
        <v>1</v>
      </c>
    </row>
  </sheetData>
  <mergeCells count="2">
    <mergeCell ref="A1:D1"/>
    <mergeCell ref="A2:D2"/>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217" r:id="rId3" name="chkComponente_6">
              <controlPr defaultSize="0" print="0" autoFill="0" autoLine="0" autoPict="0">
                <anchor moveWithCells="1">
                  <from>
                    <xdr:col>0</xdr:col>
                    <xdr:colOff>60960</xdr:colOff>
                    <xdr:row>5</xdr:row>
                    <xdr:rowOff>22860</xdr:rowOff>
                  </from>
                  <to>
                    <xdr:col>0</xdr:col>
                    <xdr:colOff>297180</xdr:colOff>
                    <xdr:row>5</xdr:row>
                    <xdr:rowOff>236220</xdr:rowOff>
                  </to>
                </anchor>
              </controlPr>
            </control>
          </mc:Choice>
        </mc:AlternateContent>
        <mc:AlternateContent xmlns:mc="http://schemas.openxmlformats.org/markup-compatibility/2006">
          <mc:Choice Requires="x14">
            <control shapeId="9218" r:id="rId4" name="chkComponente_7">
              <controlPr defaultSize="0" print="0" autoFill="0" autoLine="0" autoPict="0">
                <anchor moveWithCells="1">
                  <from>
                    <xdr:col>0</xdr:col>
                    <xdr:colOff>60960</xdr:colOff>
                    <xdr:row>6</xdr:row>
                    <xdr:rowOff>22860</xdr:rowOff>
                  </from>
                  <to>
                    <xdr:col>0</xdr:col>
                    <xdr:colOff>297180</xdr:colOff>
                    <xdr:row>6</xdr:row>
                    <xdr:rowOff>236220</xdr:rowOff>
                  </to>
                </anchor>
              </controlPr>
            </control>
          </mc:Choice>
        </mc:AlternateContent>
        <mc:AlternateContent xmlns:mc="http://schemas.openxmlformats.org/markup-compatibility/2006">
          <mc:Choice Requires="x14">
            <control shapeId="9219" r:id="rId5" name="chkComponente_8">
              <controlPr defaultSize="0" print="0" autoFill="0" autoLine="0" autoPict="0">
                <anchor moveWithCells="1">
                  <from>
                    <xdr:col>0</xdr:col>
                    <xdr:colOff>60960</xdr:colOff>
                    <xdr:row>7</xdr:row>
                    <xdr:rowOff>22860</xdr:rowOff>
                  </from>
                  <to>
                    <xdr:col>0</xdr:col>
                    <xdr:colOff>297180</xdr:colOff>
                    <xdr:row>7</xdr:row>
                    <xdr:rowOff>236220</xdr:rowOff>
                  </to>
                </anchor>
              </controlPr>
            </control>
          </mc:Choice>
        </mc:AlternateContent>
        <mc:AlternateContent xmlns:mc="http://schemas.openxmlformats.org/markup-compatibility/2006">
          <mc:Choice Requires="x14">
            <control shapeId="9220" r:id="rId6" name="chkComponente_9">
              <controlPr defaultSize="0" print="0" autoFill="0" autoLine="0" autoPict="0">
                <anchor moveWithCells="1">
                  <from>
                    <xdr:col>0</xdr:col>
                    <xdr:colOff>60960</xdr:colOff>
                    <xdr:row>8</xdr:row>
                    <xdr:rowOff>22860</xdr:rowOff>
                  </from>
                  <to>
                    <xdr:col>0</xdr:col>
                    <xdr:colOff>297180</xdr:colOff>
                    <xdr:row>8</xdr:row>
                    <xdr:rowOff>236220</xdr:rowOff>
                  </to>
                </anchor>
              </controlPr>
            </control>
          </mc:Choice>
        </mc:AlternateContent>
        <mc:AlternateContent xmlns:mc="http://schemas.openxmlformats.org/markup-compatibility/2006">
          <mc:Choice Requires="x14">
            <control shapeId="9221" r:id="rId7" name="chkComponente_10">
              <controlPr defaultSize="0" print="0" autoFill="0" autoLine="0" autoPict="0">
                <anchor moveWithCells="1">
                  <from>
                    <xdr:col>0</xdr:col>
                    <xdr:colOff>60960</xdr:colOff>
                    <xdr:row>9</xdr:row>
                    <xdr:rowOff>22860</xdr:rowOff>
                  </from>
                  <to>
                    <xdr:col>0</xdr:col>
                    <xdr:colOff>297180</xdr:colOff>
                    <xdr:row>9</xdr:row>
                    <xdr:rowOff>236220</xdr:rowOff>
                  </to>
                </anchor>
              </controlPr>
            </control>
          </mc:Choice>
        </mc:AlternateContent>
        <mc:AlternateContent xmlns:mc="http://schemas.openxmlformats.org/markup-compatibility/2006">
          <mc:Choice Requires="x14">
            <control shapeId="9222" r:id="rId8" name="chkComponente_11">
              <controlPr defaultSize="0" print="0" autoFill="0" autoLine="0" autoPict="0">
                <anchor moveWithCells="1">
                  <from>
                    <xdr:col>0</xdr:col>
                    <xdr:colOff>60960</xdr:colOff>
                    <xdr:row>10</xdr:row>
                    <xdr:rowOff>22860</xdr:rowOff>
                  </from>
                  <to>
                    <xdr:col>0</xdr:col>
                    <xdr:colOff>297180</xdr:colOff>
                    <xdr:row>10</xdr:row>
                    <xdr:rowOff>236220</xdr:rowOff>
                  </to>
                </anchor>
              </controlPr>
            </control>
          </mc:Choice>
        </mc:AlternateContent>
        <mc:AlternateContent xmlns:mc="http://schemas.openxmlformats.org/markup-compatibility/2006">
          <mc:Choice Requires="x14">
            <control shapeId="9223" r:id="rId9" name="chkComponente_12">
              <controlPr defaultSize="0" print="0" autoFill="0" autoLine="0" autoPict="0">
                <anchor moveWithCells="1">
                  <from>
                    <xdr:col>0</xdr:col>
                    <xdr:colOff>60960</xdr:colOff>
                    <xdr:row>11</xdr:row>
                    <xdr:rowOff>22860</xdr:rowOff>
                  </from>
                  <to>
                    <xdr:col>0</xdr:col>
                    <xdr:colOff>297180</xdr:colOff>
                    <xdr:row>11</xdr:row>
                    <xdr:rowOff>236220</xdr:rowOff>
                  </to>
                </anchor>
              </controlPr>
            </control>
          </mc:Choice>
        </mc:AlternateContent>
        <mc:AlternateContent xmlns:mc="http://schemas.openxmlformats.org/markup-compatibility/2006">
          <mc:Choice Requires="x14">
            <control shapeId="9224" r:id="rId10" name="chkComponente_13">
              <controlPr defaultSize="0" print="0" autoFill="0" autoLine="0" autoPict="0">
                <anchor moveWithCells="1">
                  <from>
                    <xdr:col>0</xdr:col>
                    <xdr:colOff>60960</xdr:colOff>
                    <xdr:row>12</xdr:row>
                    <xdr:rowOff>22860</xdr:rowOff>
                  </from>
                  <to>
                    <xdr:col>0</xdr:col>
                    <xdr:colOff>297180</xdr:colOff>
                    <xdr:row>12</xdr:row>
                    <xdr:rowOff>236220</xdr:rowOff>
                  </to>
                </anchor>
              </controlPr>
            </control>
          </mc:Choice>
        </mc:AlternateContent>
        <mc:AlternateContent xmlns:mc="http://schemas.openxmlformats.org/markup-compatibility/2006">
          <mc:Choice Requires="x14">
            <control shapeId="9225" r:id="rId11" name="chkComponente_14">
              <controlPr defaultSize="0" print="0" autoFill="0" autoLine="0" autoPict="0">
                <anchor moveWithCells="1">
                  <from>
                    <xdr:col>0</xdr:col>
                    <xdr:colOff>60960</xdr:colOff>
                    <xdr:row>13</xdr:row>
                    <xdr:rowOff>22860</xdr:rowOff>
                  </from>
                  <to>
                    <xdr:col>0</xdr:col>
                    <xdr:colOff>297180</xdr:colOff>
                    <xdr:row>13</xdr:row>
                    <xdr:rowOff>236220</xdr:rowOff>
                  </to>
                </anchor>
              </controlPr>
            </control>
          </mc:Choice>
        </mc:AlternateContent>
        <mc:AlternateContent xmlns:mc="http://schemas.openxmlformats.org/markup-compatibility/2006">
          <mc:Choice Requires="x14">
            <control shapeId="9226" r:id="rId12" name="chkComponente_15">
              <controlPr defaultSize="0" print="0" autoFill="0" autoLine="0" autoPict="0">
                <anchor moveWithCells="1">
                  <from>
                    <xdr:col>0</xdr:col>
                    <xdr:colOff>60960</xdr:colOff>
                    <xdr:row>14</xdr:row>
                    <xdr:rowOff>22860</xdr:rowOff>
                  </from>
                  <to>
                    <xdr:col>0</xdr:col>
                    <xdr:colOff>297180</xdr:colOff>
                    <xdr:row>14</xdr:row>
                    <xdr:rowOff>236220</xdr:rowOff>
                  </to>
                </anchor>
              </controlPr>
            </control>
          </mc:Choice>
        </mc:AlternateContent>
        <mc:AlternateContent xmlns:mc="http://schemas.openxmlformats.org/markup-compatibility/2006">
          <mc:Choice Requires="x14">
            <control shapeId="9227" r:id="rId13" name="chkComponente_16">
              <controlPr defaultSize="0" print="0" autoFill="0" autoLine="0" autoPict="0">
                <anchor moveWithCells="1">
                  <from>
                    <xdr:col>0</xdr:col>
                    <xdr:colOff>60960</xdr:colOff>
                    <xdr:row>15</xdr:row>
                    <xdr:rowOff>22860</xdr:rowOff>
                  </from>
                  <to>
                    <xdr:col>0</xdr:col>
                    <xdr:colOff>297180</xdr:colOff>
                    <xdr:row>15</xdr:row>
                    <xdr:rowOff>236220</xdr:rowOff>
                  </to>
                </anchor>
              </controlPr>
            </control>
          </mc:Choice>
        </mc:AlternateContent>
        <mc:AlternateContent xmlns:mc="http://schemas.openxmlformats.org/markup-compatibility/2006">
          <mc:Choice Requires="x14">
            <control shapeId="9228" r:id="rId14" name="chkComponente_17">
              <controlPr defaultSize="0" print="0" autoFill="0" autoLine="0" autoPict="0">
                <anchor moveWithCells="1">
                  <from>
                    <xdr:col>0</xdr:col>
                    <xdr:colOff>60960</xdr:colOff>
                    <xdr:row>16</xdr:row>
                    <xdr:rowOff>22860</xdr:rowOff>
                  </from>
                  <to>
                    <xdr:col>0</xdr:col>
                    <xdr:colOff>297180</xdr:colOff>
                    <xdr:row>16</xdr:row>
                    <xdr:rowOff>236220</xdr:rowOff>
                  </to>
                </anchor>
              </controlPr>
            </control>
          </mc:Choice>
        </mc:AlternateContent>
        <mc:AlternateContent xmlns:mc="http://schemas.openxmlformats.org/markup-compatibility/2006">
          <mc:Choice Requires="x14">
            <control shapeId="9229" r:id="rId15" name="chkComponente_18">
              <controlPr defaultSize="0" print="0" autoFill="0" autoLine="0" autoPict="0">
                <anchor moveWithCells="1">
                  <from>
                    <xdr:col>0</xdr:col>
                    <xdr:colOff>60960</xdr:colOff>
                    <xdr:row>17</xdr:row>
                    <xdr:rowOff>22860</xdr:rowOff>
                  </from>
                  <to>
                    <xdr:col>0</xdr:col>
                    <xdr:colOff>297180</xdr:colOff>
                    <xdr:row>17</xdr:row>
                    <xdr:rowOff>236220</xdr:rowOff>
                  </to>
                </anchor>
              </controlPr>
            </control>
          </mc:Choice>
        </mc:AlternateContent>
        <mc:AlternateContent xmlns:mc="http://schemas.openxmlformats.org/markup-compatibility/2006">
          <mc:Choice Requires="x14">
            <control shapeId="9230" r:id="rId16" name="chkComponente_19">
              <controlPr defaultSize="0" print="0" autoFill="0" autoLine="0" autoPict="0">
                <anchor moveWithCells="1">
                  <from>
                    <xdr:col>0</xdr:col>
                    <xdr:colOff>60960</xdr:colOff>
                    <xdr:row>18</xdr:row>
                    <xdr:rowOff>22860</xdr:rowOff>
                  </from>
                  <to>
                    <xdr:col>0</xdr:col>
                    <xdr:colOff>297180</xdr:colOff>
                    <xdr:row>18</xdr:row>
                    <xdr:rowOff>236220</xdr:rowOff>
                  </to>
                </anchor>
              </controlPr>
            </control>
          </mc:Choice>
        </mc:AlternateContent>
        <mc:AlternateContent xmlns:mc="http://schemas.openxmlformats.org/markup-compatibility/2006">
          <mc:Choice Requires="x14">
            <control shapeId="9231" r:id="rId17" name="chkComponente_20">
              <controlPr defaultSize="0" print="0" autoFill="0" autoLine="0" autoPict="0">
                <anchor moveWithCells="1">
                  <from>
                    <xdr:col>0</xdr:col>
                    <xdr:colOff>60960</xdr:colOff>
                    <xdr:row>19</xdr:row>
                    <xdr:rowOff>22860</xdr:rowOff>
                  </from>
                  <to>
                    <xdr:col>0</xdr:col>
                    <xdr:colOff>297180</xdr:colOff>
                    <xdr:row>19</xdr:row>
                    <xdr:rowOff>236220</xdr:rowOff>
                  </to>
                </anchor>
              </controlPr>
            </control>
          </mc:Choice>
        </mc:AlternateContent>
        <mc:AlternateContent xmlns:mc="http://schemas.openxmlformats.org/markup-compatibility/2006">
          <mc:Choice Requires="x14">
            <control shapeId="9232" r:id="rId18" name="chkComponente_21">
              <controlPr defaultSize="0" print="0" autoFill="0" autoLine="0" autoPict="0">
                <anchor moveWithCells="1">
                  <from>
                    <xdr:col>0</xdr:col>
                    <xdr:colOff>60960</xdr:colOff>
                    <xdr:row>20</xdr:row>
                    <xdr:rowOff>22860</xdr:rowOff>
                  </from>
                  <to>
                    <xdr:col>0</xdr:col>
                    <xdr:colOff>297180</xdr:colOff>
                    <xdr:row>20</xdr:row>
                    <xdr:rowOff>236220</xdr:rowOff>
                  </to>
                </anchor>
              </controlPr>
            </control>
          </mc:Choice>
        </mc:AlternateContent>
        <mc:AlternateContent xmlns:mc="http://schemas.openxmlformats.org/markup-compatibility/2006">
          <mc:Choice Requires="x14">
            <control shapeId="9233" r:id="rId19" name="chkComponente_22">
              <controlPr defaultSize="0" print="0" autoFill="0" autoLine="0" autoPict="0">
                <anchor moveWithCells="1">
                  <from>
                    <xdr:col>0</xdr:col>
                    <xdr:colOff>60960</xdr:colOff>
                    <xdr:row>21</xdr:row>
                    <xdr:rowOff>22860</xdr:rowOff>
                  </from>
                  <to>
                    <xdr:col>0</xdr:col>
                    <xdr:colOff>297180</xdr:colOff>
                    <xdr:row>21</xdr:row>
                    <xdr:rowOff>236220</xdr:rowOff>
                  </to>
                </anchor>
              </controlPr>
            </control>
          </mc:Choice>
        </mc:AlternateContent>
        <mc:AlternateContent xmlns:mc="http://schemas.openxmlformats.org/markup-compatibility/2006">
          <mc:Choice Requires="x14">
            <control shapeId="9234" r:id="rId20" name="chkComponente_23">
              <controlPr defaultSize="0" print="0" autoFill="0" autoLine="0" autoPict="0">
                <anchor moveWithCells="1">
                  <from>
                    <xdr:col>0</xdr:col>
                    <xdr:colOff>60960</xdr:colOff>
                    <xdr:row>22</xdr:row>
                    <xdr:rowOff>22860</xdr:rowOff>
                  </from>
                  <to>
                    <xdr:col>0</xdr:col>
                    <xdr:colOff>297180</xdr:colOff>
                    <xdr:row>22</xdr:row>
                    <xdr:rowOff>236220</xdr:rowOff>
                  </to>
                </anchor>
              </controlPr>
            </control>
          </mc:Choice>
        </mc:AlternateContent>
        <mc:AlternateContent xmlns:mc="http://schemas.openxmlformats.org/markup-compatibility/2006">
          <mc:Choice Requires="x14">
            <control shapeId="9235" r:id="rId21" name="chkComponente_24">
              <controlPr defaultSize="0" print="0" autoFill="0" autoLine="0" autoPict="0">
                <anchor moveWithCells="1">
                  <from>
                    <xdr:col>0</xdr:col>
                    <xdr:colOff>60960</xdr:colOff>
                    <xdr:row>23</xdr:row>
                    <xdr:rowOff>22860</xdr:rowOff>
                  </from>
                  <to>
                    <xdr:col>0</xdr:col>
                    <xdr:colOff>297180</xdr:colOff>
                    <xdr:row>23</xdr:row>
                    <xdr:rowOff>236220</xdr:rowOff>
                  </to>
                </anchor>
              </controlPr>
            </control>
          </mc:Choice>
        </mc:AlternateContent>
        <mc:AlternateContent xmlns:mc="http://schemas.openxmlformats.org/markup-compatibility/2006">
          <mc:Choice Requires="x14">
            <control shapeId="9236" r:id="rId22" name="chkComponente_25">
              <controlPr defaultSize="0" print="0" autoFill="0" autoLine="0" autoPict="0">
                <anchor moveWithCells="1">
                  <from>
                    <xdr:col>0</xdr:col>
                    <xdr:colOff>60960</xdr:colOff>
                    <xdr:row>24</xdr:row>
                    <xdr:rowOff>22860</xdr:rowOff>
                  </from>
                  <to>
                    <xdr:col>0</xdr:col>
                    <xdr:colOff>297180</xdr:colOff>
                    <xdr:row>24</xdr:row>
                    <xdr:rowOff>236220</xdr:rowOff>
                  </to>
                </anchor>
              </controlPr>
            </control>
          </mc:Choice>
        </mc:AlternateContent>
        <mc:AlternateContent xmlns:mc="http://schemas.openxmlformats.org/markup-compatibility/2006">
          <mc:Choice Requires="x14">
            <control shapeId="9237" r:id="rId23" name="chkComponente_26">
              <controlPr defaultSize="0" print="0" autoFill="0" autoLine="0" autoPict="0">
                <anchor moveWithCells="1">
                  <from>
                    <xdr:col>0</xdr:col>
                    <xdr:colOff>60960</xdr:colOff>
                    <xdr:row>25</xdr:row>
                    <xdr:rowOff>22860</xdr:rowOff>
                  </from>
                  <to>
                    <xdr:col>0</xdr:col>
                    <xdr:colOff>297180</xdr:colOff>
                    <xdr:row>25</xdr:row>
                    <xdr:rowOff>236220</xdr:rowOff>
                  </to>
                </anchor>
              </controlPr>
            </control>
          </mc:Choice>
        </mc:AlternateContent>
        <mc:AlternateContent xmlns:mc="http://schemas.openxmlformats.org/markup-compatibility/2006">
          <mc:Choice Requires="x14">
            <control shapeId="9238" r:id="rId24" name="chkComponente_27">
              <controlPr defaultSize="0" print="0" autoFill="0" autoLine="0" autoPict="0">
                <anchor moveWithCells="1">
                  <from>
                    <xdr:col>0</xdr:col>
                    <xdr:colOff>60960</xdr:colOff>
                    <xdr:row>26</xdr:row>
                    <xdr:rowOff>22860</xdr:rowOff>
                  </from>
                  <to>
                    <xdr:col>0</xdr:col>
                    <xdr:colOff>297180</xdr:colOff>
                    <xdr:row>26</xdr:row>
                    <xdr:rowOff>236220</xdr:rowOff>
                  </to>
                </anchor>
              </controlPr>
            </control>
          </mc:Choice>
        </mc:AlternateContent>
        <mc:AlternateContent xmlns:mc="http://schemas.openxmlformats.org/markup-compatibility/2006">
          <mc:Choice Requires="x14">
            <control shapeId="9239" r:id="rId25" name="chkComponente_28">
              <controlPr defaultSize="0" print="0" autoFill="0" autoLine="0" autoPict="0">
                <anchor moveWithCells="1">
                  <from>
                    <xdr:col>0</xdr:col>
                    <xdr:colOff>60960</xdr:colOff>
                    <xdr:row>27</xdr:row>
                    <xdr:rowOff>22860</xdr:rowOff>
                  </from>
                  <to>
                    <xdr:col>0</xdr:col>
                    <xdr:colOff>297180</xdr:colOff>
                    <xdr:row>27</xdr:row>
                    <xdr:rowOff>236220</xdr:rowOff>
                  </to>
                </anchor>
              </controlPr>
            </control>
          </mc:Choice>
        </mc:AlternateContent>
        <mc:AlternateContent xmlns:mc="http://schemas.openxmlformats.org/markup-compatibility/2006">
          <mc:Choice Requires="x14">
            <control shapeId="9240" r:id="rId26" name="chkComponente_29">
              <controlPr defaultSize="0" print="0" autoFill="0" autoLine="0" autoPict="0">
                <anchor moveWithCells="1">
                  <from>
                    <xdr:col>0</xdr:col>
                    <xdr:colOff>60960</xdr:colOff>
                    <xdr:row>28</xdr:row>
                    <xdr:rowOff>22860</xdr:rowOff>
                  </from>
                  <to>
                    <xdr:col>0</xdr:col>
                    <xdr:colOff>297180</xdr:colOff>
                    <xdr:row>28</xdr:row>
                    <xdr:rowOff>236220</xdr:rowOff>
                  </to>
                </anchor>
              </controlPr>
            </control>
          </mc:Choice>
        </mc:AlternateContent>
        <mc:AlternateContent xmlns:mc="http://schemas.openxmlformats.org/markup-compatibility/2006">
          <mc:Choice Requires="x14">
            <control shapeId="9241" r:id="rId27" name="chkComponente_30">
              <controlPr defaultSize="0" print="0" autoFill="0" autoLine="0" autoPict="0">
                <anchor moveWithCells="1">
                  <from>
                    <xdr:col>0</xdr:col>
                    <xdr:colOff>60960</xdr:colOff>
                    <xdr:row>29</xdr:row>
                    <xdr:rowOff>22860</xdr:rowOff>
                  </from>
                  <to>
                    <xdr:col>0</xdr:col>
                    <xdr:colOff>297180</xdr:colOff>
                    <xdr:row>29</xdr:row>
                    <xdr:rowOff>236220</xdr:rowOff>
                  </to>
                </anchor>
              </controlPr>
            </control>
          </mc:Choice>
        </mc:AlternateContent>
        <mc:AlternateContent xmlns:mc="http://schemas.openxmlformats.org/markup-compatibility/2006">
          <mc:Choice Requires="x14">
            <control shapeId="9242" r:id="rId28" name="chkComponente_31">
              <controlPr defaultSize="0" print="0" autoFill="0" autoLine="0" autoPict="0">
                <anchor moveWithCells="1">
                  <from>
                    <xdr:col>0</xdr:col>
                    <xdr:colOff>60960</xdr:colOff>
                    <xdr:row>30</xdr:row>
                    <xdr:rowOff>22860</xdr:rowOff>
                  </from>
                  <to>
                    <xdr:col>0</xdr:col>
                    <xdr:colOff>297180</xdr:colOff>
                    <xdr:row>30</xdr:row>
                    <xdr:rowOff>236220</xdr:rowOff>
                  </to>
                </anchor>
              </controlPr>
            </control>
          </mc:Choice>
        </mc:AlternateContent>
        <mc:AlternateContent xmlns:mc="http://schemas.openxmlformats.org/markup-compatibility/2006">
          <mc:Choice Requires="x14">
            <control shapeId="9243" r:id="rId29" name="chkComponente_32">
              <controlPr defaultSize="0" print="0" autoFill="0" autoLine="0" autoPict="0">
                <anchor moveWithCells="1">
                  <from>
                    <xdr:col>0</xdr:col>
                    <xdr:colOff>60960</xdr:colOff>
                    <xdr:row>31</xdr:row>
                    <xdr:rowOff>22860</xdr:rowOff>
                  </from>
                  <to>
                    <xdr:col>0</xdr:col>
                    <xdr:colOff>297180</xdr:colOff>
                    <xdr:row>31</xdr:row>
                    <xdr:rowOff>236220</xdr:rowOff>
                  </to>
                </anchor>
              </controlPr>
            </control>
          </mc:Choice>
        </mc:AlternateContent>
        <mc:AlternateContent xmlns:mc="http://schemas.openxmlformats.org/markup-compatibility/2006">
          <mc:Choice Requires="x14">
            <control shapeId="9244" r:id="rId30" name="chkComponente_33">
              <controlPr defaultSize="0" print="0" autoFill="0" autoLine="0" autoPict="0">
                <anchor moveWithCells="1">
                  <from>
                    <xdr:col>0</xdr:col>
                    <xdr:colOff>60960</xdr:colOff>
                    <xdr:row>32</xdr:row>
                    <xdr:rowOff>22860</xdr:rowOff>
                  </from>
                  <to>
                    <xdr:col>0</xdr:col>
                    <xdr:colOff>297180</xdr:colOff>
                    <xdr:row>32</xdr:row>
                    <xdr:rowOff>236220</xdr:rowOff>
                  </to>
                </anchor>
              </controlPr>
            </control>
          </mc:Choice>
        </mc:AlternateContent>
        <mc:AlternateContent xmlns:mc="http://schemas.openxmlformats.org/markup-compatibility/2006">
          <mc:Choice Requires="x14">
            <control shapeId="9245" r:id="rId31" name="chkComponente_34">
              <controlPr defaultSize="0" print="0" autoFill="0" autoLine="0" autoPict="0">
                <anchor moveWithCells="1">
                  <from>
                    <xdr:col>0</xdr:col>
                    <xdr:colOff>60960</xdr:colOff>
                    <xdr:row>33</xdr:row>
                    <xdr:rowOff>22860</xdr:rowOff>
                  </from>
                  <to>
                    <xdr:col>0</xdr:col>
                    <xdr:colOff>297180</xdr:colOff>
                    <xdr:row>33</xdr:row>
                    <xdr:rowOff>236220</xdr:rowOff>
                  </to>
                </anchor>
              </controlPr>
            </control>
          </mc:Choice>
        </mc:AlternateContent>
        <mc:AlternateContent xmlns:mc="http://schemas.openxmlformats.org/markup-compatibility/2006">
          <mc:Choice Requires="x14">
            <control shapeId="9246" r:id="rId32" name="chkComponente_35">
              <controlPr defaultSize="0" print="0" autoFill="0" autoLine="0" autoPict="0">
                <anchor moveWithCells="1">
                  <from>
                    <xdr:col>0</xdr:col>
                    <xdr:colOff>60960</xdr:colOff>
                    <xdr:row>34</xdr:row>
                    <xdr:rowOff>22860</xdr:rowOff>
                  </from>
                  <to>
                    <xdr:col>0</xdr:col>
                    <xdr:colOff>297180</xdr:colOff>
                    <xdr:row>34</xdr:row>
                    <xdr:rowOff>236220</xdr:rowOff>
                  </to>
                </anchor>
              </controlPr>
            </control>
          </mc:Choice>
        </mc:AlternateContent>
        <mc:AlternateContent xmlns:mc="http://schemas.openxmlformats.org/markup-compatibility/2006">
          <mc:Choice Requires="x14">
            <control shapeId="9247" r:id="rId33" name="chkComponente_36">
              <controlPr defaultSize="0" print="0" autoFill="0" autoLine="0" autoPict="0">
                <anchor moveWithCells="1">
                  <from>
                    <xdr:col>0</xdr:col>
                    <xdr:colOff>60960</xdr:colOff>
                    <xdr:row>35</xdr:row>
                    <xdr:rowOff>22860</xdr:rowOff>
                  </from>
                  <to>
                    <xdr:col>0</xdr:col>
                    <xdr:colOff>297180</xdr:colOff>
                    <xdr:row>35</xdr:row>
                    <xdr:rowOff>236220</xdr:rowOff>
                  </to>
                </anchor>
              </controlPr>
            </control>
          </mc:Choice>
        </mc:AlternateContent>
        <mc:AlternateContent xmlns:mc="http://schemas.openxmlformats.org/markup-compatibility/2006">
          <mc:Choice Requires="x14">
            <control shapeId="9248" r:id="rId34" name="chkComponente_37">
              <controlPr defaultSize="0" print="0" autoFill="0" autoLine="0" autoPict="0">
                <anchor moveWithCells="1">
                  <from>
                    <xdr:col>0</xdr:col>
                    <xdr:colOff>60960</xdr:colOff>
                    <xdr:row>36</xdr:row>
                    <xdr:rowOff>22860</xdr:rowOff>
                  </from>
                  <to>
                    <xdr:col>0</xdr:col>
                    <xdr:colOff>297180</xdr:colOff>
                    <xdr:row>36</xdr:row>
                    <xdr:rowOff>236220</xdr:rowOff>
                  </to>
                </anchor>
              </controlPr>
            </control>
          </mc:Choice>
        </mc:AlternateContent>
        <mc:AlternateContent xmlns:mc="http://schemas.openxmlformats.org/markup-compatibility/2006">
          <mc:Choice Requires="x14">
            <control shapeId="9249" r:id="rId35" name="chkComponente_38">
              <controlPr defaultSize="0" print="0" autoFill="0" autoLine="0" autoPict="0">
                <anchor moveWithCells="1">
                  <from>
                    <xdr:col>0</xdr:col>
                    <xdr:colOff>60960</xdr:colOff>
                    <xdr:row>37</xdr:row>
                    <xdr:rowOff>22860</xdr:rowOff>
                  </from>
                  <to>
                    <xdr:col>0</xdr:col>
                    <xdr:colOff>297180</xdr:colOff>
                    <xdr:row>37</xdr:row>
                    <xdr:rowOff>236220</xdr:rowOff>
                  </to>
                </anchor>
              </controlPr>
            </control>
          </mc:Choice>
        </mc:AlternateContent>
        <mc:AlternateContent xmlns:mc="http://schemas.openxmlformats.org/markup-compatibility/2006">
          <mc:Choice Requires="x14">
            <control shapeId="9250" r:id="rId36" name="chkComponente_39">
              <controlPr defaultSize="0" print="0" autoFill="0" autoLine="0" autoPict="0">
                <anchor moveWithCells="1">
                  <from>
                    <xdr:col>0</xdr:col>
                    <xdr:colOff>60960</xdr:colOff>
                    <xdr:row>38</xdr:row>
                    <xdr:rowOff>22860</xdr:rowOff>
                  </from>
                  <to>
                    <xdr:col>0</xdr:col>
                    <xdr:colOff>297180</xdr:colOff>
                    <xdr:row>38</xdr:row>
                    <xdr:rowOff>236220</xdr:rowOff>
                  </to>
                </anchor>
              </controlPr>
            </control>
          </mc:Choice>
        </mc:AlternateContent>
        <mc:AlternateContent xmlns:mc="http://schemas.openxmlformats.org/markup-compatibility/2006">
          <mc:Choice Requires="x14">
            <control shapeId="9251" r:id="rId37" name="chkComponente_40">
              <controlPr defaultSize="0" print="0" autoFill="0" autoLine="0" autoPict="0">
                <anchor moveWithCells="1">
                  <from>
                    <xdr:col>0</xdr:col>
                    <xdr:colOff>60960</xdr:colOff>
                    <xdr:row>39</xdr:row>
                    <xdr:rowOff>22860</xdr:rowOff>
                  </from>
                  <to>
                    <xdr:col>0</xdr:col>
                    <xdr:colOff>297180</xdr:colOff>
                    <xdr:row>39</xdr:row>
                    <xdr:rowOff>236220</xdr:rowOff>
                  </to>
                </anchor>
              </controlPr>
            </control>
          </mc:Choice>
        </mc:AlternateContent>
        <mc:AlternateContent xmlns:mc="http://schemas.openxmlformats.org/markup-compatibility/2006">
          <mc:Choice Requires="x14">
            <control shapeId="9252" r:id="rId38" name="chkComponente_41">
              <controlPr defaultSize="0" print="0" autoFill="0" autoLine="0" autoPict="0">
                <anchor moveWithCells="1">
                  <from>
                    <xdr:col>0</xdr:col>
                    <xdr:colOff>60960</xdr:colOff>
                    <xdr:row>40</xdr:row>
                    <xdr:rowOff>22860</xdr:rowOff>
                  </from>
                  <to>
                    <xdr:col>0</xdr:col>
                    <xdr:colOff>297180</xdr:colOff>
                    <xdr:row>40</xdr:row>
                    <xdr:rowOff>236220</xdr:rowOff>
                  </to>
                </anchor>
              </controlPr>
            </control>
          </mc:Choice>
        </mc:AlternateContent>
        <mc:AlternateContent xmlns:mc="http://schemas.openxmlformats.org/markup-compatibility/2006">
          <mc:Choice Requires="x14">
            <control shapeId="9253" r:id="rId39" name="chkComponente_42">
              <controlPr defaultSize="0" print="0" autoFill="0" autoLine="0" autoPict="0">
                <anchor moveWithCells="1">
                  <from>
                    <xdr:col>0</xdr:col>
                    <xdr:colOff>60960</xdr:colOff>
                    <xdr:row>41</xdr:row>
                    <xdr:rowOff>22860</xdr:rowOff>
                  </from>
                  <to>
                    <xdr:col>0</xdr:col>
                    <xdr:colOff>297180</xdr:colOff>
                    <xdr:row>41</xdr:row>
                    <xdr:rowOff>236220</xdr:rowOff>
                  </to>
                </anchor>
              </controlPr>
            </control>
          </mc:Choice>
        </mc:AlternateContent>
        <mc:AlternateContent xmlns:mc="http://schemas.openxmlformats.org/markup-compatibility/2006">
          <mc:Choice Requires="x14">
            <control shapeId="9254" r:id="rId40" name="chkComponente_43">
              <controlPr defaultSize="0" print="0" autoFill="0" autoLine="0" autoPict="0">
                <anchor moveWithCells="1">
                  <from>
                    <xdr:col>0</xdr:col>
                    <xdr:colOff>60960</xdr:colOff>
                    <xdr:row>42</xdr:row>
                    <xdr:rowOff>22860</xdr:rowOff>
                  </from>
                  <to>
                    <xdr:col>0</xdr:col>
                    <xdr:colOff>297180</xdr:colOff>
                    <xdr:row>42</xdr:row>
                    <xdr:rowOff>236220</xdr:rowOff>
                  </to>
                </anchor>
              </controlPr>
            </control>
          </mc:Choice>
        </mc:AlternateContent>
        <mc:AlternateContent xmlns:mc="http://schemas.openxmlformats.org/markup-compatibility/2006">
          <mc:Choice Requires="x14">
            <control shapeId="9255" r:id="rId41" name="chkComponente_44">
              <controlPr defaultSize="0" print="0" autoFill="0" autoLine="0" autoPict="0">
                <anchor moveWithCells="1">
                  <from>
                    <xdr:col>0</xdr:col>
                    <xdr:colOff>60960</xdr:colOff>
                    <xdr:row>43</xdr:row>
                    <xdr:rowOff>22860</xdr:rowOff>
                  </from>
                  <to>
                    <xdr:col>0</xdr:col>
                    <xdr:colOff>297180</xdr:colOff>
                    <xdr:row>43</xdr:row>
                    <xdr:rowOff>236220</xdr:rowOff>
                  </to>
                </anchor>
              </controlPr>
            </control>
          </mc:Choice>
        </mc:AlternateContent>
        <mc:AlternateContent xmlns:mc="http://schemas.openxmlformats.org/markup-compatibility/2006">
          <mc:Choice Requires="x14">
            <control shapeId="9256" r:id="rId42" name="chkComponente_45">
              <controlPr defaultSize="0" print="0" autoFill="0" autoLine="0" autoPict="0">
                <anchor moveWithCells="1">
                  <from>
                    <xdr:col>0</xdr:col>
                    <xdr:colOff>60960</xdr:colOff>
                    <xdr:row>44</xdr:row>
                    <xdr:rowOff>22860</xdr:rowOff>
                  </from>
                  <to>
                    <xdr:col>0</xdr:col>
                    <xdr:colOff>297180</xdr:colOff>
                    <xdr:row>44</xdr:row>
                    <xdr:rowOff>236220</xdr:rowOff>
                  </to>
                </anchor>
              </controlPr>
            </control>
          </mc:Choice>
        </mc:AlternateContent>
        <mc:AlternateContent xmlns:mc="http://schemas.openxmlformats.org/markup-compatibility/2006">
          <mc:Choice Requires="x14">
            <control shapeId="9257" r:id="rId43" name="chkComponente_46">
              <controlPr defaultSize="0" print="0" autoFill="0" autoLine="0" autoPict="0">
                <anchor moveWithCells="1">
                  <from>
                    <xdr:col>0</xdr:col>
                    <xdr:colOff>60960</xdr:colOff>
                    <xdr:row>45</xdr:row>
                    <xdr:rowOff>22860</xdr:rowOff>
                  </from>
                  <to>
                    <xdr:col>0</xdr:col>
                    <xdr:colOff>297180</xdr:colOff>
                    <xdr:row>45</xdr:row>
                    <xdr:rowOff>236220</xdr:rowOff>
                  </to>
                </anchor>
              </controlPr>
            </control>
          </mc:Choice>
        </mc:AlternateContent>
        <mc:AlternateContent xmlns:mc="http://schemas.openxmlformats.org/markup-compatibility/2006">
          <mc:Choice Requires="x14">
            <control shapeId="9258" r:id="rId44" name="chkComponente_47">
              <controlPr defaultSize="0" print="0" autoFill="0" autoLine="0" autoPict="0">
                <anchor moveWithCells="1">
                  <from>
                    <xdr:col>0</xdr:col>
                    <xdr:colOff>60960</xdr:colOff>
                    <xdr:row>46</xdr:row>
                    <xdr:rowOff>22860</xdr:rowOff>
                  </from>
                  <to>
                    <xdr:col>0</xdr:col>
                    <xdr:colOff>297180</xdr:colOff>
                    <xdr:row>46</xdr:row>
                    <xdr:rowOff>236220</xdr:rowOff>
                  </to>
                </anchor>
              </controlPr>
            </control>
          </mc:Choice>
        </mc:AlternateContent>
        <mc:AlternateContent xmlns:mc="http://schemas.openxmlformats.org/markup-compatibility/2006">
          <mc:Choice Requires="x14">
            <control shapeId="9259" r:id="rId45" name="chkComponente_48">
              <controlPr defaultSize="0" print="0" autoFill="0" autoLine="0" autoPict="0">
                <anchor moveWithCells="1">
                  <from>
                    <xdr:col>0</xdr:col>
                    <xdr:colOff>60960</xdr:colOff>
                    <xdr:row>47</xdr:row>
                    <xdr:rowOff>22860</xdr:rowOff>
                  </from>
                  <to>
                    <xdr:col>0</xdr:col>
                    <xdr:colOff>297180</xdr:colOff>
                    <xdr:row>47</xdr:row>
                    <xdr:rowOff>236220</xdr:rowOff>
                  </to>
                </anchor>
              </controlPr>
            </control>
          </mc:Choice>
        </mc:AlternateContent>
        <mc:AlternateContent xmlns:mc="http://schemas.openxmlformats.org/markup-compatibility/2006">
          <mc:Choice Requires="x14">
            <control shapeId="9260" r:id="rId46" name="btnConfirmarComponentes">
              <controlPr defaultSize="0" print="0" autoFill="0" autoPict="0" macro="[0]!ConfirmarSelecaoComponentes">
                <anchor>
                  <from>
                    <xdr:col>0</xdr:col>
                    <xdr:colOff>0</xdr:colOff>
                    <xdr:row>2</xdr:row>
                    <xdr:rowOff>22860</xdr:rowOff>
                  </from>
                  <to>
                    <xdr:col>1</xdr:col>
                    <xdr:colOff>937260</xdr:colOff>
                    <xdr:row>2</xdr:row>
                    <xdr:rowOff>327660</xdr:rowOff>
                  </to>
                </anchor>
              </controlPr>
            </control>
          </mc:Choice>
        </mc:AlternateContent>
        <mc:AlternateContent xmlns:mc="http://schemas.openxmlformats.org/markup-compatibility/2006">
          <mc:Choice Requires="x14">
            <control shapeId="9261" r:id="rId47" name="btnCancelarComponentes">
              <controlPr defaultSize="0" print="0" autoFill="0" autoPict="0" macro="[0]!CancelarSelecaoComponentes">
                <anchor>
                  <from>
                    <xdr:col>1</xdr:col>
                    <xdr:colOff>1021080</xdr:colOff>
                    <xdr:row>2</xdr:row>
                    <xdr:rowOff>22860</xdr:rowOff>
                  </from>
                  <to>
                    <xdr:col>1</xdr:col>
                    <xdr:colOff>2354580</xdr:colOff>
                    <xdr:row>2</xdr:row>
                    <xdr:rowOff>327660</xdr:rowOff>
                  </to>
                </anchor>
              </controlPr>
            </control>
          </mc:Choice>
        </mc:AlternateContent>
        <mc:AlternateContent xmlns:mc="http://schemas.openxmlformats.org/markup-compatibility/2006">
          <mc:Choice Requires="x14">
            <control shapeId="9262" r:id="rId48" name="btnMarcarTodosComponentes">
              <controlPr defaultSize="0" print="0" autoFill="0" autoPict="0" macro="[0]!MarcarTodosComponentes">
                <anchor>
                  <from>
                    <xdr:col>1</xdr:col>
                    <xdr:colOff>2446020</xdr:colOff>
                    <xdr:row>2</xdr:row>
                    <xdr:rowOff>22860</xdr:rowOff>
                  </from>
                  <to>
                    <xdr:col>2</xdr:col>
                    <xdr:colOff>160020</xdr:colOff>
                    <xdr:row>2</xdr:row>
                    <xdr:rowOff>327660</xdr:rowOff>
                  </to>
                </anchor>
              </controlPr>
            </control>
          </mc:Choice>
        </mc:AlternateContent>
        <mc:AlternateContent xmlns:mc="http://schemas.openxmlformats.org/markup-compatibility/2006">
          <mc:Choice Requires="x14">
            <control shapeId="9263" r:id="rId49" name="btnLimparComponentes">
              <controlPr defaultSize="0" print="0" autoFill="0" autoPict="0" macro="[0]!LimparSelecaoComponentes">
                <anchor>
                  <from>
                    <xdr:col>2</xdr:col>
                    <xdr:colOff>251460</xdr:colOff>
                    <xdr:row>2</xdr:row>
                    <xdr:rowOff>22860</xdr:rowOff>
                  </from>
                  <to>
                    <xdr:col>4</xdr:col>
                    <xdr:colOff>83820</xdr:colOff>
                    <xdr:row>2</xdr:row>
                    <xdr:rowOff>327660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Fluxograma</vt:lpstr>
      <vt:lpstr>Componentes</vt:lpstr>
      <vt:lpstr>Equivalencias</vt:lpstr>
      <vt:lpstr>Nucleos</vt:lpstr>
      <vt:lpstr>Areas</vt:lpstr>
      <vt:lpstr>Temas</vt:lpstr>
      <vt:lpstr>Conteudos</vt:lpstr>
      <vt:lpstr>Competencias</vt:lpstr>
      <vt:lpstr>Bibliografia</vt:lpstr>
      <vt:lpstr>Fluxograma!Area_de_impressao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Josué Silva de Morais</cp:lastModifiedBy>
  <dcterms:created xsi:type="dcterms:W3CDTF">2026-07-30T08:28:12Z</dcterms:created>
  <dcterms:modified xsi:type="dcterms:W3CDTF">2026-07-31T20:22:57Z</dcterms:modified>
</cp:coreProperties>
</file>