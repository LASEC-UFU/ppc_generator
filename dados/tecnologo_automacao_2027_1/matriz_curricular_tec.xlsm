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1_31BBDE2347AA2A26A95EA16B2F54F7394647FD70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alcProf" sheetId="1" r:id="rId1"/>
    <sheet name="Perfil" sheetId="2" r:id="rId2"/>
    <sheet name="Fluxograma" sheetId="3" r:id="rId3"/>
    <sheet name="Componentes" sheetId="4" r:id="rId4"/>
    <sheet name="Equivalencias" sheetId="5" r:id="rId5"/>
    <sheet name="Nucleos" sheetId="6" r:id="rId6"/>
    <sheet name="Areas" sheetId="7" r:id="rId7"/>
    <sheet name="Temas" sheetId="8" r:id="rId8"/>
    <sheet name="Conteudos" sheetId="9" r:id="rId9"/>
    <sheet name="Competencias" sheetId="10" r:id="rId10"/>
    <sheet name="Bibliografia" sheetId="11" r:id="rId11"/>
    <sheet name="_Seletor_Componentes" sheetId="12" state="veryHidden" r:id="rId12"/>
    <sheet name="Legislacao" sheetId="13" r:id="rId13"/>
    <sheet name="Autoridades" sheetId="14" r:id="rId14"/>
    <sheet name="Comissao" sheetId="15" r:id="rId15"/>
  </sheets>
  <functionGroups builtInGroupCount="19"/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2">Fluxograma!$A$1:$BT$73</definedName>
    <definedName name="_xlnm.Print_Area" localSheetId="1">Perfil!$A$1:$B$92</definedName>
    <definedName name="Z_03057C24_3972_48DC_9925_6C2B4C888F74_.wvu.PrintArea" localSheetId="2" hidden="1">Fluxograma!$A$1:$BU$47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" l="1"/>
  <c r="BK71" i="3"/>
  <c r="BD71" i="3"/>
  <c r="AW71" i="3"/>
  <c r="AP71" i="3"/>
  <c r="AI71" i="3"/>
  <c r="AB71" i="3"/>
  <c r="U71" i="3"/>
  <c r="N71" i="3"/>
  <c r="G71" i="3"/>
  <c r="BD66" i="3"/>
  <c r="AW66" i="3"/>
  <c r="AP66" i="3"/>
  <c r="AI66" i="3"/>
  <c r="AB66" i="3"/>
  <c r="U66" i="3"/>
  <c r="N66" i="3"/>
  <c r="G66" i="3"/>
  <c r="BD61" i="3"/>
  <c r="AW61" i="3"/>
  <c r="AP61" i="3"/>
  <c r="AI61" i="3"/>
  <c r="AB61" i="3"/>
  <c r="U61" i="3"/>
  <c r="N61" i="3"/>
  <c r="G61" i="3"/>
  <c r="BD56" i="3"/>
  <c r="AW56" i="3"/>
  <c r="AP56" i="3"/>
  <c r="AI56" i="3"/>
  <c r="AB56" i="3"/>
  <c r="U56" i="3"/>
  <c r="N56" i="3"/>
  <c r="G56" i="3"/>
  <c r="AI42" i="3"/>
  <c r="AB42" i="3"/>
  <c r="AD40" i="3"/>
  <c r="AI37" i="3"/>
  <c r="AB37" i="3"/>
  <c r="G37" i="3"/>
  <c r="AP32" i="3"/>
  <c r="AI32" i="3"/>
  <c r="AB32" i="3"/>
  <c r="U32" i="3"/>
  <c r="N32" i="3"/>
  <c r="G32" i="3"/>
  <c r="I31" i="3"/>
  <c r="BX28" i="3"/>
  <c r="AP27" i="3"/>
  <c r="AI27" i="3"/>
  <c r="AB27" i="3"/>
  <c r="U27" i="3"/>
  <c r="N27" i="3"/>
  <c r="G27" i="3"/>
  <c r="AP22" i="3"/>
  <c r="AP5" i="3" s="1"/>
  <c r="AI22" i="3"/>
  <c r="AB22" i="3"/>
  <c r="U22" i="3"/>
  <c r="J22" i="3"/>
  <c r="N22" i="3" s="1"/>
  <c r="G22" i="3"/>
  <c r="I21" i="3"/>
  <c r="AP17" i="3"/>
  <c r="AI17" i="3"/>
  <c r="AI5" i="3" s="1"/>
  <c r="AB17" i="3"/>
  <c r="U17" i="3"/>
  <c r="U5" i="3" s="1"/>
  <c r="N17" i="3"/>
  <c r="G17" i="3"/>
  <c r="I16" i="3"/>
  <c r="C14" i="3"/>
  <c r="C19" i="3" s="1"/>
  <c r="C24" i="3" s="1"/>
  <c r="C29" i="3" s="1"/>
  <c r="C34" i="3" s="1"/>
  <c r="AW12" i="3"/>
  <c r="BC12" i="3" s="1"/>
  <c r="AP12" i="3"/>
  <c r="AI12" i="3"/>
  <c r="AB12" i="3"/>
  <c r="AB5" i="3" s="1"/>
  <c r="U12" i="3"/>
  <c r="N12" i="3"/>
  <c r="G12" i="3"/>
  <c r="BC11" i="3"/>
  <c r="I6" i="1" s="1"/>
  <c r="I11" i="3"/>
  <c r="BC10" i="3"/>
  <c r="I7" i="1" s="1"/>
  <c r="BC9" i="3"/>
  <c r="I8" i="1" s="1"/>
  <c r="AP7" i="3"/>
  <c r="AI7" i="3"/>
  <c r="U7" i="3"/>
  <c r="U6" i="3"/>
  <c r="G6" i="3"/>
  <c r="AO5" i="3"/>
  <c r="AN5" i="3"/>
  <c r="AM5" i="3"/>
  <c r="AP6" i="3" s="1"/>
  <c r="AL5" i="3"/>
  <c r="AH5" i="3"/>
  <c r="AG5" i="3"/>
  <c r="AF5" i="3"/>
  <c r="AE5" i="3"/>
  <c r="AI6" i="3" s="1"/>
  <c r="AA5" i="3"/>
  <c r="Z5" i="3"/>
  <c r="I5" i="1" s="1"/>
  <c r="Y5" i="3"/>
  <c r="AB6" i="3" s="1"/>
  <c r="X5" i="3"/>
  <c r="AB7" i="3" s="1"/>
  <c r="T5" i="3"/>
  <c r="S5" i="3"/>
  <c r="R5" i="3"/>
  <c r="Q5" i="3"/>
  <c r="M5" i="3"/>
  <c r="L5" i="3"/>
  <c r="K5" i="3"/>
  <c r="J5" i="3"/>
  <c r="N7" i="3" s="1"/>
  <c r="G5" i="3"/>
  <c r="F5" i="3"/>
  <c r="E5" i="3"/>
  <c r="D5" i="3"/>
  <c r="C5" i="3"/>
  <c r="G7" i="3" s="1"/>
  <c r="I26" i="3" l="1"/>
  <c r="J9" i="3"/>
  <c r="I20" i="1"/>
  <c r="K5" i="1"/>
  <c r="N5" i="3"/>
  <c r="BC8" i="3"/>
  <c r="BC14" i="3" s="1"/>
  <c r="N6" i="3"/>
  <c r="K21" i="1" l="1"/>
  <c r="K20" i="1"/>
  <c r="K26" i="1" s="1"/>
  <c r="K27" i="1" s="1"/>
  <c r="J14" i="3"/>
  <c r="P11" i="3"/>
  <c r="P25" i="3"/>
  <c r="W15" i="3"/>
  <c r="P21" i="3"/>
  <c r="P16" i="3" l="1"/>
  <c r="J19" i="3"/>
  <c r="AD15" i="3"/>
  <c r="P26" i="3" l="1"/>
  <c r="J24" i="3"/>
  <c r="J29" i="3" l="1"/>
  <c r="Q9" i="3" s="1"/>
  <c r="P31" i="3"/>
  <c r="W31" i="3" l="1"/>
  <c r="Q14" i="3"/>
  <c r="AD16" i="3" l="1"/>
  <c r="Q19" i="3"/>
  <c r="Q24" i="3" s="1"/>
  <c r="AK20" i="3"/>
  <c r="AK26" i="3"/>
  <c r="W16" i="3" l="1"/>
  <c r="Q29" i="3"/>
  <c r="AD30" i="3" l="1"/>
  <c r="W26" i="3"/>
  <c r="X9" i="3"/>
  <c r="X14" i="3" s="1"/>
  <c r="X19" i="3" l="1"/>
  <c r="AD25" i="3"/>
  <c r="X24" i="3" l="1"/>
  <c r="W36" i="3"/>
  <c r="AD41" i="3"/>
  <c r="AD31" i="3" l="1"/>
  <c r="X29" i="3"/>
  <c r="AD36" i="3" l="1"/>
  <c r="X34" i="3"/>
  <c r="X39" i="3" s="1"/>
  <c r="AE9" i="3" s="1"/>
  <c r="AE14" i="3" s="1"/>
  <c r="AE19" i="3" s="1"/>
  <c r="AD21" i="3"/>
  <c r="AD35" i="3" l="1"/>
  <c r="AE24" i="3"/>
  <c r="AE29" i="3" s="1"/>
  <c r="AE34" i="3" s="1"/>
  <c r="AD26" i="3" l="1"/>
  <c r="AD20" i="3"/>
  <c r="AE39" i="3"/>
  <c r="AL9" i="3" s="1"/>
  <c r="AL14" i="3" s="1"/>
  <c r="AL19" i="3" s="1"/>
  <c r="AK25" i="3" l="1"/>
  <c r="AL24" i="3"/>
  <c r="AK21" i="3" l="1"/>
  <c r="AL29" i="3"/>
  <c r="AL34" i="3" s="1"/>
  <c r="AS9" i="3" s="1"/>
  <c r="AS14" i="3" s="1"/>
  <c r="C53" i="3" s="1"/>
  <c r="J53" i="3" s="1"/>
  <c r="Q53" i="3" s="1"/>
  <c r="X53" i="3" s="1"/>
  <c r="AE53" i="3" s="1"/>
  <c r="AL53" i="3" s="1"/>
  <c r="AS53" i="3" s="1"/>
  <c r="AZ53" i="3" s="1"/>
  <c r="C58" i="3" s="1"/>
  <c r="J58" i="3" s="1"/>
  <c r="Q58" i="3" s="1"/>
  <c r="X58" i="3" s="1"/>
  <c r="AE58" i="3" s="1"/>
  <c r="AL58" i="3" s="1"/>
  <c r="AS58" i="3" s="1"/>
  <c r="AZ58" i="3" s="1"/>
  <c r="C63" i="3" s="1"/>
  <c r="J63" i="3" s="1"/>
  <c r="Q63" i="3" s="1"/>
  <c r="X63" i="3" s="1"/>
  <c r="AE63" i="3" s="1"/>
  <c r="AL63" i="3" s="1"/>
  <c r="AS63" i="3" s="1"/>
  <c r="AZ63" i="3" s="1"/>
  <c r="C68" i="3" s="1"/>
  <c r="J68" i="3" s="1"/>
  <c r="Q68" i="3" s="1"/>
  <c r="X68" i="3" s="1"/>
  <c r="AE68" i="3" s="1"/>
  <c r="AL68" i="3" s="1"/>
  <c r="AS68" i="3" s="1"/>
  <c r="AZ68" i="3" s="1"/>
  <c r="BG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9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'FEELT!IAAA' parece provisório (contém '?'/'!' ou está marcado como tal) — deve ser substituído pelo código oficial antes da aprovação do PPC.
• código 'FEELT!IABI'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'FEELT!IINDI' parece provisório (contém '?'/'!' ou está marcado como tal) — deve ser substituído pelo código oficial antes da aprovação do PPC.
• código 'FEELT!IINDII'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'FEELT!PS' parece provisório (contém '?'/'!' ou está marcado como tal) — deve ser substituído pelo código oficial antes da aprovação do PPC.
• código 'FEELT!RASC1' parece provisório (contém '?'/'!' ou está marcado como tal) — deve ser substituído pelo código oficial antes da aprovação do PPC.
• código 'FEELT!RASC2' parece provisório (contém '?'/'!' ou está marcado como tal) — deve ser substituído pelo código oficial antes da aprovação do PPC.
• código 'FEELT!RASC3' parece provisório (contém '?'/'!' ou está marcado como tal) — deve ser substituído pelo código oficial antes da aprovação do PPC.
• código 'FEELT!RASC4' parece provisório (contém '?'/'!' ou está marcado como tal) — deve ser substituído pelo código oficial antes da aprovação do PPC.
• código 'FEELT!RASC5' parece provisório (contém '?'/'!' ou está marcado como tal) — deve ser substituído pelo código oficial antes da aprovação do PPC.
• código 'FEELT!RASC6' parece provisório (contém '?'/'!' ou está marcado como tal) — deve ser substituído pelo código oficial antes da aprovação do PPC.
• código 'FEELT!RASC7'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</t>
        </r>
      </text>
    </comment>
    <comment ref="B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1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O correquisito está num período diferente do componente que o exige. Por definição, um correquisito deveria ser cursado no mesmo período.
• correquisito 'FEELT!PS' (4º período) de 'FEELT!ESCR' (5º período) não está no mesmo período.
• correquisito 'FEELT!PS' (4º período) de 'FEELT!SCR' (5º período) não está no mesmo período.
• correquisito 'FEELT!CEE2' (3º período) de 'FEELT31603' (6º período) não está no mesmo período.
• correquisito 'FEELT!CEE2' (3º período) de 'FEELT31604' (6º período) não está no mesmo período.</t>
        </r>
      </text>
    </comment>
    <comment ref="B1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9" authorId="0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Nucleo: BASICO
Area: MATEMATICA_MODELAGEM
Tema:
Conteudo: FUND_MATEMATICA_APLICADA; FUND_CALCULO_EQUACOES_DIFERENCIAIS; FUND_ALGEBRA_LINEAR_METODOS_NUMERICOS
Competencia:</t>
        </r>
      </text>
    </comment>
    <comment ref="J9" authorId="0" shapeId="0" xr:uid="{00000000-0006-0000-0200-00002C000000}">
      <text>
        <r>
          <rPr>
            <sz val="11"/>
            <color theme="1"/>
            <rFont val="Calibri"/>
            <family val="2"/>
            <scheme val="minor"/>
          </rPr>
          <t>Nucleo: BASICO
Area: MATEMATICA_MODELAGEM
Tema:
Conteudo: FUND_MATEMATICA_APLICADA; FUND_CALCULO_EQUACOES_DIFERENCIAIS; FUND_ALGEBRA_LINEAR_METODOS_NUMERICOS
Competencia:</t>
        </r>
      </text>
    </comment>
    <comment ref="Q9" authorId="0" shapeId="0" xr:uid="{00000000-0006-0000-0200-00002D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
Conteudo: TEC_MODELAGEM_SISTEMAS_DINAMICOS
Competencia:</t>
        </r>
      </text>
    </comment>
    <comment ref="X9" authorId="0" shapeId="0" xr:uid="{00000000-0006-0000-0200-00002E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 PROF_EXTENSAO_APLICADA; HUM_DIREITOS_HUMANOS_DIVERSIDADE; HUM_RELACOES_ETNICO_RACIAIS; HUM_ACESSIBILIDADE_INCLUSAO
Competencia: ATUAR_ETICA_SUSTENTABILIDADE</t>
        </r>
      </text>
    </comment>
    <comment ref="AE9" authorId="0" shapeId="0" xr:uid="{00000000-0006-0000-0200-00002F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  </r>
      </text>
    </comment>
    <comment ref="AL9" authorId="0" shapeId="0" xr:uid="{00000000-0006-0000-0200-000030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  </r>
      </text>
    </comment>
    <comment ref="AS9" authorId="0" shapeId="0" xr:uid="{00000000-0006-0000-0200-000031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C12" authorId="0" shapeId="0" xr:uid="{00000000-0006-0000-0200-000032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200-000033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200-000034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200-000035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200-000036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  <comment ref="C14" authorId="0" shapeId="0" xr:uid="{00000000-0006-0000-0200-000037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COMPUTACAO_PROGRAMACAO; INSTRUMENTACAO_METROLOGIA; IA_DADOS_AUTOMACAO
Tema: EDUCACAO_DIGITAL_EAD
Conteudo: FUND_PROBABILIDADE_ESTATISTICA; TEC_SENSORES_ATUADORES_TRANSDUTORES; TEC_METROLOGIA_INSTRUMENTACAO; DIG_EDUCACAO_DIGITAL_EAD; AV_IA_APLICADA_AUTOMACAO; AV_VISAO_COMPUTACIONAL; AV_ANALITICA_DADOS_INDUSTRIAIS
Competencia: ESPECIFICAR_INSTRUMENTACAO</t>
        </r>
      </text>
    </comment>
    <comment ref="J14" authorId="0" shapeId="0" xr:uid="{00000000-0006-0000-0200-000038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ELETRICIDADE_INSTALACOES; ELETRONICA_INDUSTRIAL
Tema:
Conteudo: TEC_ELETRICIDADE_CIRCUITOS; TEC_ELETRONICA_ANALOGICA
Competencia:</t>
        </r>
      </text>
    </comment>
    <comment ref="Q14" authorId="0" shapeId="0" xr:uid="{00000000-0006-0000-0200-000039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ELETRICIDADE_INSTALACOES; ELETRONICA_INDUSTRIAL
Tema:
Conteudo: TEC_ELETRICIDADE_CIRCUITOS; TEC_ELETRONICA_ANALOGICA
Competencia:</t>
        </r>
      </text>
    </comment>
    <comment ref="X14" authorId="0" shapeId="0" xr:uid="{00000000-0006-0000-0200-00003A000000}">
      <text>
        <r>
          <rPr>
            <sz val="11"/>
            <color theme="1"/>
            <rFont val="Calibri"/>
            <family val="2"/>
            <scheme val="minor"/>
          </rPr>
          <t>Nucleo: TECNOLOGICO
Area: ROBOTICA_MANUFATURA_AVANCADA
Tema:
Conteudo:
Competencia:</t>
        </r>
      </text>
    </comment>
    <comment ref="AE14" authorId="0" shapeId="0" xr:uid="{00000000-0006-0000-0200-00003B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ACIONAMENTOS_MAQUINAS_ELETRICAS
Tema: SUSTENTABILIDADE_INDUSTRIAL
Conteudo: TEC_ELETRONICA_POTENCIA; TEC_MAQUINAS_ACIONAMENTOS_ELETRICOS; HUM_SUSTENTABILIDADE_EFICIENCIA_ENERGETICA
Competencia: PROJETAR_ACIONAMENTOS</t>
        </r>
      </text>
    </comment>
    <comment ref="AL14" authorId="0" shapeId="0" xr:uid="{00000000-0006-0000-0200-00003C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ELETRICIDADE_INSTALACOES; ACIONAMENTOS_MAQUINAS_ELETRICAS; SEGURANCA_NORMAS_MANUTENCAO
Tema: SAUDE_SEGURANCA_TRABALHO
Conteudo: TEC_INSTALACOES_ELETRICAS; TEC_ELETRONICA_POTENCIA; TEC_MAQUINAS_ACIONAMENTOS_ELETRICOS; TEC_MANUTENCAO_CONFIABILIDADE; PROF_SEGURANCA_MAQUINAS_PROCESSOS
Competencia: PROJETAR_ACIONAMENTOS; APLICAR_SEGURANCA_INDUSTRIAL</t>
        </r>
      </text>
    </comment>
    <comment ref="AS14" authorId="0" shapeId="0" xr:uid="{00000000-0006-0000-0200-00003D000000}">
      <text>
        <r>
          <rPr>
            <sz val="11"/>
            <color theme="1"/>
            <rFont val="Calibri"/>
            <family val="2"/>
            <scheme val="minor"/>
          </rPr>
          <t>Nucleo: INTEGRADOR
Area: FORMACAO_COMPLEMENTAR
Tema:
Conteudo: PROF_ATIVIDADES_COMPLEMENTARES
Competencia:</t>
        </r>
      </text>
    </comment>
    <comment ref="C19" authorId="0" shapeId="0" xr:uid="{00000000-0006-0000-0200-00003E000000}">
      <text>
        <r>
          <rPr>
            <sz val="11"/>
            <color theme="1"/>
            <rFont val="Calibri"/>
            <family val="2"/>
            <scheme val="minor"/>
          </rPr>
          <t>Nucleo: BASICO
Area: FISICA_FUNDAMENTOS; MECANICA_ELEMENTOS_MAQUINAS
Tema:
Conteudo: FUND_DESENHO_TECNICO_CAD; TEC_MECANICA_ELEMENTOS_MAQUINAS
Competencia:</t>
        </r>
      </text>
    </comment>
    <comment ref="J19" authorId="0" shapeId="0" xr:uid="{00000000-0006-0000-0200-00003F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
Conteudo:
Competencia:</t>
        </r>
      </text>
    </comment>
    <comment ref="Q19" authorId="0" shapeId="0" xr:uid="{00000000-0006-0000-0200-000040000000}">
      <text>
        <r>
          <rPr>
            <sz val="11"/>
            <color theme="1"/>
            <rFont val="Calibri"/>
            <family val="2"/>
            <scheme val="minor"/>
          </rPr>
          <t>Nucleo: TECNOLOGICO
Area: ELETRICIDADE_INSTALACOES; ACIONAMENTOS_MAQUINAS_ELETRICAS
Tema:
Conteudo: TEC_ELETRICIDADE_CIRCUITOS; TEC_ELETRONICA_POTENCIA; TEC_MAQUINAS_ACIONAMENTOS_ELETRICOS
Competencia: PROJETAR_ACIONAMENTOS</t>
        </r>
      </text>
    </comment>
    <comment ref="X19" authorId="0" shapeId="0" xr:uid="{00000000-0006-0000-0200-000041000000}">
      <text>
        <r>
          <rPr>
            <sz val="11"/>
            <color theme="1"/>
            <rFont val="Calibri"/>
            <family val="2"/>
            <scheme val="minor"/>
          </rPr>
          <t>Nucleo: BASICO
Area: FISICA_FUNDAMENTOS
Tema:
Conteudo: FUND_FISICA_APLICADA
Competencia:</t>
        </r>
      </text>
    </comment>
    <comment ref="AE19" authorId="0" shapeId="0" xr:uid="{00000000-0006-0000-0200-000042000000}">
      <text>
        <r>
          <rPr>
            <sz val="11"/>
            <color theme="1"/>
            <rFont val="Calibri"/>
            <family val="2"/>
            <scheme val="minor"/>
          </rPr>
          <t>Nucleo: TECNOLOGICO
Area: SINAIS_CONTROLE_PROCESSOS
Tema:
Conteudo: TEC_CONTROLE_CONTINUO
Competencia: PROJETAR_SISTEMAS_CONTROLE</t>
        </r>
      </text>
    </comment>
    <comment ref="AL19" authorId="0" shapeId="0" xr:uid="{00000000-0006-0000-0200-000043000000}">
      <text>
        <r>
          <rPr>
            <sz val="11"/>
            <color theme="1"/>
            <rFont val="Calibri"/>
            <family val="2"/>
            <scheme val="minor"/>
          </rPr>
          <t>Nucleo: TECNOLOGICO
Area: ELETRICIDADE_INSTALACOES; SEGURANCA_NORMAS_MANUTENCAO
Tema: SAUDE_SEGURANCA_TRABALHO
Conteudo: TEC_INSTALACOES_ELETRICAS; PROF_SEGURANCA_MAQUINAS_PROCESSOS
Competencia: APLICAR_SEGURANCA_INDUSTRIAL</t>
        </r>
      </text>
    </comment>
    <comment ref="C24" authorId="0" shapeId="0" xr:uid="{00000000-0006-0000-0200-000044000000}">
      <text>
        <r>
          <rPr>
            <sz val="11"/>
            <color theme="1"/>
            <rFont val="Calibri"/>
            <family val="2"/>
            <scheme val="minor"/>
          </rPr>
          <t>Nucleo: HUMANISTICO
Area: FORMACAO_HUMANISTICA_SOCIOAMBIENTAL; COMUNICACAO_METODOLOGIA_CIENTIFICA
Tema: RELACOES_ETNICO_RACIAIS; DIREITOS_HUMANOS; ACESSIBILIDADE_INCLUSAO; ETICA_RESPONSABILIDADE_PROFISSIONAL; TRABALHO_CIENCIA_TECNOLOGIA_CULTURA
Conteudo: FUND_COMUNICACAO_METODOLOGIA_CIENTIFICA; PROF_NORMAS_TECNICAS_DOCUMENTACAO; HUM_ETICA_RESPONSABILIDADE; HUM_TRABALHO_CIENCIA_TECNOLOGIA_SOCIEDADE; HUM_DIREITOS_HUMANOS_DIVERSIDADE; HUM_RELACOES_ETNICO_RACIAIS; HUM_ACESSIBILIDADE_INCLUSAO
Competencia: ATUAR_ETICA_SUSTENTABILIDADE</t>
        </r>
      </text>
    </comment>
    <comment ref="J24" authorId="0" shapeId="0" xr:uid="{00000000-0006-0000-0200-000045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TEC_SISTEMAS_OPERACIONAIS_TEMPO_REAL
Competencia: PROGRAMAR_CLP_SUPERVISORIO</t>
        </r>
      </text>
    </comment>
    <comment ref="Q24" authorId="0" shapeId="0" xr:uid="{00000000-0006-0000-0200-000046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
Conteudo:
Competencia:</t>
        </r>
      </text>
    </comment>
    <comment ref="X24" authorId="0" shapeId="0" xr:uid="{00000000-0006-0000-0200-000047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AUTOMACAO_INDUSTRIAL_CLP_SCADA; REDES_INDUSTRIAIS_IIOT
Tema: EDUCACAO_DIGITAL_EAD
Conteudo: TEC_REDES_PROTOCOLOS_INDUSTRIAIS; TEC_IIOT_INTEGRACAO_DADOS; DIG_EDUCACAO_DIGITAL_EAD
Competencia: PROGRAMAR_CLP_SUPERVISORIO; INTEGRAR_REDES_INDUSTRIAIS</t>
        </r>
      </text>
    </comment>
    <comment ref="AE24" authorId="0" shapeId="0" xr:uid="{00000000-0006-0000-0200-000048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ROBOTICA_MANUFATURA_AVANCADA
Tema: SAUDE_SEGURANCA_TRABALHO
Conteudo: TEC_ROBOTICA_INDUSTRIAL; TEC_MANUFATURA_AUTOMATIZADA; AV_VISAO_COMPUTACIONAL; AV_ROBOTICA_COLABORATIVA
Competencia:</t>
        </r>
      </text>
    </comment>
    <comment ref="AL24" authorId="0" shapeId="0" xr:uid="{00000000-0006-0000-0200-000049000000}">
      <text>
        <r>
          <rPr>
            <sz val="11"/>
            <color theme="1"/>
            <rFont val="Calibri"/>
            <family val="2"/>
            <scheme val="minor"/>
          </rPr>
          <t>Nucleo: TECNOLOGICO
Area: ELETRICIDADE_INSTALACOES; SEGURANCA_NORMAS_MANUTENCAO
Tema: SAUDE_SEGURANCA_TRABALHO
Conteudo: TEC_INSTALACOES_ELETRICAS; PROF_SEGURANCA_MAQUINAS_PROCESSOS
Competencia: APLICAR_SEGURANCA_INDUSTRIAL</t>
        </r>
      </text>
    </comment>
    <comment ref="C29" authorId="0" shapeId="0" xr:uid="{00000000-0006-0000-0200-00004A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SISTEMAS_DIGITAIS_EMBARCADOS; COMPUTACAO_PROGRAMACAO; REDES_INDUSTRIAIS_IIOT; IA_DADOS_AUTOMACAO; CIBERSEGURANCA_INDUSTRIAL
Tema: PROTECAO_DADOS_SEGURANCA_DIGITAL; EDUCACAO_DIGITAL_EAD
Conteudo: TEC_SISTEMAS_EMBARCADOS_MICROCONTROLADORES; TEC_IIOT_INTEGRACAO_DADOS; TEC_BANCOS_DADOS_HISTORIADORES; DIG_EDUCACAO_DIGITAL_EAD; AV_IA_APLICADA_AUTOMACAO; AV_CIBERSEGURANCA_OT; AV_GEMEOS_DIGITAIS_SIMULACAO; AV_ANALITICA_DADOS_INDUSTRIAIS; AV_COMPUTACAO_NUVEM_BORDA
Competencia: INTEGRAR_REDES_INDUSTRIAIS; DESENVOLVER_SISTEMAS_EMBARCADOS</t>
        </r>
      </text>
    </comment>
    <comment ref="J29" authorId="0" shapeId="0" xr:uid="{00000000-0006-0000-0200-00004B000000}">
      <text>
        <r>
          <rPr>
            <sz val="11"/>
            <color theme="1"/>
            <rFont val="Calibri"/>
            <family val="2"/>
            <scheme val="minor"/>
          </rPr>
          <t>Nucleo: TECNOLOGICO
Area: IA_DADOS_AUTOMACAO
Tema:
Conteudo:
Competencia:</t>
        </r>
      </text>
    </comment>
    <comment ref="Q29" authorId="0" shapeId="0" xr:uid="{00000000-0006-0000-0200-00004C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TEC_BANCOS_DADOS_HISTORIADORES
Competencia: PROGRAMAR_CLP_SUPERVISORIO</t>
        </r>
      </text>
    </comment>
    <comment ref="X29" authorId="0" shapeId="0" xr:uid="{00000000-0006-0000-0200-00004D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 EDUCACAO_DIGITAL_EAD
Conteudo: FUND_MATEMATICA_APLICADA; FUND_CALCULO_EQUACOES_DIFERENCIAIS; FUND_ALGEBRA_LINEAR_METODOS_NUMERICOS; TEC_SINAIS_SISTEMAS; TEC_MODELAGEM_SISTEMAS_DINAMICOS; DIG_EDUCACAO_DIGITAL_EAD; AV_CONTROLE_AVANCADO
Competencia: PROJETAR_SISTEMAS_CONTROLE</t>
        </r>
      </text>
    </comment>
    <comment ref="AE29" authorId="0" shapeId="0" xr:uid="{00000000-0006-0000-0200-00004E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AUTOMACAO_INDUSTRIAL_CLP_SCADA; REDES_INDUSTRIAIS_IIOT; CIBERSEGURANCA_INDUSTRIAL
Tema: PROTECAO_DADOS_SEGURANCA_DIGITAL
Conteudo: TEC_REDES_PROTOCOLOS_INDUSTRIAIS; TEC_IIOT_INTEGRACAO_DADOS; TEC_BANCOS_DADOS_HISTORIADORES; AV_CIBERSEGURANCA_OT; AV_COMPUTACAO_NUVEM_BORDA
Competencia: PROGRAMAR_CLP_SUPERVISORIO; INTEGRAR_REDES_INDUSTRIAIS</t>
        </r>
      </text>
    </comment>
    <comment ref="AL29" authorId="0" shapeId="0" xr:uid="{00000000-0006-0000-0200-00004F000000}">
      <text>
        <r>
          <rPr>
            <sz val="11"/>
            <color theme="1"/>
            <rFont val="Calibri"/>
            <family val="2"/>
            <scheme val="minor"/>
          </rPr>
          <t>Nucleo: INTEGRADOR
Area: ROBOTICA_MANUFATURA_AVANCADA; GESTAO_INOVACAO; GESTAO_QUALIDADE_PRODUCAO; PROJETOS_INTEGRADORES_EXTENSAO; COMUNICACAO_METODOLOGIA_CIENTIFICA
Tema: EDUCACAO_AMBIENTAL; ETICA_RESPONSABILIDADE_PROFISSIONAL; SUSTENTABILIDADE_INDUSTRIAL; INOVACAO_EMPREENDEDORISMO
Conteudo: FUND_COMUNICACAO_METODOLOGIA_CIENTIFICA; TEC_MANUFATURA_AUTOMATIZADA; TEC_QUALIDADE_PROCESSOS_INDUSTRIAIS; PROF_NORMAS_TECNICAS_DOCUMENTACAO; PROF_GESTAO_PROJETOS_VIABILIDADE; PROF_PROJETO_INTEGRADOR; PROF_LAUDOS_PERICIAS_AVALIACOES; PROF_LIDERANCA_EQUIPES_CONFLITOS; HUM_ETICA_RESPONSABILIDADE; HUM_SUSTENTABILIDADE_EFICIENCIA_ENERGETICA; HUM_EMPREENDEDORISMO_INOVACAO; AV_GEMEOS_DIGITAIS_SIMULACAO
Competencia: GERIR_PROJETOS_AUTOMACAO; ATUAR_ETICA_SUSTENTABILIDADE</t>
        </r>
      </text>
    </comment>
    <comment ref="X34" authorId="0" shapeId="0" xr:uid="{00000000-0006-0000-0200-000050000000}">
      <text>
        <r>
          <rPr>
            <sz val="11"/>
            <color theme="1"/>
            <rFont val="Calibri"/>
            <family val="2"/>
            <scheme val="minor"/>
          </rPr>
          <t>Nucleo: TECNOLOGICO
Area: HIDRAULICA_PNEUMATICA; MECANICA_ELEMENTOS_MAQUINAS
Tema: SAUDE_SEGURANCA_TRABALHO
Conteudo: TEC_HIDRAULICA_PNEUMATICA; TEC_MECANICA_ELEMENTOS_MAQUINAS; PROF_SEGURANCA_MAQUINAS_PROCESSOS
Competencia: APLICAR_SEGURANCA_INDUSTRIAL</t>
        </r>
      </text>
    </comment>
    <comment ref="AE34" authorId="0" shapeId="0" xr:uid="{00000000-0006-0000-0200-000051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MATEMATICA_MODELAGEM; SINAIS_CONTROLE_PROCESSOS; AUTOMACAO_INDUSTRIAL_CLP_SCADA
Tema: EDUCACAO_DIGITAL_EAD
Conteudo: TEC_MODELAGEM_SISTEMAS_DINAMICOS; TEC_CONTROLE_CONTINUO; TEC_CONTROLE_DIGITAL; TEC_CONTROLE_PROCESSOS; DIG_EDUCACAO_DIGITAL_EAD; AV_CONTROLE_AVANCADO
Competencia: PROJETAR_SISTEMAS_CONTROLE</t>
        </r>
      </text>
    </comment>
    <comment ref="AL34" authorId="0" shapeId="0" xr:uid="{00000000-0006-0000-0200-000052000000}">
      <text>
        <r>
          <rPr>
            <sz val="11"/>
            <color theme="1"/>
            <rFont val="Calibri"/>
            <family val="2"/>
            <scheme val="minor"/>
          </rPr>
          <t>Nucleo: INTEGRADOR
Area: GESTAO_INOVACAO; GESTAO_QUALIDADE_PRODUCAO; SEGURANCA_NORMAS_MANUTENCAO; PROJETOS_INTEGRADORES_EXTENSAO; COMUNICACAO_METODOLOGIA_CIENTIFICA
Tema: ETICA_RESPONSABILIDADE_PROFISSIONAL; SAUDE_SEGURANCA_TRABALHO; TRABALHO_CIENCIA_TECNOLOGIA_CULTURA
Conteudo: FUND_COMUNICACAO_METODOLOGIA_CIENTIFICA; TEC_MANUTENCAO_CONFIABILIDADE; TEC_QUALIDADE_PROCESSOS_INDUSTRIAIS; PROF_NORMAS_TECNICAS_DOCUMENTACAO; PROF_GESTAO_PROJETOS_VIABILIDADE; PROF_LAUDOS_PERICIAS_AVALIACOES; PROF_LIDERANCA_EQUIPES_CONFLITOS; HUM_TRABALHO_CIENCIA_TECNOLOGIA_SOCIEDADE
Competencia: GERIR_PROJETOS_AUTOMACAO</t>
        </r>
      </text>
    </comment>
    <comment ref="X39" authorId="0" shapeId="0" xr:uid="{00000000-0006-0000-0200-000053000000}">
      <text>
        <r>
          <rPr>
            <sz val="11"/>
            <color theme="1"/>
            <rFont val="Calibri"/>
            <family val="2"/>
            <scheme val="minor"/>
          </rPr>
          <t>Nucleo: HUMANISTICO
Area: GESTAO_INOVACAO; FORMACAO_HUMANISTICA_SOCIOAMBIENTAL
Tema: RELACOES_ETNICO_RACIAIS; DIREITOS_HUMANOS; EDUCACAO_AMBIENTAL; ETICA_RESPONSABILIDADE_PROFISSIONAL; SUSTENTABILIDADE_INDUSTRIAL; INOVACAO_EMPREENDEDORISMO; TRABALHO_CIENCIA_TECNOLOGIA_CULTURA; EDUCACAO_DIGITAL_EAD
Conteudo: PROF_GESTAO_PROJETOS_VIABILIDADE; PROF_LIDERANCA_EQUIPES_CONFLITOS; HUM_ETICA_RESPONSABILIDADE; HUM_SUSTENTABILIDADE_EFICIENCIA_ENERGETICA; HUM_TRABALHO_CIENCIA_TECNOLOGIA_SOCIEDADE; HUM_DIREITOS_HUMANOS_DIVERSIDADE; HUM_EMPREENDEDORISMO_INOVACAO; DIG_EDUCACAO_DIGITAL_EAD
Competencia: GERIR_PROJETOS_AUTOMACAO; ATUAR_ETICA_SUSTENTABILIDADE</t>
        </r>
      </text>
    </comment>
    <comment ref="AE39" authorId="0" shapeId="0" xr:uid="{00000000-0006-0000-0200-000054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INSTRUMENTACAO_METROLOGIA
Tema: EDUCACAO_DIGITAL_EAD
Conteudo: TEC_SENSORES_ATUADORES_TRANSDUTORES; TEC_METROLOGIA_INSTRUMENTACAO; DIG_EDUCACAO_DIGITAL_EAD
Competencia: ESPECIFICAR_INSTRUMENTACAO</t>
        </r>
      </text>
    </comment>
    <comment ref="C53" authorId="0" shapeId="0" xr:uid="{00000000-0006-0000-0200-000055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J53" authorId="0" shapeId="0" xr:uid="{00000000-0006-0000-0200-000056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Q53" authorId="0" shapeId="0" xr:uid="{00000000-0006-0000-0200-000057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X53" authorId="0" shapeId="0" xr:uid="{00000000-0006-0000-0200-000058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E53" authorId="0" shapeId="0" xr:uid="{00000000-0006-0000-0200-000059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L53" authorId="0" shapeId="0" xr:uid="{00000000-0006-0000-0200-00005A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S53" authorId="0" shapeId="0" xr:uid="{00000000-0006-0000-0200-00005B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Z53" authorId="0" shapeId="0" xr:uid="{00000000-0006-0000-0200-00005C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C58" authorId="0" shapeId="0" xr:uid="{00000000-0006-0000-0200-00005D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J58" authorId="0" shapeId="0" xr:uid="{00000000-0006-0000-0200-00005E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Q58" authorId="0" shapeId="0" xr:uid="{00000000-0006-0000-0200-00005F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X58" authorId="0" shapeId="0" xr:uid="{00000000-0006-0000-0200-000060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E58" authorId="0" shapeId="0" xr:uid="{00000000-0006-0000-0200-000061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L58" authorId="0" shapeId="0" xr:uid="{00000000-0006-0000-0200-000062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S58" authorId="0" shapeId="0" xr:uid="{00000000-0006-0000-0200-000063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AZ58" authorId="0" shapeId="0" xr:uid="{00000000-0006-0000-0200-000064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</commentList>
</comments>
</file>

<file path=xl/sharedStrings.xml><?xml version="1.0" encoding="utf-8"?>
<sst xmlns="http://schemas.openxmlformats.org/spreadsheetml/2006/main" count="1470" uniqueCount="1062">
  <si>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</si>
  <si>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</si>
  <si>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</si>
  <si>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</si>
  <si>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</si>
  <si>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</si>
  <si>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</si>
  <si>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</si>
  <si>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</si>
  <si>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</si>
  <si>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</si>
  <si>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</si>
  <si>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</si>
  <si>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</si>
  <si>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</si>
  <si>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</si>
  <si>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</si>
  <si>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</si>
  <si>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</si>
  <si>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</si>
  <si>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</si>
  <si>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</si>
  <si>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</si>
  <si>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900 horas</t>
  </si>
  <si>
    <t>COMPONENTES CURRICULARES OPTATIVOS</t>
  </si>
  <si>
    <t>Tecnologo</t>
  </si>
  <si>
    <t>Engenharia</t>
  </si>
  <si>
    <t>Total do Cruso</t>
  </si>
  <si>
    <t>Aulas Práticas</t>
  </si>
  <si>
    <t>Extensão</t>
  </si>
  <si>
    <t>Estágio</t>
  </si>
  <si>
    <t>Atividades Complementares</t>
  </si>
  <si>
    <t>TCC</t>
  </si>
  <si>
    <t>Calculo I</t>
  </si>
  <si>
    <t>Calculo II</t>
  </si>
  <si>
    <t>Expressão Grafica</t>
  </si>
  <si>
    <t>Fenomeno Transporte</t>
  </si>
  <si>
    <t xml:space="preserve">Inovação </t>
  </si>
  <si>
    <t>SCHP</t>
  </si>
  <si>
    <t>Aulas Teóricas</t>
  </si>
  <si>
    <t xml:space="preserve"> </t>
  </si>
  <si>
    <t>Divide por 15 semanas</t>
  </si>
  <si>
    <t>Divide por 17 professores</t>
  </si>
  <si>
    <t>Verificação de regras (Python)</t>
  </si>
  <si>
    <t>●</t>
  </si>
  <si>
    <t>2 erro(s), 51 alerta(s) — verificado em 07/08/2026 10:11</t>
  </si>
  <si>
    <t>Erros (2) — resolva um a um; a lista atualiza a cada verificação:</t>
  </si>
  <si>
    <t>NUCLEO_COMPONENTE_INEXISTENTE</t>
  </si>
  <si>
    <t>código 'FEELT31410' listado em 'componentes' de núcleo 'TECNOLOGICO' não existe na aba Componentes da matriz curricular.</t>
  </si>
  <si>
    <t>AREA_COMPONENTE_INEXISTENTE</t>
  </si>
  <si>
    <t>código 'FEELT31410' listado em 'componentes' de área 'SISTEMAS_DIGITAIS_EMBARCADOS' não existe na aba Componentes da matriz curricular.</t>
  </si>
  <si>
    <t>Alertas (resumo): 51 no total</t>
  </si>
  <si>
    <t>CODIGO_PROVISORIO</t>
  </si>
  <si>
    <t>45 alerta(s)</t>
  </si>
  <si>
    <t>OFERTA_SEM_NORMA_INSTITUCIONAL_CONFIRMADA</t>
  </si>
  <si>
    <t>1 alerta(s)</t>
  </si>
  <si>
    <t>CORREQUISITO_PERIODO_DIVERGENTE</t>
  </si>
  <si>
    <t>4 alerta(s)</t>
  </si>
  <si>
    <t>CONTEUDO_OBRIGATORIO_SEM_COBERTURA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</si>
  <si>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</si>
  <si>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</si>
  <si>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</si>
  <si>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</si>
  <si>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</si>
  <si>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</si>
  <si>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</si>
  <si>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</si>
  <si>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</si>
  <si>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</si>
  <si>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</si>
  <si>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</si>
  <si>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</si>
  <si>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</si>
  <si>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</si>
  <si>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</si>
  <si>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</si>
  <si>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</si>
  <si>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</si>
  <si>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</si>
  <si>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</si>
  <si>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</si>
  <si>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</si>
  <si>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</si>
  <si>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</si>
  <si>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</si>
  <si>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</si>
  <si>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</si>
  <si>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</si>
  <si>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</si>
  <si>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</si>
  <si>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</si>
  <si>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</si>
  <si>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</si>
  <si>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</si>
  <si>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</si>
  <si>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</si>
  <si>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</si>
  <si>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</si>
  <si>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</si>
  <si>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</si>
  <si>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</si>
  <si>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</si>
  <si>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</si>
  <si>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</si>
  <si>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</si>
  <si>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</si>
  <si>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</si>
  <si>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</si>
  <si>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</si>
  <si>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</si>
  <si>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</si>
  <si>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</si>
  <si>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</si>
  <si>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</si>
  <si>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</si>
  <si>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</si>
  <si>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</si>
  <si>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</si>
  <si>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</si>
  <si>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</si>
  <si>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</si>
  <si>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</si>
  <si>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</si>
  <si>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</si>
  <si>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</si>
  <si>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</si>
  <si>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</si>
  <si>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</si>
  <si>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</si>
  <si>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</si>
  <si>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</si>
  <si>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</si>
  <si>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</si>
  <si>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</si>
  <si>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</si>
  <si>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</si>
  <si>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</si>
  <si>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</si>
  <si>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</si>
  <si>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</si>
  <si>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</si>
  <si>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</si>
  <si>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</si>
  <si>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</si>
  <si>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</si>
  <si>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</si>
  <si>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</si>
  <si>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</si>
  <si>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</si>
  <si>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</si>
  <si>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</si>
  <si>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</si>
  <si>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</si>
  <si>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</si>
  <si>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</si>
  <si>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</si>
  <si>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</si>
  <si>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</si>
  <si>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</si>
  <si>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</si>
  <si>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</si>
  <si>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</si>
  <si>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</si>
  <si>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</si>
  <si>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</si>
  <si>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</si>
  <si>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</si>
  <si>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</si>
  <si>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</si>
  <si>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</si>
  <si>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</si>
  <si>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</si>
  <si>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</si>
  <si>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</si>
  <si>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</si>
  <si>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</si>
  <si>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</si>
  <si>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</si>
  <si>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</si>
  <si>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</si>
  <si>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</si>
  <si>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</si>
  <si>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</si>
  <si>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</si>
  <si>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</si>
  <si>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</si>
  <si>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</si>
  <si>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</si>
  <si>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</si>
  <si>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</si>
  <si>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</si>
  <si>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</si>
  <si>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</si>
  <si>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</si>
  <si>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</si>
  <si>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</si>
  <si>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</si>
  <si>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</si>
  <si>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</si>
  <si>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</si>
  <si>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</si>
  <si>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</si>
  <si>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</si>
  <si>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</si>
  <si>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</si>
  <si>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</si>
  <si>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</si>
  <si>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</si>
  <si>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</si>
  <si>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</si>
  <si>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</si>
  <si>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</si>
  <si>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</si>
  <si>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</si>
  <si>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</si>
  <si>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</si>
  <si>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</si>
  <si>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</si>
  <si>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</si>
  <si>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</si>
  <si>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FEELT!CDM</t>
  </si>
  <si>
    <t>Ciência de dados aplicada a Metrologia</t>
  </si>
  <si>
    <t>FEELT!CEE1</t>
  </si>
  <si>
    <t>Circuitos Eletro-Eletrônicos I</t>
  </si>
  <si>
    <t>FEELT!CEE2</t>
  </si>
  <si>
    <t>Circuitos Eletro-Eletrônicos II</t>
  </si>
  <si>
    <t>FEELT!CVRM</t>
  </si>
  <si>
    <t>Conversão de Energia e Maquinas</t>
  </si>
  <si>
    <t>FEELT!CEE1|FEELT!CEE2</t>
  </si>
  <si>
    <t>FEELT!DCA</t>
  </si>
  <si>
    <t>Dispositivos Ciberfísicos para IoT E IIoT</t>
  </si>
  <si>
    <t>FEELT!ESCR</t>
  </si>
  <si>
    <t>Experimental de Sistemas de Controle Realimentado</t>
  </si>
  <si>
    <t>FEELT!PS|FEELT!SCR</t>
  </si>
  <si>
    <t>FEELT!ESOI</t>
  </si>
  <si>
    <t>Estágio Supervisionado Obrigatório I</t>
  </si>
  <si>
    <t>estagio</t>
  </si>
  <si>
    <t>FEELT!IAAA</t>
  </si>
  <si>
    <t>Inteligência Artificial Aplicada em Automação</t>
  </si>
  <si>
    <t>FEELT!IABI</t>
  </si>
  <si>
    <t>Introdução à Área Básica de Ingresso em Automação, Robótica e IA</t>
  </si>
  <si>
    <t>FEELT!IDI</t>
  </si>
  <si>
    <t>Instrumentação e Dispositivos Inteligentes</t>
  </si>
  <si>
    <t>FEQUI39401</t>
  </si>
  <si>
    <t>FEELT!IINDI</t>
  </si>
  <si>
    <t>Informática Industrial I</t>
  </si>
  <si>
    <t>FEELT31409</t>
  </si>
  <si>
    <t>FEELT!IINDII</t>
  </si>
  <si>
    <t>Informática Industrial II</t>
  </si>
  <si>
    <t>FEELT!MECT</t>
  </si>
  <si>
    <t>Materias Elétricos e Circuitos Trifásicos</t>
  </si>
  <si>
    <t>FEELT!MM</t>
  </si>
  <si>
    <t>Modelagem de Manipuladores</t>
  </si>
  <si>
    <t>FAMAT31012|FEELT!MS2</t>
  </si>
  <si>
    <t>FEELT!MRII</t>
  </si>
  <si>
    <t>Manipuladores Robóticos Industriais e Inteligentes</t>
  </si>
  <si>
    <t>FEELT!SCR</t>
  </si>
  <si>
    <t>FEELT!MS1</t>
  </si>
  <si>
    <t>Modelagem de Sistemas I</t>
  </si>
  <si>
    <t>FEELT!MS2</t>
  </si>
  <si>
    <t>Modelagem de Sistemas II</t>
  </si>
  <si>
    <t>FAMAT31012|FEELT!MS1</t>
  </si>
  <si>
    <t>FEELT!OPT</t>
  </si>
  <si>
    <t>MÓDULO OPTATIVO</t>
  </si>
  <si>
    <t>outro</t>
  </si>
  <si>
    <t>FEELT!PAI</t>
  </si>
  <si>
    <t>Proteção e Acionamentos Industriais</t>
  </si>
  <si>
    <t>FEELT!PI</t>
  </si>
  <si>
    <t>Projeto Interdisciplinar</t>
  </si>
  <si>
    <t>FEELT!PS</t>
  </si>
  <si>
    <t>Processamento de Sinais</t>
  </si>
  <si>
    <t>FEELT!SD</t>
  </si>
  <si>
    <t>FEELT!RASC1</t>
  </si>
  <si>
    <t>RASC 1:</t>
  </si>
  <si>
    <t>carga_optativa</t>
  </si>
  <si>
    <t>FEELT!RASC2</t>
  </si>
  <si>
    <t>RASC 2:</t>
  </si>
  <si>
    <t>FEELT!RASC3</t>
  </si>
  <si>
    <t>RASC 3:</t>
  </si>
  <si>
    <t>FEELT!RASC4</t>
  </si>
  <si>
    <t>RASC 4:</t>
  </si>
  <si>
    <t>FEELT!RASC5</t>
  </si>
  <si>
    <t>RASC 5:</t>
  </si>
  <si>
    <t>FEELT!RASC6</t>
  </si>
  <si>
    <t>RASC 6:</t>
  </si>
  <si>
    <t>FEELT!RASC7</t>
  </si>
  <si>
    <t>RASC 7:</t>
  </si>
  <si>
    <t>FEELT!RICAI</t>
  </si>
  <si>
    <t>Redes Industriais para Controle e Automação I</t>
  </si>
  <si>
    <t>FEELT!RICAII</t>
  </si>
  <si>
    <t>Redes Industriais para Controle e Automação II</t>
  </si>
  <si>
    <t>FEELT!IINDII|FEELT!RICAI</t>
  </si>
  <si>
    <t>Sistemas de Controle Realimentado</t>
  </si>
  <si>
    <t>FEELT!ESCR|FEELT!PS</t>
  </si>
  <si>
    <t>Sistemas Dinâmicos</t>
  </si>
  <si>
    <t>FEELT!TEC8</t>
  </si>
  <si>
    <t>Tópicos Especiais em Controle VIII</t>
  </si>
  <si>
    <t>FEELT!TEI1</t>
  </si>
  <si>
    <t>Tópicos Especiais em IIOT I</t>
  </si>
  <si>
    <t>FEELT!TEI2</t>
  </si>
  <si>
    <t>Tópicos Especiais em IIOT II</t>
  </si>
  <si>
    <t>FEELT!TEI3</t>
  </si>
  <si>
    <t>Tópicos Especiais em IIOT III</t>
  </si>
  <si>
    <t>FEELT!TEI4</t>
  </si>
  <si>
    <t>Tópicos Especiais IIOT IV</t>
  </si>
  <si>
    <t>FEELT!TEI5</t>
  </si>
  <si>
    <t>Tópicos Especiais em IIOT V</t>
  </si>
  <si>
    <t>FEELT!TEI6</t>
  </si>
  <si>
    <t>Tópicos Especiais em IIOT VI</t>
  </si>
  <si>
    <t>FEELT!TEI7</t>
  </si>
  <si>
    <t>Tópicos Especiais em IIOT VII</t>
  </si>
  <si>
    <t>FEELT!TEI8</t>
  </si>
  <si>
    <t>Tópicos Especiais IIOT VIII</t>
  </si>
  <si>
    <t>Sistemas Digitais</t>
  </si>
  <si>
    <t>FEELT31603</t>
  </si>
  <si>
    <t>Instalações Elétricas</t>
  </si>
  <si>
    <t>FEELT!CEE2|FEELT31604</t>
  </si>
  <si>
    <t>FEELT31604</t>
  </si>
  <si>
    <t>Experimental de Instalações Elétricas</t>
  </si>
  <si>
    <t>FEELT!CEE2|FEELT31603</t>
  </si>
  <si>
    <t>FEMEC39101</t>
  </si>
  <si>
    <t>Expressão Gráfica</t>
  </si>
  <si>
    <t>FEMEC41080</t>
  </si>
  <si>
    <t>Sistemas de Controle Hidráulicos e Pneumáticos</t>
  </si>
  <si>
    <t>Fenômenos de Transporte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</si>
  <si>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</si>
  <si>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</si>
  <si>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</si>
  <si>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</si>
  <si>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</si>
  <si>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</si>
  <si>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</si>
  <si>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</si>
  <si>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</si>
  <si>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</si>
  <si>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</si>
  <si>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</si>
  <si>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</si>
  <si>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FEELT!CDM|FEELT!CEE1|FEELT!CEE2|FEELT!CVRM|FEELT!DCA|FEELT31604|FEELT!ESCR|FEELT!IINDI|FEELT!IINDII|FEELT31603|FEELT!IDI|FEELT!MRII|FEELT!MECT|FEELT!PAI|FEELT!RICAI|FEELT!RICAII|FEELT!PS|FEMEC41080|FEELT!SCR|FEELT31409|FEELT!IAAA|FEELT!MM|FEELT!MS1|FEELT!MS2|FEELT31410|FEELT!SD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</si>
  <si>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</si>
  <si>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</si>
  <si>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</si>
  <si>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FAGEN32411|FEELT!IABI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</si>
  <si>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</si>
  <si>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</si>
  <si>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</si>
  <si>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FEELT!AC|FEELT!ACE1|FEELT!ACE2|FEELT!ACE3|FEELT!ESOI|FEELT!PI</t>
  </si>
  <si>
    <t>COMPLEMENTAR</t>
  </si>
  <si>
    <t>Formação Complementar e Optativa</t>
  </si>
  <si>
    <t>Núcleo destinado a optativas, atividades acadêmicas complementares e percursos flexíveis definidos no PPC.</t>
  </si>
  <si>
    <t>FEELT!OPT|FEELT!RASC1|FEELT!RASC2|FEELT!RASC3|FEELT!RASC4|FEELT!RASC5|FEELT!RASC6|FEELT!RASC7|FEELT!TEC8|FEELT!TEI1|FEELT!TEI2|FEELT!TEI3|FEELT!TEI4|FEELT!TEI5|FEELT!TEI6|FEELT!TEI7|FEELT!TEI8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</si>
  <si>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</si>
  <si>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</si>
  <si>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</si>
  <si>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FEELT!CDM|FEELT!CEE1|FEELT!CEE2|FEELT!CVRM|FEELT!DCA|FEELT!IDI|FEELT!MRII|FEELT!PAI|FEELT!RICAI|FEELT!RICAII|FEELT!IINDI|FEELT!IINDII|FEELT!SCR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</si>
  <si>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</si>
  <si>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</si>
  <si>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</si>
  <si>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FAMAT31011|FAMAT31012|FEELT!PS|FEELT!SCR|FEELT!MS1|FEELT!MS2|FEELT!SD</t>
  </si>
  <si>
    <t>FISICA_FUNDAMENTOS</t>
  </si>
  <si>
    <t>Física e Fundamentos Científicos</t>
  </si>
  <si>
    <t>Fenômenos físicos e bases científicas necessários à compreensão de sistemas industriais.</t>
  </si>
  <si>
    <t>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</si>
  <si>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</si>
  <si>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</si>
  <si>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</si>
  <si>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</si>
  <si>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</si>
  <si>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</si>
  <si>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</si>
  <si>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</si>
  <si>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</si>
  <si>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</si>
  <si>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</si>
  <si>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FEELT31409|FEELT!DCA|FEELT!IINDI|FEELT!IINDII|FEELT31410</t>
  </si>
  <si>
    <t>COMPUTACAO_PROGRAMACAO</t>
  </si>
  <si>
    <t>Computação e Programação Aplicadas</t>
  </si>
  <si>
    <t>Algoritmos, programação, software e ferramentas computacionais aplicadas à automação.</t>
  </si>
  <si>
    <t>FEELT!CDM|FEELT!IINDI|FEELT!IINDII|FEELT!DCA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</si>
  <si>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</si>
  <si>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</si>
  <si>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</si>
  <si>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</si>
  <si>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</si>
  <si>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</si>
  <si>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</si>
  <si>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FEELT!PS|FEELT!SCR|FEELT!ESCR|FEELT!MS1|FEELT!MS2|FEELT!SD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</si>
  <si>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</si>
  <si>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</si>
  <si>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</si>
  <si>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FEELT!IINDI|FEELT!IINDII|FEELT!RICAI|FEELT!RICAII|FEELT!SCR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</si>
  <si>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</si>
  <si>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</si>
  <si>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</si>
  <si>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FEELT!RICAI|FEELT!RICAII|FEELT!DCA|FEELT!IINDI|FEELT!IINDII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</si>
  <si>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</si>
  <si>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</si>
  <si>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</si>
  <si>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</si>
  <si>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</si>
  <si>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</si>
  <si>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</si>
  <si>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</si>
  <si>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</si>
  <si>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</si>
  <si>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FEMEC39101|FEMEC41080</t>
  </si>
  <si>
    <t>ROBOTICA_MANUFATURA_AVANCADA</t>
  </si>
  <si>
    <t>Robótica e Manufatura Avançada</t>
  </si>
  <si>
    <t>Robótica industrial, células automatizadas, integração e manufatura digital.</t>
  </si>
  <si>
    <t>FEELT!MRII|FEELT!PI|FEELT!MM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</si>
  <si>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</si>
  <si>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</si>
  <si>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</si>
  <si>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FEELT!CDM|FEELT!DCA|FEELT!IAAA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</si>
  <si>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</si>
  <si>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</si>
  <si>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</si>
  <si>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</si>
  <si>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</si>
  <si>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</si>
  <si>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</si>
  <si>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FAGEN32411|FEELT!PI|FEELT!ESOI</t>
  </si>
  <si>
    <t>GESTAO_QUALIDADE_PRODUCAO</t>
  </si>
  <si>
    <t>Gestão da Qualidade e Produção</t>
  </si>
  <si>
    <t>Qualidade, produtividade, melhoria contínua e gestão de processos industriais.</t>
  </si>
  <si>
    <t>FEELT!PI|FEELT!ESOI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</si>
  <si>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</si>
  <si>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</si>
  <si>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</si>
  <si>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FEELT!PAI|FEELT31603|FEELT31604|FEELT!ESOI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</si>
  <si>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</si>
  <si>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</si>
  <si>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</si>
  <si>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FAGEN32411|FEELT!IABI|FEELT!ACE1|FEELT!ACE2|FEELT!ACE3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</si>
  <si>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</si>
  <si>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</si>
  <si>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</si>
  <si>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FEELT!PI|FEELT!ACE1|FEELT!ACE2|FEELT!ACE3|FEELT!ESOI</t>
  </si>
  <si>
    <t>FORMACAO_COMPLEMENTAR</t>
  </si>
  <si>
    <t>Percursos flexíveis, optativas e atividades acadêmicas complementares.</t>
  </si>
  <si>
    <t>FEELT!AC|FEELT!OPT|FEELT!RASC1|FEELT!RASC2|FEELT!RASC3|FEELT!RASC4|FEELT!RASC5|FEELT!RASC6|FEELT!RASC7|FEELT!TEC8|FEELT!TEI1|FEELT!TEI2|FEELT!TEI3|FEELT!TEI4|FEELT!TEI5|FEELT!TEI6|FEELT!TEI7|FEELT!TEI8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</si>
  <si>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</si>
  <si>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</si>
  <si>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</si>
  <si>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FEELT!PI|FEELT!ESOI|FEELT!IABI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</si>
  <si>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</si>
  <si>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</si>
  <si>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</si>
  <si>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</si>
  <si>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</si>
  <si>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</si>
  <si>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</si>
  <si>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FEELT!IABI|FAGEN32411|FEELT!ACE1|FEELT!ACE2|FEELT!ACE3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</si>
  <si>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</si>
  <si>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</si>
  <si>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</si>
  <si>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</si>
  <si>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</si>
  <si>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</si>
  <si>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</si>
  <si>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</si>
  <si>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</si>
  <si>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</si>
  <si>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</si>
  <si>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</si>
  <si>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</si>
  <si>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</si>
  <si>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</si>
  <si>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</si>
  <si>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</si>
  <si>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</si>
  <si>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</si>
  <si>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</si>
  <si>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FEELT!IABI|FEELT!ACE1|FEELT!ACE2|FEELT!ACE3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</si>
  <si>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</si>
  <si>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</si>
  <si>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</si>
  <si>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</si>
  <si>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</si>
  <si>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</si>
  <si>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</si>
  <si>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</si>
  <si>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</si>
  <si>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</si>
  <si>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</si>
  <si>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FEELT!IABI|FAGEN32411|FEELT!PI|FEELT!ESOI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</si>
  <si>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</si>
  <si>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</si>
  <si>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</si>
  <si>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</si>
  <si>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</si>
  <si>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FEELT!PAI|FEELT31603|FEELT31604|FEMEC41080|FEELT!MRII|FEELT!ESOI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</si>
  <si>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</si>
  <si>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</si>
  <si>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</si>
  <si>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</si>
  <si>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</si>
  <si>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</si>
  <si>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</si>
  <si>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</si>
  <si>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</si>
  <si>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</si>
  <si>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</si>
  <si>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</si>
  <si>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</si>
  <si>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</si>
  <si>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</si>
  <si>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FEELT!IABI|FAGEN32411|FEELT!ESOI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</si>
  <si>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</si>
  <si>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</si>
  <si>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</si>
  <si>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</si>
  <si>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</si>
  <si>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</si>
  <si>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</si>
  <si>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</si>
  <si>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</si>
  <si>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</si>
  <si>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FAGEN32411|FEELT!CDM|FEELT!DCA|FEELT!IDI|FEELT!RICAI|FEELT!PS|FEELT!SCR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</si>
  <si>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</si>
  <si>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</si>
  <si>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</si>
  <si>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</si>
  <si>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</si>
  <si>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FAMAT31011|FAMAT31012|FEELT!PS</t>
  </si>
  <si>
    <t>FUND_CALCULO_EQUACOES_DIFERENCIAIS</t>
  </si>
  <si>
    <t>Cálculo diferencial e integral, equações diferenciais e transformadas aplicadas a sistemas físicos.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</si>
  <si>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</si>
  <si>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</si>
  <si>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</si>
  <si>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</si>
  <si>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</si>
  <si>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</si>
  <si>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</si>
  <si>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</si>
  <si>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</si>
  <si>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</si>
  <si>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</si>
  <si>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</si>
  <si>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FEELT!IABI|FEELT!PI|FEELT!ESOI</t>
  </si>
  <si>
    <t>FUND_PROGRAMACAO_ALGORITMOS</t>
  </si>
  <si>
    <t>Algoritmos, lógica e programação para aquisição, processamento e controle.</t>
  </si>
  <si>
    <t>FEELT!IINDI|FEELT!IINDII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</si>
  <si>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</si>
  <si>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</si>
  <si>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</si>
  <si>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</si>
  <si>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FEELT!CEE1|FEELT!CEE2|FEELT!MECT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</si>
  <si>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</si>
  <si>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</si>
  <si>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</si>
  <si>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</si>
  <si>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</si>
  <si>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</si>
  <si>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</si>
  <si>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</si>
  <si>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</si>
  <si>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</si>
  <si>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</si>
  <si>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</si>
  <si>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</si>
  <si>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</si>
  <si>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</si>
  <si>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</si>
  <si>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</si>
  <si>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</si>
  <si>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</si>
  <si>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</si>
  <si>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TEC_MODELAGEM_SISTEMAS_DINAMICOS</t>
  </si>
  <si>
    <t>Modelagem matemática e identificação de sistemas dinâmicos.</t>
  </si>
  <si>
    <t>FEELT!PS|FEELT!SCR|FEELT!SD</t>
  </si>
  <si>
    <t>TEC_CONTROLE_CONTINUO</t>
  </si>
  <si>
    <t>Análise e projeto de sistemas de controle contínuo.</t>
  </si>
  <si>
    <t>FEELT!SCR|FEELT!ESCR</t>
  </si>
  <si>
    <t>TEC_CONTROLE_DIGITAL</t>
  </si>
  <si>
    <t>Amostragem, discretização e projeto de controladores digitais.</t>
  </si>
  <si>
    <t>FEELT!SCR|FEELT!IINDI|FEELT!IINDII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</si>
  <si>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</si>
  <si>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</si>
  <si>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</si>
  <si>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</si>
  <si>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</si>
  <si>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</si>
  <si>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</si>
  <si>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</si>
  <si>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</si>
  <si>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</si>
  <si>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</si>
  <si>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</si>
  <si>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</si>
  <si>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</si>
  <si>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FEELT!DCA|FEELT!RICAII|FEELT!IINDII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</si>
  <si>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</si>
  <si>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</si>
  <si>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</si>
  <si>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</si>
  <si>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</si>
  <si>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</si>
  <si>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</si>
  <si>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</si>
  <si>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</si>
  <si>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</si>
  <si>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</si>
  <si>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FEELT!MRII|FEELT!PI</t>
  </si>
  <si>
    <t>TEC_MANUTENCAO_CONFIABILIDADE</t>
  </si>
  <si>
    <t>Manutenção, diagnóstico, confiabilidade, disponibilidade e gestão de ativos.</t>
  </si>
  <si>
    <t>FEELT!PAI|FEELT!ESOI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</si>
  <si>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</si>
  <si>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</si>
  <si>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</si>
  <si>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</si>
  <si>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</si>
  <si>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</si>
  <si>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</si>
  <si>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</si>
  <si>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</si>
  <si>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</si>
  <si>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</si>
  <si>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</si>
  <si>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</si>
  <si>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</si>
  <si>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</si>
  <si>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</si>
  <si>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</si>
  <si>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</si>
  <si>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FEELT!ESOI|FEELT!PI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</si>
  <si>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</si>
  <si>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</si>
  <si>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</si>
  <si>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</si>
  <si>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FEELT!IABI|FAGEN32411|FEELT!PI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</si>
  <si>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</si>
  <si>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</si>
  <si>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</si>
  <si>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</si>
  <si>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</si>
  <si>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</si>
  <si>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</si>
  <si>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</si>
  <si>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FEELT!IABI|FAGEN32411|FEELT!ACE1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</si>
  <si>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</si>
  <si>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</si>
  <si>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</si>
  <si>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FEELT!IABI|FEELT!ACE1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</si>
  <si>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</si>
  <si>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</si>
  <si>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</si>
  <si>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</si>
  <si>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</si>
  <si>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</si>
  <si>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</si>
  <si>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</si>
  <si>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</si>
  <si>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</si>
  <si>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</si>
  <si>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</si>
  <si>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</si>
  <si>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</si>
  <si>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FEELT!CDM|FEELT!DCA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</si>
  <si>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</si>
  <si>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</si>
  <si>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</si>
  <si>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</si>
  <si>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</si>
  <si>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</si>
  <si>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</si>
  <si>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</si>
  <si>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</si>
  <si>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</si>
  <si>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FEELT!SCR|FEELT!PS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</si>
  <si>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</si>
  <si>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</si>
  <si>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</si>
  <si>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</si>
  <si>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</si>
  <si>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</si>
  <si>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</si>
  <si>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</si>
  <si>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</si>
  <si>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</si>
  <si>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</si>
  <si>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FEELT!PS|FEELT!SCR|FEELT!ESCR</t>
  </si>
  <si>
    <t>PROGRAMAR_CLP_SUPERVISORIO</t>
  </si>
  <si>
    <t>Programar controladores lógicos programáveis (CLPs) e sistemas supervisórios (SCADA/IHM) para automação de processos.</t>
  </si>
  <si>
    <t>FEELT!IINDI|FEELT!IINDII|FEELT!RICAI|FEELT!RICAII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</si>
  <si>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</si>
  <si>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</si>
  <si>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</si>
  <si>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</si>
  <si>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</si>
  <si>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</si>
  <si>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</si>
  <si>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</si>
  <si>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</si>
  <si>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</si>
  <si>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</si>
  <si>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</si>
  <si>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</si>
  <si>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</si>
  <si>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</si>
  <si>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FEELT!IABI|FAGEN32411|FEELT!PI|FEELT!ACE1|FEELT!ACE2|FEELT!ACE3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</si>
  <si>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</si>
  <si>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</si>
  <si>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</si>
  <si>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</si>
  <si>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</si>
  <si>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</si>
  <si>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</si>
  <si>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</si>
  <si>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</si>
  <si>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</si>
  <si>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</si>
  <si>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</si>
  <si>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</si>
  <si>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</si>
  <si>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</si>
  <si>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</si>
  <si>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</si>
  <si>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</si>
  <si>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</si>
  <si>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</si>
  <si>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</si>
  <si>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</si>
  <si>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</si>
  <si>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</si>
  <si>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</si>
  <si>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</si>
  <si>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</si>
  <si>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</si>
  <si>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</si>
  <si>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</si>
  <si>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</si>
  <si>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</si>
  <si>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</si>
  <si>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</si>
  <si>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</si>
  <si>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</si>
  <si>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</si>
  <si>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</si>
  <si>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</si>
  <si>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</si>
  <si>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</si>
  <si>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</si>
  <si>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</si>
  <si>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</si>
  <si>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</si>
  <si>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</si>
  <si>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</si>
  <si>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</si>
  <si>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</si>
  <si>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</si>
  <si>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</si>
  <si>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</si>
  <si>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</si>
  <si>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</si>
  <si>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</si>
  <si>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</si>
  <si>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</si>
  <si>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</si>
  <si>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</si>
  <si>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</si>
  <si>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</si>
  <si>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</si>
  <si>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</si>
  <si>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</si>
  <si>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</si>
  <si>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</si>
  <si>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</si>
  <si>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</si>
  <si>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</si>
  <si>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</si>
  <si>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</si>
  <si>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</si>
  <si>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</si>
  <si>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</si>
  <si>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</si>
  <si>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</si>
  <si>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ufu_congrad_46_2022</t>
  </si>
  <si>
    <t>Universidade Federal de Uberlândia (UFU). Conselho de Graduação (CONGRAD)</t>
  </si>
  <si>
    <t>Normas Gerais da Graduação da Universidade Federal de Uberlândia</t>
  </si>
  <si>
    <t>2022</t>
  </si>
  <si>
    <t>mar</t>
  </si>
  <si>
    <t>28</t>
  </si>
  <si>
    <t>http://www.reitoria.ufu.br/Resolucoes/ataCONGRAD-2022-46.pdf</t>
  </si>
  <si>
    <t>Resolução CONGRAD nº 46, de 28 de março de 2022. Versão consolidada com as alterações das Resoluções CONGRAD nº 78/2022, 90/2023, 107/2023, 120/2023 e 130/2024.</t>
  </si>
  <si>
    <t>ufu_congrad_112_2023</t>
  </si>
  <si>
    <t>Regulamenta a prática da mobilidade internacional para estudantes dos cursos de graduação da Universidade Federal de Uberlândia e de universidades internacionais, e dá outras providências</t>
  </si>
  <si>
    <t>aug</t>
  </si>
  <si>
    <t>18</t>
  </si>
  <si>
    <t>http://www.reitoria.ufu.br/Resolucoes/resolucaoCONGRAD-2023-112.pdf</t>
  </si>
  <si>
    <t>Resolução CONGRAD nº 112, de 18 de agosto de 2023. Revoga as Resoluções CONGRAD nº 20/2011 e nº 08/2014.</t>
  </si>
  <si>
    <t>ufu_congrad_08_2004</t>
  </si>
  <si>
    <t>Institui, no âmbito da Universidade Federal de Uberlândia, o Programa ANDIFES de Mobilidade Acadêmica</t>
  </si>
  <si>
    <t>2004</t>
  </si>
  <si>
    <t>Resolução nº 08/2004/CONGRAD. Texto original não obtido diretamente nesta pesquisa; consolidada e republicada por força da Resolução CONGRAD nº 13/2013.</t>
  </si>
  <si>
    <t>ufu_congrad_13_2013</t>
  </si>
  <si>
    <t>Altera a Resolução nº 08/2004, do Conselho de Graduação, que dispõe sobre o Programa ANDIFES de Mobilidade Acadêmica, e dá outras providências</t>
  </si>
  <si>
    <t>23</t>
  </si>
  <si>
    <t>http://www.reitoria.ufu.br/Resolucoes/resolucaoCONGRAD-2013-13.pdf</t>
  </si>
  <si>
    <t>Resolução CONGRAD nº 13, de 23 de agosto de 2013.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</si>
  <si>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</si>
  <si>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</si>
  <si>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</si>
  <si>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</si>
  <si>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</si>
  <si>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</si>
  <si>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</si>
  <si>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Arquitetura de software em Sistemas Embarcados</t>
  </si>
  <si>
    <t>FEELT!ASSE</t>
  </si>
  <si>
    <t>Dispositivos Ciberfísicos para Automação Industrial, IoT E IIoT</t>
  </si>
  <si>
    <t>Estágio Supervisionado Obrigatório</t>
  </si>
  <si>
    <t>FEELT32002</t>
  </si>
  <si>
    <t>Experimental de Circuitos Eletro-Eletrônicos I</t>
  </si>
  <si>
    <t>FEELT!ECEE1</t>
  </si>
  <si>
    <t>Experimental de Circuitos Eletro-Eletrônicos II</t>
  </si>
  <si>
    <t>FEELT!ECEE2</t>
  </si>
  <si>
    <t>Experimental de Física Básica: Mecânica</t>
  </si>
  <si>
    <t>INFIS39032</t>
  </si>
  <si>
    <t>FEELT!ECVRM</t>
  </si>
  <si>
    <t>FEELT32601</t>
  </si>
  <si>
    <t>Física Básica: Mecânica</t>
  </si>
  <si>
    <t>INFIS39031</t>
  </si>
  <si>
    <t>FEELT32301</t>
  </si>
  <si>
    <t>FEELT32401</t>
  </si>
  <si>
    <t>Introdução à Formação Acadêmica e Profissional</t>
  </si>
  <si>
    <t>FEELT!IFAP</t>
  </si>
  <si>
    <t>Sinais e Sistemas I</t>
  </si>
  <si>
    <t>FEELT!SS1</t>
  </si>
  <si>
    <t>Sinais e Sistemas II</t>
  </si>
  <si>
    <t>FEELT!SS2</t>
  </si>
  <si>
    <t>FEELT32603</t>
  </si>
  <si>
    <t>Tópicos Especiais I</t>
  </si>
  <si>
    <t>FEELT!TE1</t>
  </si>
  <si>
    <t>Tópicos Especiais II</t>
  </si>
  <si>
    <t>FEELT!TE2</t>
  </si>
  <si>
    <t>Tópicos Especiais III</t>
  </si>
  <si>
    <t>FEELT!TE3</t>
  </si>
  <si>
    <t>Tópicos Especiais IV</t>
  </si>
  <si>
    <t>FEELT!TE4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</si>
  <si>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</si>
  <si>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</si>
  <si>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</si>
  <si>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</si>
  <si>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</si>
  <si>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</si>
  <si>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</si>
  <si>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</si>
  <si>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</si>
  <si>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</si>
  <si>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</si>
  <si>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</si>
  <si>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</si>
  <si>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</si>
  <si>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</si>
  <si>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</si>
  <si>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</si>
  <si>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</si>
  <si>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</si>
  <si>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</si>
  <si>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</si>
  <si>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</si>
  <si>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</si>
  <si>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</si>
  <si>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</si>
  <si>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</si>
  <si>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</si>
  <si>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</si>
  <si>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</si>
  <si>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</si>
  <si>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</si>
  <si>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</si>
  <si>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</si>
  <si>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</si>
  <si>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</si>
  <si>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</si>
  <si>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</si>
  <si>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</si>
  <si>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</si>
  <si>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</si>
  <si>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</si>
  <si>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</si>
  <si>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</si>
  <si>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</si>
  <si>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</si>
  <si>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</si>
  <si>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</si>
  <si>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</si>
  <si>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</si>
  <si>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</si>
  <si>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</si>
  <si>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</si>
  <si>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</si>
  <si>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</si>
  <si>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</si>
  <si>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</si>
  <si>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</si>
  <si>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</si>
  <si>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</si>
  <si>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</si>
  <si>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</si>
  <si>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</si>
  <si>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</si>
  <si>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</si>
  <si>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</si>
  <si>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</si>
  <si>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</si>
  <si>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</si>
  <si>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</si>
  <si>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</si>
  <si>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</si>
  <si>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</si>
  <si>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</si>
  <si>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</si>
  <si>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</si>
  <si>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</si>
  <si>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</si>
  <si>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</si>
  <si>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</si>
  <si>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</si>
  <si>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</si>
  <si>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</si>
  <si>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</si>
  <si>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</si>
  <si>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</si>
  <si>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</si>
  <si>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</si>
  <si>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</si>
  <si>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</si>
  <si>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</si>
  <si>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</si>
  <si>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</si>
  <si>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</si>
  <si>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</si>
  <si>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</si>
  <si>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</si>
  <si>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</si>
  <si>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</si>
  <si>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</si>
  <si>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</si>
  <si>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</si>
  <si>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</si>
  <si>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</si>
  <si>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</si>
  <si>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</si>
  <si>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</si>
  <si>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</si>
  <si>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</si>
  <si>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</si>
  <si>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</si>
  <si>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</si>
  <si>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</si>
  <si>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</si>
  <si>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</si>
  <si>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</si>
  <si>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</si>
  <si>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</si>
  <si>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</si>
  <si>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</si>
  <si>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</si>
  <si>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</si>
  <si>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</si>
  <si>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</si>
  <si>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</si>
  <si>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</si>
  <si>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</si>
  <si>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</si>
  <si>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</si>
  <si>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</si>
  <si>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</si>
  <si>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</si>
  <si>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</si>
  <si>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</si>
  <si>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</si>
  <si>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</si>
  <si>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</si>
  <si>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</si>
  <si>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</si>
  <si>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</si>
  <si>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</si>
  <si>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</si>
  <si>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</si>
  <si>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</si>
  <si>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</si>
  <si>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</si>
  <si>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</si>
  <si>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</si>
  <si>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</si>
  <si>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</si>
  <si>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</si>
  <si>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</si>
  <si>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</si>
  <si>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</si>
  <si>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</si>
  <si>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</si>
  <si>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</si>
  <si>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</si>
  <si>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</si>
  <si>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</si>
  <si>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</si>
  <si>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</si>
  <si>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</si>
  <si>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</si>
  <si>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</si>
  <si>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</si>
  <si>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</si>
  <si>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</si>
  <si>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</si>
  <si>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</si>
  <si>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</si>
  <si>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</si>
  <si>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</si>
  <si>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</si>
  <si>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</si>
  <si>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</si>
  <si>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</si>
  <si>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</si>
  <si>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LEI_14645_2023</t>
  </si>
  <si>
    <t>Altera a Lei nº 9.394/1996 (LDB) para dispor sobre a educação profissional e tecnológica, inserindo os arts. 42-A e 42-B</t>
  </si>
  <si>
    <t>Lei nº 14.645, de 2 de agosto de 2023</t>
  </si>
  <si>
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</si>
  <si>
    <t>https://www.planalto.gov.br/ccivil_03/_ato2023-2026/2023/lei/l14645.htm</t>
  </si>
  <si>
    <t>brasil_lei_14645_2023</t>
  </si>
  <si>
    <t>PROGRAMA_UNIVERSIDADES_INOVADORAS_SUSTENTAVEIS</t>
  </si>
  <si>
    <t>Programa Universidades Inovadoras e Sustentáveis</t>
  </si>
  <si>
    <t>programa</t>
  </si>
  <si>
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</si>
  <si>
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</si>
  <si>
    <t>https://www.gov.br/mec/pt-br</t>
  </si>
  <si>
    <t>programa_universidades_inovadoras_sustentaveis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</si>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</sst>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7"/>
      <name val="Calibri"/>
      <family val="2"/>
      <scheme val="minor"/>
    </font>
    <font>
      <sz val="18"/>
      <color rgb="FFC62828"/>
      <name val="Segoe UI Symbol"/>
      <family val="2"/>
    </font>
    <font>
      <sz val="9"/>
      <color rgb="FF000000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D6D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3" xfId="0" applyFont="1" applyBorder="1"/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2" borderId="0" xfId="0" applyFill="1"/>
    <xf numFmtId="0" fontId="2" fillId="2" borderId="6" xfId="0" applyFont="1" applyFill="1" applyBorder="1"/>
    <xf numFmtId="0" fontId="4" fillId="0" borderId="0" xfId="0" applyFont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0" xfId="0" applyFont="1" applyAlignment="1">
      <alignment horizontal="left"/>
    </xf>
    <xf numFmtId="0" fontId="6" fillId="2" borderId="0" xfId="0" applyFont="1" applyFill="1"/>
    <xf numFmtId="0" fontId="4" fillId="0" borderId="0" xfId="0" quotePrefix="1" applyFont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2" borderId="11" xfId="0" applyFill="1" applyBorder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2" fillId="2" borderId="17" xfId="0" applyFont="1" applyFill="1" applyBorder="1" applyAlignment="1">
      <alignment horizontal="right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2" borderId="8" xfId="0" applyFont="1" applyFill="1" applyBorder="1"/>
    <xf numFmtId="0" fontId="1" fillId="2" borderId="19" xfId="0" applyFont="1" applyFill="1" applyBorder="1"/>
    <xf numFmtId="0" fontId="2" fillId="2" borderId="20" xfId="0" applyFont="1" applyFill="1" applyBorder="1" applyAlignment="1">
      <alignment horizontal="right"/>
    </xf>
    <xf numFmtId="0" fontId="2" fillId="2" borderId="18" xfId="0" applyFont="1" applyFill="1" applyBorder="1" applyAlignment="1">
      <alignment horizontal="right"/>
    </xf>
    <xf numFmtId="0" fontId="2" fillId="4" borderId="10" xfId="0" applyFont="1" applyFill="1" applyBorder="1" applyAlignment="1">
      <alignment horizontal="center"/>
    </xf>
    <xf numFmtId="0" fontId="1" fillId="0" borderId="11" xfId="0" applyFont="1" applyBorder="1"/>
    <xf numFmtId="0" fontId="7" fillId="0" borderId="0" xfId="0" applyFont="1"/>
    <xf numFmtId="0" fontId="2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1" fillId="2" borderId="11" xfId="0" applyFont="1" applyFill="1" applyBorder="1"/>
    <xf numFmtId="0" fontId="2" fillId="6" borderId="10" xfId="0" applyFont="1" applyFill="1" applyBorder="1" applyAlignment="1">
      <alignment horizont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2" fillId="2" borderId="7" xfId="0" applyFont="1" applyFill="1" applyBorder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2" borderId="0" xfId="0" applyFont="1" applyFill="1"/>
    <xf numFmtId="0" fontId="2" fillId="2" borderId="11" xfId="0" applyFont="1" applyFill="1" applyBorder="1"/>
    <xf numFmtId="0" fontId="2" fillId="2" borderId="0" xfId="0" applyFont="1" applyFill="1" applyAlignment="1">
      <alignment vertical="top" wrapText="1"/>
    </xf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2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center"/>
    </xf>
    <xf numFmtId="0" fontId="1" fillId="2" borderId="23" xfId="0" applyFont="1" applyFill="1" applyBorder="1"/>
    <xf numFmtId="0" fontId="1" fillId="0" borderId="0" xfId="0" applyFont="1" applyAlignment="1">
      <alignment horizontal="left"/>
    </xf>
    <xf numFmtId="0" fontId="1" fillId="2" borderId="22" xfId="0" applyFont="1" applyFill="1" applyBorder="1"/>
    <xf numFmtId="0" fontId="2" fillId="2" borderId="23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4" fillId="2" borderId="0" xfId="0" applyFont="1" applyFill="1"/>
    <xf numFmtId="0" fontId="4" fillId="2" borderId="10" xfId="0" quotePrefix="1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vertical="top"/>
    </xf>
    <xf numFmtId="0" fontId="2" fillId="2" borderId="21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4" fillId="10" borderId="28" xfId="0" applyFont="1" applyFill="1" applyBorder="1" applyAlignment="1">
      <alignment horizontal="center" vertical="top" wrapText="1"/>
    </xf>
    <xf numFmtId="0" fontId="15" fillId="11" borderId="28" xfId="0" applyFont="1" applyFill="1" applyBorder="1" applyAlignment="1">
      <alignment vertical="top" wrapText="1"/>
    </xf>
    <xf numFmtId="0" fontId="0" fillId="11" borderId="28" xfId="0" applyFill="1" applyBorder="1" applyAlignment="1">
      <alignment vertical="top" wrapText="1"/>
    </xf>
    <xf numFmtId="0" fontId="15" fillId="12" borderId="28" xfId="0" applyFont="1" applyFill="1" applyBorder="1" applyAlignment="1">
      <alignment vertical="top" wrapText="1"/>
    </xf>
    <xf numFmtId="0" fontId="0" fillId="12" borderId="28" xfId="0" applyFill="1" applyBorder="1" applyAlignment="1">
      <alignment vertical="top" wrapText="1"/>
    </xf>
    <xf numFmtId="164" fontId="0" fillId="12" borderId="28" xfId="0" applyNumberFormat="1" applyFill="1" applyBorder="1" applyAlignment="1">
      <alignment horizontal="right" vertical="top" wrapText="1"/>
    </xf>
    <xf numFmtId="165" fontId="0" fillId="12" borderId="28" xfId="0" applyNumberFormat="1" applyFill="1" applyBorder="1" applyAlignment="1">
      <alignment horizontal="right" vertical="top" wrapText="1"/>
    </xf>
    <xf numFmtId="0" fontId="0" fillId="12" borderId="28" xfId="0" applyFill="1" applyBorder="1" applyAlignment="1">
      <alignment horizontal="right" vertical="top" wrapText="1"/>
    </xf>
    <xf numFmtId="0" fontId="9" fillId="11" borderId="28" xfId="0" applyFont="1" applyFill="1" applyBorder="1" applyAlignment="1">
      <alignment horizontal="center" vertical="top" wrapText="1"/>
    </xf>
    <xf numFmtId="0" fontId="9" fillId="12" borderId="28" xfId="0" applyFont="1" applyFill="1" applyBorder="1" applyAlignment="1">
      <alignment horizontal="center" vertical="top" wrapText="1"/>
    </xf>
    <xf numFmtId="0" fontId="16" fillId="10" borderId="28" xfId="0" applyFont="1" applyFill="1" applyBorder="1" applyAlignment="1">
      <alignment horizontal="center" vertical="top" wrapText="1"/>
    </xf>
    <xf numFmtId="0" fontId="0" fillId="0" borderId="28" xfId="0" applyBorder="1" applyAlignment="1">
      <alignment horizontal="right" vertical="top"/>
    </xf>
    <xf numFmtId="0" fontId="0" fillId="0" borderId="28" xfId="0" applyBorder="1" applyAlignment="1">
      <alignment vertical="top"/>
    </xf>
    <xf numFmtId="0" fontId="0" fillId="0" borderId="28" xfId="0" applyBorder="1" applyAlignment="1">
      <alignment vertical="top" wrapText="1"/>
    </xf>
    <xf numFmtId="0" fontId="9" fillId="0" borderId="28" xfId="0" applyFont="1" applyBorder="1" applyAlignment="1">
      <alignment horizontal="center" vertical="top" wrapText="1"/>
    </xf>
    <xf numFmtId="0" fontId="11" fillId="9" borderId="28" xfId="0" applyFont="1" applyFill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8" xfId="0" applyBorder="1" applyAlignment="1">
      <alignment vertical="center" wrapText="1"/>
    </xf>
    <xf numFmtId="0" fontId="14" fillId="10" borderId="28" xfId="0" applyFont="1" applyFill="1" applyBorder="1" applyAlignment="1">
      <alignment horizontal="center" vertical="center"/>
    </xf>
    <xf numFmtId="0" fontId="17" fillId="13" borderId="28" xfId="0" applyFont="1" applyFill="1" applyBorder="1" applyAlignment="1">
      <alignment vertical="top" wrapText="1"/>
    </xf>
    <xf numFmtId="0" fontId="17" fillId="0" borderId="28" xfId="0" applyFont="1" applyBorder="1" applyAlignment="1">
      <alignment vertical="top" wrapText="1"/>
    </xf>
    <xf numFmtId="0" fontId="17" fillId="0" borderId="29" xfId="0" applyFont="1" applyBorder="1" applyAlignment="1">
      <alignment vertical="top" wrapText="1"/>
    </xf>
    <xf numFmtId="0" fontId="19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1" fillId="14" borderId="0" xfId="0" applyFont="1" applyFill="1"/>
    <xf numFmtId="0" fontId="19" fillId="0" borderId="0" xfId="0" applyFont="1" applyAlignment="1">
      <alignment horizontal="right"/>
    </xf>
    <xf numFmtId="0" fontId="0" fillId="2" borderId="0" xfId="0" applyFill="1" applyAlignment="1">
      <alignment wrapText="1"/>
    </xf>
    <xf numFmtId="0" fontId="2" fillId="15" borderId="10" xfId="0" applyFont="1" applyFill="1" applyBorder="1" applyAlignment="1">
      <alignment horizontal="center"/>
    </xf>
    <xf numFmtId="0" fontId="2" fillId="16" borderId="10" xfId="0" applyFont="1" applyFill="1" applyBorder="1" applyAlignment="1">
      <alignment horizontal="center"/>
    </xf>
    <xf numFmtId="0" fontId="2" fillId="17" borderId="10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2" fillId="18" borderId="10" xfId="0" applyFont="1" applyFill="1" applyBorder="1" applyAlignment="1">
      <alignment horizontal="center"/>
    </xf>
    <xf numFmtId="0" fontId="2" fillId="19" borderId="10" xfId="0" applyFont="1" applyFill="1" applyBorder="1" applyAlignment="1">
      <alignment horizontal="center"/>
    </xf>
    <xf numFmtId="0" fontId="8" fillId="19" borderId="10" xfId="0" applyFont="1" applyFill="1" applyBorder="1" applyAlignment="1">
      <alignment horizontal="center"/>
    </xf>
    <xf numFmtId="0" fontId="2" fillId="20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right"/>
    </xf>
    <xf numFmtId="0" fontId="8" fillId="2" borderId="10" xfId="0" applyFont="1" applyFill="1" applyBorder="1" applyAlignment="1">
      <alignment horizontal="center"/>
    </xf>
    <xf numFmtId="0" fontId="2" fillId="2" borderId="23" xfId="0" applyFont="1" applyFill="1" applyBorder="1" applyAlignment="1">
      <alignment vertical="center"/>
    </xf>
    <xf numFmtId="0" fontId="2" fillId="2" borderId="23" xfId="0" applyFont="1" applyFill="1" applyBorder="1" applyAlignment="1">
      <alignment vertical="top" wrapText="1"/>
    </xf>
    <xf numFmtId="0" fontId="1" fillId="2" borderId="24" xfId="0" applyFont="1" applyFill="1" applyBorder="1"/>
    <xf numFmtId="0" fontId="1" fillId="0" borderId="22" xfId="0" applyFont="1" applyBorder="1"/>
    <xf numFmtId="0" fontId="1" fillId="0" borderId="24" xfId="0" applyFont="1" applyBorder="1"/>
    <xf numFmtId="0" fontId="1" fillId="2" borderId="3" xfId="0" applyFont="1" applyFill="1" applyBorder="1"/>
    <xf numFmtId="0" fontId="1" fillId="2" borderId="6" xfId="0" applyFont="1" applyFill="1" applyBorder="1"/>
    <xf numFmtId="0" fontId="2" fillId="2" borderId="0" xfId="0" applyFont="1" applyFill="1" applyAlignment="1">
      <alignment vertical="center" wrapText="1"/>
    </xf>
    <xf numFmtId="0" fontId="23" fillId="0" borderId="0" xfId="0" applyFont="1" applyAlignment="1">
      <alignment horizontal="left" vertical="center"/>
    </xf>
    <xf numFmtId="0" fontId="21" fillId="21" borderId="0" xfId="0" applyFont="1" applyFill="1"/>
    <xf numFmtId="0" fontId="4" fillId="2" borderId="10" xfId="0" quotePrefix="1" applyFont="1" applyFill="1" applyBorder="1" applyAlignment="1">
      <alignment horizontal="center" vertical="center"/>
    </xf>
    <xf numFmtId="0" fontId="0" fillId="0" borderId="27" xfId="0" applyBorder="1"/>
    <xf numFmtId="0" fontId="0" fillId="0" borderId="25" xfId="0" applyBorder="1"/>
    <xf numFmtId="0" fontId="2" fillId="4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6" borderId="10" xfId="0" applyFont="1" applyFill="1" applyBorder="1" applyAlignment="1">
      <alignment horizontal="center" vertical="center" wrapText="1"/>
    </xf>
    <xf numFmtId="0" fontId="22" fillId="2" borderId="1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4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2" borderId="10" xfId="0" applyFont="1" applyFill="1" applyBorder="1" applyAlignment="1">
      <alignment horizontal="center" vertical="center" wrapText="1"/>
    </xf>
    <xf numFmtId="0" fontId="8" fillId="19" borderId="10" xfId="0" applyFont="1" applyFill="1" applyBorder="1" applyAlignment="1">
      <alignment horizontal="center" vertical="center" wrapText="1"/>
    </xf>
    <xf numFmtId="0" fontId="2" fillId="16" borderId="10" xfId="0" applyFont="1" applyFill="1" applyBorder="1" applyAlignment="1">
      <alignment horizontal="center" vertical="center" wrapText="1"/>
    </xf>
    <xf numFmtId="0" fontId="2" fillId="15" borderId="10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2" fillId="5" borderId="10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7" borderId="10" xfId="0" applyFont="1" applyFill="1" applyBorder="1" applyAlignment="1">
      <alignment horizontal="center" vertical="center" wrapText="1"/>
    </xf>
    <xf numFmtId="0" fontId="2" fillId="19" borderId="10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vertical="center" textRotation="90"/>
    </xf>
    <xf numFmtId="0" fontId="2" fillId="20" borderId="10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/>
    <xf numFmtId="0" fontId="13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0</xdr:rowOff>
        </xdr:from>
        <xdr:to>
          <xdr:col>0</xdr:col>
          <xdr:colOff>2219325</xdr:colOff>
          <xdr:row>2</xdr:row>
          <xdr:rowOff>104775</xdr:rowOff>
        </xdr:to>
        <xdr:sp macro="" textlink="">
          <xdr:nvSpPr>
            <xdr:cNvPr id="10309" name="btnVerificarRegras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971032D4-BD37-48BA-9E0F-BE44C876A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47625</xdr:rowOff>
        </xdr:from>
        <xdr:to>
          <xdr:col>16</xdr:col>
          <xdr:colOff>171450</xdr:colOff>
          <xdr:row>1</xdr:row>
          <xdr:rowOff>304800</xdr:rowOff>
        </xdr:to>
        <xdr:sp macro="" textlink="">
          <xdr:nvSpPr>
            <xdr:cNvPr id="11312" name="Button 1072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6805C2AC-78AA-0FEF-AD74-42CFF2F82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28575</xdr:rowOff>
        </xdr:from>
        <xdr:to>
          <xdr:col>0</xdr:col>
          <xdr:colOff>371475</xdr:colOff>
          <xdr:row>5</xdr:row>
          <xdr:rowOff>295275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F1BF344C-CB93-29F4-A31E-C4BC05E81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28575</xdr:rowOff>
        </xdr:from>
        <xdr:to>
          <xdr:col>0</xdr:col>
          <xdr:colOff>371475</xdr:colOff>
          <xdr:row>6</xdr:row>
          <xdr:rowOff>295275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55D678AF-A183-BF06-5DAE-81C87ADC0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28575</xdr:rowOff>
        </xdr:from>
        <xdr:to>
          <xdr:col>0</xdr:col>
          <xdr:colOff>371475</xdr:colOff>
          <xdr:row>7</xdr:row>
          <xdr:rowOff>295275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238D4C0B-169C-AA35-10AA-11DF412B9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28575</xdr:rowOff>
        </xdr:from>
        <xdr:to>
          <xdr:col>0</xdr:col>
          <xdr:colOff>371475</xdr:colOff>
          <xdr:row>8</xdr:row>
          <xdr:rowOff>295275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5AC6A876-97FA-67C6-A3A4-C4E1FC1AD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28575</xdr:rowOff>
        </xdr:from>
        <xdr:to>
          <xdr:col>0</xdr:col>
          <xdr:colOff>371475</xdr:colOff>
          <xdr:row>9</xdr:row>
          <xdr:rowOff>295275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B3DE0BF0-BCAC-EE14-4EC8-4B8338143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28575</xdr:rowOff>
        </xdr:from>
        <xdr:to>
          <xdr:col>0</xdr:col>
          <xdr:colOff>371475</xdr:colOff>
          <xdr:row>10</xdr:row>
          <xdr:rowOff>295275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A48A125B-7074-0302-53C9-0D9665969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28575</xdr:rowOff>
        </xdr:from>
        <xdr:to>
          <xdr:col>0</xdr:col>
          <xdr:colOff>371475</xdr:colOff>
          <xdr:row>11</xdr:row>
          <xdr:rowOff>295275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A8C066F-D725-FCE6-64B0-82F1ABA6E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28575</xdr:rowOff>
        </xdr:from>
        <xdr:to>
          <xdr:col>0</xdr:col>
          <xdr:colOff>371475</xdr:colOff>
          <xdr:row>12</xdr:row>
          <xdr:rowOff>295275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7A56F19D-38CE-AEDB-E886-95044B3DF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28575</xdr:rowOff>
        </xdr:from>
        <xdr:to>
          <xdr:col>0</xdr:col>
          <xdr:colOff>371475</xdr:colOff>
          <xdr:row>13</xdr:row>
          <xdr:rowOff>295275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9D88BABE-190B-A380-90D8-6F96179CF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14</xdr:row>
          <xdr:rowOff>28575</xdr:rowOff>
        </xdr:from>
        <xdr:to>
          <xdr:col>0</xdr:col>
          <xdr:colOff>371475</xdr:colOff>
          <xdr:row>14</xdr:row>
          <xdr:rowOff>295275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EDC66BC-116B-A9EA-9F3A-325ABFC8E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15</xdr:row>
          <xdr:rowOff>28575</xdr:rowOff>
        </xdr:from>
        <xdr:to>
          <xdr:col>0</xdr:col>
          <xdr:colOff>371475</xdr:colOff>
          <xdr:row>15</xdr:row>
          <xdr:rowOff>295275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784D346F-ADFE-DD44-93B6-968345F37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28575</xdr:rowOff>
        </xdr:from>
        <xdr:to>
          <xdr:col>0</xdr:col>
          <xdr:colOff>371475</xdr:colOff>
          <xdr:row>16</xdr:row>
          <xdr:rowOff>295275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43784DE5-6506-4A6B-A7AB-D1E5C8713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17</xdr:row>
          <xdr:rowOff>28575</xdr:rowOff>
        </xdr:from>
        <xdr:to>
          <xdr:col>0</xdr:col>
          <xdr:colOff>371475</xdr:colOff>
          <xdr:row>17</xdr:row>
          <xdr:rowOff>295275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64E41A0E-B2E0-B20F-0895-4D6EDB7C1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18</xdr:row>
          <xdr:rowOff>28575</xdr:rowOff>
        </xdr:from>
        <xdr:to>
          <xdr:col>0</xdr:col>
          <xdr:colOff>371475</xdr:colOff>
          <xdr:row>18</xdr:row>
          <xdr:rowOff>295275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7DE56135-7C08-53AE-8114-AAE8BEF45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19</xdr:row>
          <xdr:rowOff>28575</xdr:rowOff>
        </xdr:from>
        <xdr:to>
          <xdr:col>0</xdr:col>
          <xdr:colOff>371475</xdr:colOff>
          <xdr:row>19</xdr:row>
          <xdr:rowOff>295275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8F80BF85-9BED-DB4F-AA18-888531629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20</xdr:row>
          <xdr:rowOff>28575</xdr:rowOff>
        </xdr:from>
        <xdr:to>
          <xdr:col>0</xdr:col>
          <xdr:colOff>371475</xdr:colOff>
          <xdr:row>20</xdr:row>
          <xdr:rowOff>295275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8BEA1E8D-20E2-9810-014F-1BDBED635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28575</xdr:rowOff>
        </xdr:from>
        <xdr:to>
          <xdr:col>0</xdr:col>
          <xdr:colOff>371475</xdr:colOff>
          <xdr:row>21</xdr:row>
          <xdr:rowOff>295275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7C0C8F5A-4B2B-B4B1-4C39-44B18C944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22</xdr:row>
          <xdr:rowOff>28575</xdr:rowOff>
        </xdr:from>
        <xdr:to>
          <xdr:col>0</xdr:col>
          <xdr:colOff>371475</xdr:colOff>
          <xdr:row>22</xdr:row>
          <xdr:rowOff>295275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B18AAB53-986A-1C76-F591-A1AA08A74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23</xdr:row>
          <xdr:rowOff>28575</xdr:rowOff>
        </xdr:from>
        <xdr:to>
          <xdr:col>0</xdr:col>
          <xdr:colOff>371475</xdr:colOff>
          <xdr:row>23</xdr:row>
          <xdr:rowOff>295275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223F78D4-7245-129A-5049-77EE772D7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24</xdr:row>
          <xdr:rowOff>28575</xdr:rowOff>
        </xdr:from>
        <xdr:to>
          <xdr:col>0</xdr:col>
          <xdr:colOff>371475</xdr:colOff>
          <xdr:row>24</xdr:row>
          <xdr:rowOff>295275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1C6F2C2F-75F5-E295-2C0B-3E9C54B6E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25</xdr:row>
          <xdr:rowOff>28575</xdr:rowOff>
        </xdr:from>
        <xdr:to>
          <xdr:col>0</xdr:col>
          <xdr:colOff>371475</xdr:colOff>
          <xdr:row>25</xdr:row>
          <xdr:rowOff>295275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5D1CCAE9-EA3D-AE4E-DD94-3BB4299E4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26</xdr:row>
          <xdr:rowOff>28575</xdr:rowOff>
        </xdr:from>
        <xdr:to>
          <xdr:col>0</xdr:col>
          <xdr:colOff>371475</xdr:colOff>
          <xdr:row>26</xdr:row>
          <xdr:rowOff>295275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F5FF67B9-1AEB-498E-DAD2-6AA9278C9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</xdr:row>
          <xdr:rowOff>28575</xdr:rowOff>
        </xdr:from>
        <xdr:to>
          <xdr:col>0</xdr:col>
          <xdr:colOff>371475</xdr:colOff>
          <xdr:row>27</xdr:row>
          <xdr:rowOff>295275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30EC913D-44E0-A26C-2E58-77FCE56BF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28</xdr:row>
          <xdr:rowOff>28575</xdr:rowOff>
        </xdr:from>
        <xdr:to>
          <xdr:col>0</xdr:col>
          <xdr:colOff>371475</xdr:colOff>
          <xdr:row>28</xdr:row>
          <xdr:rowOff>295275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A63A804C-4628-260C-9E7D-0F11D7F6F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29</xdr:row>
          <xdr:rowOff>28575</xdr:rowOff>
        </xdr:from>
        <xdr:to>
          <xdr:col>0</xdr:col>
          <xdr:colOff>371475</xdr:colOff>
          <xdr:row>29</xdr:row>
          <xdr:rowOff>295275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B05378F3-D546-D3D3-9788-0CB5C294F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30</xdr:row>
          <xdr:rowOff>28575</xdr:rowOff>
        </xdr:from>
        <xdr:to>
          <xdr:col>0</xdr:col>
          <xdr:colOff>371475</xdr:colOff>
          <xdr:row>30</xdr:row>
          <xdr:rowOff>295275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ADDA485B-BA51-1B99-BA29-97535309B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28575</xdr:rowOff>
        </xdr:from>
        <xdr:to>
          <xdr:col>0</xdr:col>
          <xdr:colOff>371475</xdr:colOff>
          <xdr:row>31</xdr:row>
          <xdr:rowOff>295275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D2FABDDE-4A8F-9826-EBE2-5F22380C7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28575</xdr:rowOff>
        </xdr:from>
        <xdr:to>
          <xdr:col>0</xdr:col>
          <xdr:colOff>371475</xdr:colOff>
          <xdr:row>32</xdr:row>
          <xdr:rowOff>295275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DDAFCD15-978E-D561-8B60-9872C3E7C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33</xdr:row>
          <xdr:rowOff>28575</xdr:rowOff>
        </xdr:from>
        <xdr:to>
          <xdr:col>0</xdr:col>
          <xdr:colOff>371475</xdr:colOff>
          <xdr:row>33</xdr:row>
          <xdr:rowOff>295275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3B521E1D-216E-151A-A98A-643FB99E4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34</xdr:row>
          <xdr:rowOff>28575</xdr:rowOff>
        </xdr:from>
        <xdr:to>
          <xdr:col>0</xdr:col>
          <xdr:colOff>371475</xdr:colOff>
          <xdr:row>34</xdr:row>
          <xdr:rowOff>295275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EE33A54A-6626-50CD-1525-564DA893F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35</xdr:row>
          <xdr:rowOff>28575</xdr:rowOff>
        </xdr:from>
        <xdr:to>
          <xdr:col>0</xdr:col>
          <xdr:colOff>371475</xdr:colOff>
          <xdr:row>35</xdr:row>
          <xdr:rowOff>295275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8B51FF6D-0B12-E752-E245-BC5DDEAF9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36</xdr:row>
          <xdr:rowOff>28575</xdr:rowOff>
        </xdr:from>
        <xdr:to>
          <xdr:col>0</xdr:col>
          <xdr:colOff>371475</xdr:colOff>
          <xdr:row>36</xdr:row>
          <xdr:rowOff>295275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A6295726-FD22-34B8-62BB-5A85E08F9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37</xdr:row>
          <xdr:rowOff>28575</xdr:rowOff>
        </xdr:from>
        <xdr:to>
          <xdr:col>0</xdr:col>
          <xdr:colOff>371475</xdr:colOff>
          <xdr:row>37</xdr:row>
          <xdr:rowOff>295275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C27919C4-13C3-EC01-8B75-F56F4E845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28575</xdr:rowOff>
        </xdr:from>
        <xdr:to>
          <xdr:col>0</xdr:col>
          <xdr:colOff>371475</xdr:colOff>
          <xdr:row>38</xdr:row>
          <xdr:rowOff>295275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A1BF5201-C77B-B9A1-4B25-625B5F176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39</xdr:row>
          <xdr:rowOff>28575</xdr:rowOff>
        </xdr:from>
        <xdr:to>
          <xdr:col>0</xdr:col>
          <xdr:colOff>371475</xdr:colOff>
          <xdr:row>39</xdr:row>
          <xdr:rowOff>295275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B7B5ED4A-CF18-9387-8E71-1B74C67B0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40</xdr:row>
          <xdr:rowOff>28575</xdr:rowOff>
        </xdr:from>
        <xdr:to>
          <xdr:col>0</xdr:col>
          <xdr:colOff>371475</xdr:colOff>
          <xdr:row>40</xdr:row>
          <xdr:rowOff>295275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5DE7B4E4-5FB4-D7EE-CF99-FC9A0B71D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41</xdr:row>
          <xdr:rowOff>28575</xdr:rowOff>
        </xdr:from>
        <xdr:to>
          <xdr:col>0</xdr:col>
          <xdr:colOff>371475</xdr:colOff>
          <xdr:row>41</xdr:row>
          <xdr:rowOff>295275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6BFC707A-42DF-23C3-D400-BF9F83263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42</xdr:row>
          <xdr:rowOff>28575</xdr:rowOff>
        </xdr:from>
        <xdr:to>
          <xdr:col>0</xdr:col>
          <xdr:colOff>371475</xdr:colOff>
          <xdr:row>42</xdr:row>
          <xdr:rowOff>295275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435DE280-5CFA-CAA6-2B2A-905928B0F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43</xdr:row>
          <xdr:rowOff>28575</xdr:rowOff>
        </xdr:from>
        <xdr:to>
          <xdr:col>0</xdr:col>
          <xdr:colOff>371475</xdr:colOff>
          <xdr:row>43</xdr:row>
          <xdr:rowOff>295275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200629A5-B079-A7FC-AFC9-FD3104CB5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44</xdr:row>
          <xdr:rowOff>28575</xdr:rowOff>
        </xdr:from>
        <xdr:to>
          <xdr:col>0</xdr:col>
          <xdr:colOff>371475</xdr:colOff>
          <xdr:row>44</xdr:row>
          <xdr:rowOff>295275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E5F8EB7-E3C5-6362-9A88-3D281221A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45</xdr:row>
          <xdr:rowOff>28575</xdr:rowOff>
        </xdr:from>
        <xdr:to>
          <xdr:col>0</xdr:col>
          <xdr:colOff>371475</xdr:colOff>
          <xdr:row>45</xdr:row>
          <xdr:rowOff>295275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C9D077F-8221-9BA6-9B17-0114743F4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46</xdr:row>
          <xdr:rowOff>28575</xdr:rowOff>
        </xdr:from>
        <xdr:to>
          <xdr:col>0</xdr:col>
          <xdr:colOff>371475</xdr:colOff>
          <xdr:row>46</xdr:row>
          <xdr:rowOff>295275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A94F04A8-8FDB-F7F8-3530-BB4F46913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47</xdr:row>
          <xdr:rowOff>28575</xdr:rowOff>
        </xdr:from>
        <xdr:to>
          <xdr:col>0</xdr:col>
          <xdr:colOff>371475</xdr:colOff>
          <xdr:row>47</xdr:row>
          <xdr:rowOff>295275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647F4043-7F7F-0AC7-C81E-FD86D548D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28575</xdr:rowOff>
        </xdr:from>
        <xdr:to>
          <xdr:col>1</xdr:col>
          <xdr:colOff>1171575</xdr:colOff>
          <xdr:row>2</xdr:row>
          <xdr:rowOff>409575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E179D191-85F1-2108-1A84-3EB341BD8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1276350</xdr:colOff>
          <xdr:row>2</xdr:row>
          <xdr:rowOff>28575</xdr:rowOff>
        </xdr:from>
        <xdr:to>
          <xdr:col>1</xdr:col>
          <xdr:colOff>2943225</xdr:colOff>
          <xdr:row>2</xdr:row>
          <xdr:rowOff>409575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6F938AAE-5980-2B77-D609-FA15FB97C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3057525</xdr:colOff>
          <xdr:row>2</xdr:row>
          <xdr:rowOff>28575</xdr:rowOff>
        </xdr:from>
        <xdr:to>
          <xdr:col>2</xdr:col>
          <xdr:colOff>200025</xdr:colOff>
          <xdr:row>2</xdr:row>
          <xdr:rowOff>409575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D695AF1-426A-5AE6-4684-6CAD29E28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314325</xdr:colOff>
          <xdr:row>2</xdr:row>
          <xdr:rowOff>28575</xdr:rowOff>
        </xdr:from>
        <xdr:to>
          <xdr:col>4</xdr:col>
          <xdr:colOff>104775</xdr:colOff>
          <xdr:row>2</xdr:row>
          <xdr:rowOff>409575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B61C5FB9-0DA4-03CC-6653-88E365EDB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I3:L27"/>
  <sheetViews>
    <sheetView topLeftCell="A11" zoomScale="115" zoomScaleNormal="115" workbookViewId="0">
      <selection activeCell="L28" sqref="L28"/>
    </sheetView>
  </sheetViews>
  <sheetFormatPr defaultRowHeight="15" x14ac:dyDescent="0.25"/>
  <cols>
    <col min="10" max="10" width="22.7109375" style="60" customWidth="1"/>
    <col min="11" max="11" width="6.140625" customWidth="1"/>
  </cols>
  <sheetData>
    <row r="3" spans="9:11" x14ac:dyDescent="0.25">
      <c r="I3" t="s">
        <v>25</v>
      </c>
      <c r="K3" t="s">
        <v>26</v>
      </c>
    </row>
    <row r="4" spans="9:11" x14ac:dyDescent="0.25">
      <c r="I4">
        <v>2400</v>
      </c>
      <c r="J4" s="60" t="s">
        <v>27</v>
      </c>
      <c r="K4">
        <v>3600</v>
      </c>
    </row>
    <row r="5" spans="9:11" x14ac:dyDescent="0.25">
      <c r="I5">
        <f>Fluxograma!E5+Fluxograma!L5+Fluxograma!S5+Fluxograma!Z5+Fluxograma!AG5+Fluxograma!AN5</f>
        <v>390</v>
      </c>
      <c r="J5" s="60" t="s">
        <v>28</v>
      </c>
      <c r="K5">
        <f>I5+150</f>
        <v>540</v>
      </c>
    </row>
    <row r="6" spans="9:11" x14ac:dyDescent="0.25">
      <c r="I6">
        <f>Fluxograma!BC11</f>
        <v>240</v>
      </c>
      <c r="J6" s="60" t="s">
        <v>29</v>
      </c>
      <c r="K6">
        <f>K4*0.1</f>
        <v>360</v>
      </c>
    </row>
    <row r="7" spans="9:11" x14ac:dyDescent="0.25">
      <c r="I7">
        <f>Fluxograma!BC10</f>
        <v>120</v>
      </c>
      <c r="J7" s="60" t="s">
        <v>30</v>
      </c>
      <c r="K7">
        <v>160</v>
      </c>
    </row>
    <row r="8" spans="9:11" x14ac:dyDescent="0.25">
      <c r="I8">
        <f>Fluxograma!BC9</f>
        <v>60</v>
      </c>
      <c r="J8" s="60" t="s">
        <v>31</v>
      </c>
      <c r="K8">
        <v>80</v>
      </c>
    </row>
    <row r="9" spans="9:11" x14ac:dyDescent="0.25">
      <c r="I9">
        <v>0</v>
      </c>
      <c r="J9" s="60" t="s">
        <v>32</v>
      </c>
      <c r="K9">
        <v>60</v>
      </c>
    </row>
    <row r="10" spans="9:11" x14ac:dyDescent="0.25">
      <c r="I10">
        <v>90</v>
      </c>
      <c r="J10" s="60" t="s">
        <v>33</v>
      </c>
      <c r="K10">
        <v>90</v>
      </c>
    </row>
    <row r="11" spans="9:11" x14ac:dyDescent="0.25">
      <c r="I11">
        <v>90</v>
      </c>
      <c r="J11" s="60" t="s">
        <v>34</v>
      </c>
      <c r="K11">
        <v>90</v>
      </c>
    </row>
    <row r="12" spans="9:11" x14ac:dyDescent="0.25">
      <c r="I12">
        <v>60</v>
      </c>
      <c r="J12" s="60" t="s">
        <v>35</v>
      </c>
      <c r="K12">
        <v>60</v>
      </c>
    </row>
    <row r="13" spans="9:11" x14ac:dyDescent="0.25">
      <c r="I13">
        <v>60</v>
      </c>
      <c r="J13" s="60" t="s">
        <v>36</v>
      </c>
      <c r="K13">
        <v>60</v>
      </c>
    </row>
    <row r="14" spans="9:11" x14ac:dyDescent="0.25">
      <c r="I14" s="100">
        <v>30</v>
      </c>
      <c r="J14" s="60" t="s">
        <v>37</v>
      </c>
      <c r="K14">
        <v>30</v>
      </c>
    </row>
    <row r="15" spans="9:11" x14ac:dyDescent="0.25">
      <c r="I15">
        <v>60</v>
      </c>
      <c r="J15" s="60" t="s">
        <v>38</v>
      </c>
      <c r="K15">
        <v>60</v>
      </c>
    </row>
    <row r="16" spans="9:11" x14ac:dyDescent="0.25">
      <c r="I16" s="100"/>
    </row>
    <row r="17" spans="9:12" x14ac:dyDescent="0.25">
      <c r="I17" s="100"/>
    </row>
    <row r="20" spans="9:12" x14ac:dyDescent="0.25">
      <c r="I20">
        <f>I4-SUM(I5:I19)</f>
        <v>1200</v>
      </c>
      <c r="J20" s="60" t="s">
        <v>39</v>
      </c>
      <c r="K20">
        <f>K4-SUM(K5:K19)</f>
        <v>2010</v>
      </c>
    </row>
    <row r="21" spans="9:12" x14ac:dyDescent="0.25">
      <c r="J21" s="60" t="s">
        <v>28</v>
      </c>
      <c r="K21">
        <f>2*K5</f>
        <v>1080</v>
      </c>
    </row>
    <row r="25" spans="9:12" x14ac:dyDescent="0.25">
      <c r="K25" t="s">
        <v>40</v>
      </c>
    </row>
    <row r="26" spans="9:12" x14ac:dyDescent="0.25">
      <c r="I26" s="1"/>
      <c r="K26">
        <f>SUM(K20:K25)/15</f>
        <v>206</v>
      </c>
      <c r="L26" t="s">
        <v>41</v>
      </c>
    </row>
    <row r="27" spans="9:12" x14ac:dyDescent="0.25">
      <c r="K27">
        <f>K26/17</f>
        <v>12.117647058823529</v>
      </c>
      <c r="L27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E91"/>
  <sheetViews>
    <sheetView view="pageBreakPreview" workbookViewId="0">
      <pane ySplit="14" topLeftCell="A15" activePane="bottomLeft" state="frozen"/>
      <selection pane="bottomLeft" activeCell="C52" sqref="C52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5" ht="26.25" customHeight="1" x14ac:dyDescent="0.25">
      <c r="A1" s="95" t="s">
        <v>43</v>
      </c>
      <c r="B1" s="115" t="s">
        <v>44</v>
      </c>
    </row>
    <row r="2" spans="1:5" ht="15" customHeight="1" x14ac:dyDescent="0.25">
      <c r="B2" s="92" t="s">
        <v>45</v>
      </c>
    </row>
    <row r="4" spans="1:5" ht="15" customHeight="1" x14ac:dyDescent="0.25">
      <c r="A4" s="91" t="s">
        <v>46</v>
      </c>
    </row>
    <row r="5" spans="1:5" x14ac:dyDescent="0.25">
      <c r="A5" s="116" t="s">
        <v>47</v>
      </c>
      <c r="B5" s="116" t="s">
        <v>48</v>
      </c>
    </row>
    <row r="6" spans="1:5" x14ac:dyDescent="0.25">
      <c r="A6" s="116" t="s">
        <v>49</v>
      </c>
      <c r="B6" s="116" t="s">
        <v>50</v>
      </c>
    </row>
    <row r="8" spans="1:5" ht="15" customHeight="1" x14ac:dyDescent="0.25">
      <c r="A8" s="91" t="s">
        <v>51</v>
      </c>
    </row>
    <row r="9" spans="1:5" x14ac:dyDescent="0.25">
      <c r="A9" s="94" t="s">
        <v>52</v>
      </c>
      <c r="B9" s="94" t="s">
        <v>53</v>
      </c>
    </row>
    <row r="10" spans="1:5" x14ac:dyDescent="0.25">
      <c r="A10" s="94" t="s">
        <v>54</v>
      </c>
      <c r="B10" s="94" t="s">
        <v>55</v>
      </c>
    </row>
    <row r="11" spans="1:5" x14ac:dyDescent="0.25">
      <c r="A11" s="94" t="s">
        <v>56</v>
      </c>
      <c r="B11" s="94" t="s">
        <v>57</v>
      </c>
    </row>
    <row r="12" spans="1:5" x14ac:dyDescent="0.25">
      <c r="A12" s="94" t="s">
        <v>58</v>
      </c>
      <c r="B12" s="94" t="s">
        <v>55</v>
      </c>
    </row>
    <row r="14" spans="1:5" ht="15.6" customHeight="1" x14ac:dyDescent="0.25">
      <c r="A14" s="69" t="s">
        <v>59</v>
      </c>
      <c r="B14" s="69" t="s">
        <v>60</v>
      </c>
      <c r="D14" s="91"/>
    </row>
    <row r="15" spans="1:5" ht="40.5" customHeight="1" x14ac:dyDescent="0.25">
      <c r="A15" s="70" t="s">
        <v>61</v>
      </c>
      <c r="B15" s="71" t="s">
        <v>62</v>
      </c>
      <c r="D15" s="93"/>
      <c r="E15" s="92"/>
    </row>
    <row r="16" spans="1:5" x14ac:dyDescent="0.25">
      <c r="A16" s="70" t="s">
        <v>63</v>
      </c>
      <c r="B16" s="71" t="s">
        <v>64</v>
      </c>
    </row>
    <row r="17" spans="1:2" x14ac:dyDescent="0.25">
      <c r="A17" s="70" t="s">
        <v>65</v>
      </c>
      <c r="B17" s="71" t="s">
        <v>66</v>
      </c>
    </row>
    <row r="18" spans="1:2" x14ac:dyDescent="0.25">
      <c r="A18" s="70" t="s">
        <v>67</v>
      </c>
      <c r="B18" s="71" t="s">
        <v>68</v>
      </c>
    </row>
    <row r="19" spans="1:2" ht="72" customHeight="1" x14ac:dyDescent="0.25">
      <c r="A19" s="70" t="s">
        <v>69</v>
      </c>
      <c r="B19" s="71" t="s">
        <v>70</v>
      </c>
    </row>
    <row r="20" spans="1:2" x14ac:dyDescent="0.25">
      <c r="A20" s="70" t="s">
        <v>71</v>
      </c>
      <c r="B20" s="71"/>
    </row>
    <row r="21" spans="1:2" x14ac:dyDescent="0.25">
      <c r="A21" s="72" t="s">
        <v>72</v>
      </c>
      <c r="B21" s="73" t="s">
        <v>73</v>
      </c>
    </row>
    <row r="22" spans="1:2" x14ac:dyDescent="0.25">
      <c r="A22" s="72" t="s">
        <v>74</v>
      </c>
      <c r="B22" s="73" t="s">
        <v>75</v>
      </c>
    </row>
    <row r="23" spans="1:2" x14ac:dyDescent="0.25">
      <c r="A23" s="72" t="s">
        <v>76</v>
      </c>
      <c r="B23" s="73" t="s">
        <v>77</v>
      </c>
    </row>
    <row r="24" spans="1:2" x14ac:dyDescent="0.25">
      <c r="A24" s="72" t="s">
        <v>78</v>
      </c>
      <c r="B24" s="73" t="s">
        <v>79</v>
      </c>
    </row>
    <row r="25" spans="1:2" x14ac:dyDescent="0.25">
      <c r="A25" s="72" t="s">
        <v>80</v>
      </c>
      <c r="B25" s="73" t="s">
        <v>81</v>
      </c>
    </row>
    <row r="26" spans="1:2" x14ac:dyDescent="0.25">
      <c r="A26" s="72" t="s">
        <v>82</v>
      </c>
      <c r="B26" s="73" t="s">
        <v>83</v>
      </c>
    </row>
    <row r="27" spans="1:2" x14ac:dyDescent="0.25">
      <c r="A27" s="72" t="s">
        <v>84</v>
      </c>
      <c r="B27" s="73" t="s">
        <v>85</v>
      </c>
    </row>
    <row r="28" spans="1:2" x14ac:dyDescent="0.25">
      <c r="A28" s="72" t="s">
        <v>86</v>
      </c>
      <c r="B28" s="73">
        <v>30</v>
      </c>
    </row>
    <row r="29" spans="1:2" x14ac:dyDescent="0.25">
      <c r="A29" s="72" t="s">
        <v>87</v>
      </c>
      <c r="B29" s="73" t="s">
        <v>88</v>
      </c>
    </row>
    <row r="30" spans="1:2" x14ac:dyDescent="0.25">
      <c r="A30" s="72" t="s">
        <v>89</v>
      </c>
      <c r="B30" s="73" t="s">
        <v>90</v>
      </c>
    </row>
    <row r="31" spans="1:2" x14ac:dyDescent="0.25">
      <c r="A31" s="72" t="s">
        <v>91</v>
      </c>
      <c r="B31" s="73" t="s">
        <v>92</v>
      </c>
    </row>
    <row r="32" spans="1:2" x14ac:dyDescent="0.25">
      <c r="A32" s="72" t="s">
        <v>93</v>
      </c>
      <c r="B32" s="73" t="s">
        <v>94</v>
      </c>
    </row>
    <row r="33" spans="1:2" x14ac:dyDescent="0.25">
      <c r="A33" s="72" t="s">
        <v>95</v>
      </c>
      <c r="B33" s="73" t="s">
        <v>96</v>
      </c>
    </row>
    <row r="34" spans="1:2" x14ac:dyDescent="0.25">
      <c r="A34" s="72" t="s">
        <v>97</v>
      </c>
      <c r="B34" s="73" t="s">
        <v>98</v>
      </c>
    </row>
    <row r="35" spans="1:2" x14ac:dyDescent="0.25">
      <c r="A35" s="72" t="s">
        <v>99</v>
      </c>
      <c r="B35" s="73" t="s">
        <v>100</v>
      </c>
    </row>
    <row r="36" spans="1:2" x14ac:dyDescent="0.25">
      <c r="A36" s="72" t="s">
        <v>101</v>
      </c>
      <c r="B36" s="73" t="s">
        <v>102</v>
      </c>
    </row>
    <row r="37" spans="1:2" x14ac:dyDescent="0.25">
      <c r="A37" s="72" t="s">
        <v>103</v>
      </c>
      <c r="B37" s="76">
        <v>6</v>
      </c>
    </row>
    <row r="38" spans="1:2" x14ac:dyDescent="0.25">
      <c r="A38" s="72" t="s">
        <v>104</v>
      </c>
      <c r="B38" s="73" t="s">
        <v>105</v>
      </c>
    </row>
    <row r="39" spans="1:2" x14ac:dyDescent="0.25">
      <c r="A39" s="72" t="s">
        <v>106</v>
      </c>
      <c r="B39" s="73" t="s">
        <v>107</v>
      </c>
    </row>
    <row r="40" spans="1:2" x14ac:dyDescent="0.25">
      <c r="A40" s="72" t="s">
        <v>108</v>
      </c>
      <c r="B40" s="73" t="s">
        <v>109</v>
      </c>
    </row>
    <row r="41" spans="1:2" x14ac:dyDescent="0.25">
      <c r="A41" s="70" t="s">
        <v>110</v>
      </c>
      <c r="B41" s="71" t="s">
        <v>111</v>
      </c>
    </row>
    <row r="42" spans="1:2" x14ac:dyDescent="0.25">
      <c r="A42" s="70" t="s">
        <v>112</v>
      </c>
      <c r="B42" s="71" t="s">
        <v>113</v>
      </c>
    </row>
    <row r="43" spans="1:2" x14ac:dyDescent="0.25">
      <c r="A43" s="70" t="s">
        <v>114</v>
      </c>
      <c r="B43" s="71" t="s">
        <v>115</v>
      </c>
    </row>
    <row r="44" spans="1:2" x14ac:dyDescent="0.25">
      <c r="A44" s="70" t="s">
        <v>116</v>
      </c>
      <c r="B44" s="71" t="s">
        <v>117</v>
      </c>
    </row>
    <row r="45" spans="1:2" x14ac:dyDescent="0.25">
      <c r="A45" s="70" t="s">
        <v>118</v>
      </c>
      <c r="B45" s="71" t="s">
        <v>119</v>
      </c>
    </row>
    <row r="46" spans="1:2" x14ac:dyDescent="0.25">
      <c r="A46" s="70" t="s">
        <v>120</v>
      </c>
      <c r="B46" s="71" t="s">
        <v>107</v>
      </c>
    </row>
    <row r="47" spans="1:2" x14ac:dyDescent="0.25">
      <c r="A47" s="70" t="s">
        <v>121</v>
      </c>
      <c r="B47" s="71" t="s">
        <v>109</v>
      </c>
    </row>
    <row r="48" spans="1:2" x14ac:dyDescent="0.25">
      <c r="A48" s="70" t="s">
        <v>122</v>
      </c>
      <c r="B48" s="71" t="s">
        <v>123</v>
      </c>
    </row>
    <row r="49" spans="1:2" x14ac:dyDescent="0.25">
      <c r="A49" s="70" t="s">
        <v>124</v>
      </c>
      <c r="B49" s="71" t="s">
        <v>125</v>
      </c>
    </row>
    <row r="50" spans="1:2" x14ac:dyDescent="0.25">
      <c r="A50" s="70" t="s">
        <v>126</v>
      </c>
      <c r="B50" s="71" t="s">
        <v>127</v>
      </c>
    </row>
    <row r="51" spans="1:2" x14ac:dyDescent="0.25">
      <c r="A51" s="70" t="s">
        <v>128</v>
      </c>
      <c r="B51" s="71" t="s">
        <v>129</v>
      </c>
    </row>
    <row r="52" spans="1:2" x14ac:dyDescent="0.25">
      <c r="A52" s="70" t="s">
        <v>130</v>
      </c>
      <c r="B52" s="71" t="s">
        <v>131</v>
      </c>
    </row>
    <row r="53" spans="1:2" x14ac:dyDescent="0.25">
      <c r="A53" s="70" t="s">
        <v>132</v>
      </c>
      <c r="B53" s="71" t="s">
        <v>133</v>
      </c>
    </row>
    <row r="54" spans="1:2" x14ac:dyDescent="0.25">
      <c r="A54" s="70" t="s">
        <v>134</v>
      </c>
      <c r="B54" s="71" t="s">
        <v>119</v>
      </c>
    </row>
    <row r="55" spans="1:2" x14ac:dyDescent="0.25">
      <c r="A55" s="70" t="s">
        <v>135</v>
      </c>
      <c r="B55" s="71" t="s">
        <v>136</v>
      </c>
    </row>
    <row r="56" spans="1:2" x14ac:dyDescent="0.25">
      <c r="A56" s="70" t="s">
        <v>137</v>
      </c>
      <c r="B56" s="71" t="s">
        <v>138</v>
      </c>
    </row>
    <row r="57" spans="1:2" x14ac:dyDescent="0.25">
      <c r="A57" s="72" t="s">
        <v>139</v>
      </c>
      <c r="B57" s="74">
        <v>2400</v>
      </c>
    </row>
    <row r="58" spans="1:2" x14ac:dyDescent="0.25">
      <c r="A58" s="72" t="s">
        <v>140</v>
      </c>
      <c r="B58" s="74">
        <v>1800</v>
      </c>
    </row>
    <row r="59" spans="1:2" x14ac:dyDescent="0.25">
      <c r="A59" s="72" t="s">
        <v>141</v>
      </c>
      <c r="B59" s="74">
        <v>240</v>
      </c>
    </row>
    <row r="60" spans="1:2" x14ac:dyDescent="0.25">
      <c r="A60" s="72" t="s">
        <v>142</v>
      </c>
      <c r="B60" s="74">
        <v>60</v>
      </c>
    </row>
    <row r="61" spans="1:2" x14ac:dyDescent="0.25">
      <c r="A61" s="72" t="s">
        <v>143</v>
      </c>
      <c r="B61" s="74">
        <v>120</v>
      </c>
    </row>
    <row r="62" spans="1:2" x14ac:dyDescent="0.25">
      <c r="A62" s="72" t="s">
        <v>144</v>
      </c>
      <c r="B62" s="74">
        <v>0</v>
      </c>
    </row>
    <row r="63" spans="1:2" x14ac:dyDescent="0.25">
      <c r="A63" s="72" t="s">
        <v>145</v>
      </c>
      <c r="B63" s="75">
        <v>10</v>
      </c>
    </row>
    <row r="64" spans="1:2" x14ac:dyDescent="0.25">
      <c r="A64" s="72" t="s">
        <v>146</v>
      </c>
      <c r="B64" s="75">
        <v>30</v>
      </c>
    </row>
    <row r="65" spans="1:2" x14ac:dyDescent="0.25">
      <c r="A65" s="72" t="s">
        <v>147</v>
      </c>
      <c r="B65" s="74">
        <v>300</v>
      </c>
    </row>
    <row r="66" spans="1:2" x14ac:dyDescent="0.25">
      <c r="A66" s="72" t="s">
        <v>148</v>
      </c>
      <c r="B66" s="73">
        <v>3</v>
      </c>
    </row>
    <row r="67" spans="1:2" x14ac:dyDescent="0.25">
      <c r="A67" s="72" t="s">
        <v>149</v>
      </c>
      <c r="B67" s="73">
        <v>3</v>
      </c>
    </row>
    <row r="68" spans="1:2" x14ac:dyDescent="0.25">
      <c r="A68" s="70" t="s">
        <v>150</v>
      </c>
      <c r="B68" s="71" t="s">
        <v>151</v>
      </c>
    </row>
    <row r="69" spans="1:2" x14ac:dyDescent="0.25">
      <c r="A69" s="70" t="s">
        <v>152</v>
      </c>
      <c r="B69" s="77" t="b">
        <v>1</v>
      </c>
    </row>
    <row r="70" spans="1:2" x14ac:dyDescent="0.25">
      <c r="A70" s="70" t="s">
        <v>153</v>
      </c>
      <c r="B70" s="71" t="s">
        <v>154</v>
      </c>
    </row>
    <row r="71" spans="1:2" ht="28.9" customHeight="1" x14ac:dyDescent="0.25">
      <c r="A71" s="70" t="s">
        <v>155</v>
      </c>
      <c r="B71" s="71"/>
    </row>
    <row r="72" spans="1:2" x14ac:dyDescent="0.25">
      <c r="A72" s="70" t="s">
        <v>156</v>
      </c>
      <c r="B72" s="71" t="s">
        <v>157</v>
      </c>
    </row>
    <row r="73" spans="1:2" ht="28.9" customHeight="1" x14ac:dyDescent="0.25">
      <c r="A73" s="72" t="s">
        <v>158</v>
      </c>
      <c r="B73" s="73" t="s">
        <v>159</v>
      </c>
    </row>
    <row r="74" spans="1:2" x14ac:dyDescent="0.25">
      <c r="A74" s="72" t="s">
        <v>160</v>
      </c>
      <c r="B74" s="73" t="s">
        <v>161</v>
      </c>
    </row>
    <row r="75" spans="1:2" x14ac:dyDescent="0.25">
      <c r="A75" s="72" t="s">
        <v>162</v>
      </c>
      <c r="B75" s="73" t="s">
        <v>163</v>
      </c>
    </row>
    <row r="76" spans="1:2" x14ac:dyDescent="0.25">
      <c r="A76" s="72" t="s">
        <v>164</v>
      </c>
      <c r="B76" s="73" t="s">
        <v>165</v>
      </c>
    </row>
    <row r="77" spans="1:2" x14ac:dyDescent="0.25">
      <c r="A77" s="72" t="s">
        <v>166</v>
      </c>
      <c r="B77" s="73" t="s">
        <v>167</v>
      </c>
    </row>
    <row r="78" spans="1:2" ht="45" customHeight="1" x14ac:dyDescent="0.25">
      <c r="A78" s="72" t="s">
        <v>168</v>
      </c>
      <c r="B78" s="73" t="s">
        <v>169</v>
      </c>
    </row>
    <row r="79" spans="1:2" ht="45" customHeight="1" x14ac:dyDescent="0.25">
      <c r="A79" s="70" t="s">
        <v>170</v>
      </c>
      <c r="B79" s="71" t="s">
        <v>171</v>
      </c>
    </row>
    <row r="80" spans="1:2" ht="28.9" customHeight="1" x14ac:dyDescent="0.25">
      <c r="A80" s="70" t="s">
        <v>172</v>
      </c>
      <c r="B80" s="77" t="b">
        <v>1</v>
      </c>
    </row>
    <row r="81" spans="1:2" x14ac:dyDescent="0.25">
      <c r="A81" s="70" t="s">
        <v>173</v>
      </c>
      <c r="B81" s="77" t="b">
        <v>1</v>
      </c>
    </row>
    <row r="82" spans="1:2" x14ac:dyDescent="0.25">
      <c r="A82" s="70" t="s">
        <v>174</v>
      </c>
      <c r="B82" s="77" t="b">
        <v>1</v>
      </c>
    </row>
    <row r="83" spans="1:2" x14ac:dyDescent="0.25">
      <c r="A83" s="70" t="s">
        <v>175</v>
      </c>
      <c r="B83" s="77" t="b">
        <v>1</v>
      </c>
    </row>
    <row r="84" spans="1:2" x14ac:dyDescent="0.25">
      <c r="A84" s="70" t="s">
        <v>176</v>
      </c>
      <c r="B84" s="77" t="b">
        <v>1</v>
      </c>
    </row>
    <row r="85" spans="1:2" x14ac:dyDescent="0.25">
      <c r="A85" s="70" t="s">
        <v>177</v>
      </c>
      <c r="B85" s="77" t="b">
        <v>1</v>
      </c>
    </row>
    <row r="86" spans="1:2" x14ac:dyDescent="0.25">
      <c r="A86" s="70" t="s">
        <v>178</v>
      </c>
      <c r="B86" s="77" t="b">
        <v>1</v>
      </c>
    </row>
    <row r="87" spans="1:2" x14ac:dyDescent="0.25">
      <c r="A87" s="72" t="s">
        <v>179</v>
      </c>
      <c r="B87" s="73" t="s">
        <v>180</v>
      </c>
    </row>
    <row r="88" spans="1:2" x14ac:dyDescent="0.25">
      <c r="A88" s="72" t="s">
        <v>181</v>
      </c>
      <c r="B88" s="78" t="b">
        <v>1</v>
      </c>
    </row>
    <row r="89" spans="1:2" x14ac:dyDescent="0.25">
      <c r="A89" s="72" t="s">
        <v>182</v>
      </c>
      <c r="B89" s="78" t="b">
        <v>1</v>
      </c>
    </row>
    <row r="90" spans="1:2" x14ac:dyDescent="0.25">
      <c r="A90" t="s">
        <v>183</v>
      </c>
      <c r="B90">
        <v>2026</v>
      </c>
    </row>
    <row r="91" spans="1:2" x14ac:dyDescent="0.25">
      <c r="A91" t="s">
        <v>184</v>
      </c>
      <c r="B91" t="s">
        <v>185</v>
      </c>
    </row>
  </sheetData>
  <conditionalFormatting sqref="B61">
    <cfRule type="expression" dxfId="18" priority="7">
      <formula>B61=TRUE</formula>
    </cfRule>
    <cfRule type="expression" dxfId="17" priority="8">
      <formula>B61=FALSE</formula>
    </cfRule>
  </conditionalFormatting>
  <conditionalFormatting sqref="B73:B79">
    <cfRule type="expression" dxfId="16" priority="9">
      <formula>B73=TRUE</formula>
    </cfRule>
    <cfRule type="expression" dxfId="15" priority="10">
      <formula>B73=FALSE</formula>
    </cfRule>
  </conditionalFormatting>
  <conditionalFormatting sqref="B81:B82">
    <cfRule type="expression" dxfId="14" priority="11">
      <formula>B81=TRUE</formula>
    </cfRule>
    <cfRule type="expression" dxfId="13" priority="12">
      <formula>B81=FALSE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9" r:id="rId4" name="btnVerificarRegras">
              <controlPr defaultSize="0" print="0" autoPict="0" macro="[0]!VerificarRegras">
                <anchor moveWithCells="1" sizeWithCells="1">
                  <from>
                    <xdr:col>0</xdr:col>
                    <xdr:colOff>152400</xdr:colOff>
                    <xdr:row>1</xdr:row>
                    <xdr:rowOff>0</xdr:rowOff>
                  </from>
                  <to>
                    <xdr:col>0</xdr:col>
                    <xdr:colOff>2219325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iagrama5">
    <pageSetUpPr fitToPage="1"/>
  </sheetPr>
  <dimension ref="A1:CS75"/>
  <sheetViews>
    <sheetView tabSelected="1" showRuler="0" showWhiteSpace="0" view="pageBreakPreview" topLeftCell="A22" zoomScale="145" zoomScaleNormal="115" zoomScaleSheetLayoutView="145" zoomScalePageLayoutView="85" workbookViewId="0">
      <selection activeCell="C34" sqref="C34:G36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19" width="3.140625" style="1" bestFit="1" customWidth="1"/>
    <col min="20" max="20" width="4.85546875" style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140625" style="1" bestFit="1" customWidth="1"/>
    <col min="43" max="43" width="0.85546875" style="1" customWidth="1"/>
    <col min="44" max="44" width="2.42578125" style="1" customWidth="1"/>
    <col min="45" max="45" width="4.42578125" style="1" bestFit="1" customWidth="1"/>
    <col min="46" max="46" width="3.28515625" style="1" customWidth="1"/>
    <col min="47" max="47" width="2.7109375" style="1" bestFit="1" customWidth="1"/>
    <col min="48" max="48" width="3.5703125" style="1" customWidth="1"/>
    <col min="49" max="49" width="4.42578125" style="1" bestFit="1" customWidth="1"/>
    <col min="50" max="50" width="1.28515625" style="1" customWidth="1"/>
    <col min="51" max="51" width="2.42578125" style="1" customWidth="1"/>
    <col min="52" max="53" width="4.140625" style="1" customWidth="1"/>
    <col min="54" max="54" width="3.7109375" style="1" customWidth="1"/>
    <col min="55" max="55" width="5" style="1" bestFit="1" customWidth="1"/>
    <col min="56" max="56" width="2.7109375" style="1" bestFit="1" customWidth="1"/>
    <col min="57" max="57" width="0.85546875" style="1" customWidth="1"/>
    <col min="58" max="58" width="2.7109375" style="1" customWidth="1"/>
    <col min="59" max="59" width="4.5703125" style="1" customWidth="1"/>
    <col min="60" max="60" width="4.28515625" style="1" customWidth="1"/>
    <col min="61" max="61" width="3.7109375" style="1" customWidth="1"/>
    <col min="62" max="62" width="4" style="1" customWidth="1"/>
    <col min="63" max="63" width="2.7109375" style="1" bestFit="1" customWidth="1"/>
    <col min="64" max="64" width="1" style="1" customWidth="1"/>
    <col min="65" max="65" width="2.7109375" style="1" customWidth="1"/>
    <col min="66" max="66" width="3.7109375" style="1" customWidth="1"/>
    <col min="67" max="67" width="3.28515625" style="1" customWidth="1"/>
    <col min="68" max="70" width="3.7109375" style="1" customWidth="1"/>
    <col min="71" max="71" width="1.140625" style="1" customWidth="1"/>
    <col min="72" max="72" width="2" style="2" customWidth="1"/>
    <col min="73" max="73" width="5.85546875" style="1" customWidth="1"/>
    <col min="74" max="92" width="9.140625" style="1" customWidth="1"/>
    <col min="93" max="16384" width="9.140625" style="1"/>
  </cols>
  <sheetData>
    <row r="1" spans="1:78" ht="3.75" customHeight="1" thickBot="1" x14ac:dyDescent="0.3"/>
    <row r="2" spans="1:78" s="3" customFormat="1" ht="27.6" customHeight="1" thickBot="1" x14ac:dyDescent="0.3">
      <c r="B2" s="150" t="s">
        <v>0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1"/>
      <c r="BT2" s="4"/>
    </row>
    <row r="3" spans="1:78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25">
      <c r="B4" s="11"/>
      <c r="C4" s="132" t="s">
        <v>1</v>
      </c>
      <c r="D4" s="133"/>
      <c r="E4" s="133"/>
      <c r="F4" s="133"/>
      <c r="G4" s="134"/>
      <c r="H4" s="12"/>
      <c r="I4" s="12"/>
      <c r="J4" s="132" t="s">
        <v>2</v>
      </c>
      <c r="K4" s="133"/>
      <c r="L4" s="133"/>
      <c r="M4" s="133"/>
      <c r="N4" s="134"/>
      <c r="O4" s="12"/>
      <c r="P4" s="12"/>
      <c r="Q4" s="132" t="s">
        <v>3</v>
      </c>
      <c r="R4" s="133"/>
      <c r="S4" s="133"/>
      <c r="T4" s="133"/>
      <c r="U4" s="134"/>
      <c r="V4" s="12"/>
      <c r="W4" s="12"/>
      <c r="X4" s="132" t="s">
        <v>4</v>
      </c>
      <c r="Y4" s="133"/>
      <c r="Z4" s="133"/>
      <c r="AA4" s="133"/>
      <c r="AB4" s="134"/>
      <c r="AC4" s="12"/>
      <c r="AD4" s="12"/>
      <c r="AE4" s="132" t="s">
        <v>5</v>
      </c>
      <c r="AF4" s="133"/>
      <c r="AG4" s="133"/>
      <c r="AH4" s="133"/>
      <c r="AI4" s="134"/>
      <c r="AJ4" s="12"/>
      <c r="AK4" s="12"/>
      <c r="AL4" s="132" t="s">
        <v>6</v>
      </c>
      <c r="AM4" s="133"/>
      <c r="AN4" s="133"/>
      <c r="AO4" s="133"/>
      <c r="AP4" s="134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499999999999993" customHeight="1" x14ac:dyDescent="0.25">
      <c r="B5" s="11"/>
      <c r="C5" s="117">
        <f>SUM(C12,C17,C22,C27,C32,C37,C42,C47,)</f>
        <v>210</v>
      </c>
      <c r="D5" s="117">
        <f>SUM(D12,D17,D22,D27,D32,D37,D42,D47,)</f>
        <v>90</v>
      </c>
      <c r="E5" s="117">
        <f>SUM(E12,E17,E22,E27,E32,E37,E42,E47)</f>
        <v>75</v>
      </c>
      <c r="F5" s="117">
        <f>SUM(F12,F17,F22,F27,F32,F37,F42,F47)</f>
        <v>0</v>
      </c>
      <c r="G5" s="65">
        <f>G12+G17+G22+G27+G32+G37+G42+G47</f>
        <v>375</v>
      </c>
      <c r="H5" s="12"/>
      <c r="I5" s="12"/>
      <c r="J5" s="117">
        <f>SUM(J12,J17,J22,J27,J32,J37,J42,J47,)</f>
        <v>240</v>
      </c>
      <c r="K5" s="117">
        <f>SUM(K12,K17,K22,K27,K32,K37,K42,K47,)</f>
        <v>60</v>
      </c>
      <c r="L5" s="117">
        <f>SUM(L12,L17,L22,L27,L32,L37,L42,L47)</f>
        <v>60</v>
      </c>
      <c r="M5" s="117">
        <f>SUM(M12,M17,M22,M27,M32,M37,M42,M47)</f>
        <v>0</v>
      </c>
      <c r="N5" s="65">
        <f>N12+N17+N22+N27+N32+N37+N42+N47</f>
        <v>360</v>
      </c>
      <c r="O5" s="12"/>
      <c r="P5" s="12"/>
      <c r="Q5" s="117">
        <f>SUM(Q12,Q17,Q22,Q27,Q32,Q37,Q42,Q47,)</f>
        <v>240</v>
      </c>
      <c r="R5" s="117">
        <f>SUM(R12,R17,R22,R27,R32,R37,R42,R47,)</f>
        <v>15</v>
      </c>
      <c r="S5" s="117">
        <f>SUM(S12,S17,S22,S27,S32,S37,S42,S47)</f>
        <v>60</v>
      </c>
      <c r="T5" s="117">
        <f>SUM(T12,T17,T22,T27,T32,T37,T42,T47)</f>
        <v>0</v>
      </c>
      <c r="U5" s="65">
        <f>U12+U17+U22+U27+U32+U37+U42+U47</f>
        <v>315</v>
      </c>
      <c r="V5" s="12"/>
      <c r="W5" s="12"/>
      <c r="X5" s="117">
        <f>SUM(X12,X17,X22,X27,X32,X37,X42,X47,)</f>
        <v>270</v>
      </c>
      <c r="Y5" s="117">
        <f>SUM(Y12,Y17,Y22,Y27,Y32,Y37,Y42,Y47,)</f>
        <v>60</v>
      </c>
      <c r="Z5" s="117">
        <f>SUM(Z12,Z17,Z22,Z27,Z32,Z37,Z42,Z47)</f>
        <v>30</v>
      </c>
      <c r="AA5" s="117">
        <f>SUM(AA12,AA17,AA22,AA27,AA32,AA37,AA42,AA47)</f>
        <v>90</v>
      </c>
      <c r="AB5" s="65">
        <f>AB12+AB17+AB22+AB27+AB32+AB37+AB42+AB47</f>
        <v>450</v>
      </c>
      <c r="AC5" s="12"/>
      <c r="AD5" s="12"/>
      <c r="AE5" s="117">
        <f>SUM(AE12,AE17,AE22,AE27,AE32,AE37,AE42,AE47,)</f>
        <v>180</v>
      </c>
      <c r="AF5" s="117">
        <f>SUM(AF12,AF17,AF22,AF27,AF32,AF37,AF42,AF47,)</f>
        <v>60</v>
      </c>
      <c r="AG5" s="117">
        <f>SUM(AG12,AG17,AG22,AG27,AG32,AG37,AG42,AG47)</f>
        <v>120</v>
      </c>
      <c r="AH5" s="117">
        <f>SUM(AH12,AH17,AH22,AH27,AH32,AH37,AH42,AH47)</f>
        <v>90</v>
      </c>
      <c r="AI5" s="65">
        <f>AI12+AI17+AI22+AI27+AI32+AI37+AI42+AI47</f>
        <v>450</v>
      </c>
      <c r="AJ5" s="12"/>
      <c r="AK5" s="12"/>
      <c r="AL5" s="117">
        <f>SUM(AL12,AL17,AL22,AL27,AL32,AL37,AL42,AL47,)</f>
        <v>120</v>
      </c>
      <c r="AM5" s="117">
        <f>SUM(AM12,AM17,AM22,AM27,AM32,AM37,AM42,AM47,)</f>
        <v>0</v>
      </c>
      <c r="AN5" s="117">
        <f>SUM(AN12,AN17,AN22,AN27,AN32,AN37,AN42,AN47)</f>
        <v>45</v>
      </c>
      <c r="AO5" s="117">
        <f>SUM(AO12,AO17,AO22,AO27,AO32,AO37,AO42,AO47)</f>
        <v>60</v>
      </c>
      <c r="AP5" s="65">
        <f>AP12+AP17+AP22+AP27+AP32+AP37+AP42+AP47</f>
        <v>345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" customHeight="1" x14ac:dyDescent="0.25">
      <c r="B6" s="11"/>
      <c r="C6" s="118"/>
      <c r="D6" s="118"/>
      <c r="E6" s="118"/>
      <c r="F6" s="118"/>
      <c r="G6" s="65">
        <f>SUM(C5:E7)</f>
        <v>375</v>
      </c>
      <c r="H6" s="12"/>
      <c r="I6" s="12"/>
      <c r="J6" s="118"/>
      <c r="K6" s="118"/>
      <c r="L6" s="118"/>
      <c r="M6" s="118"/>
      <c r="N6" s="65">
        <f>SUM(J5:L7)</f>
        <v>360</v>
      </c>
      <c r="O6" s="12"/>
      <c r="P6" s="12"/>
      <c r="Q6" s="118"/>
      <c r="R6" s="118"/>
      <c r="S6" s="118"/>
      <c r="T6" s="118"/>
      <c r="U6" s="65">
        <f>SUM(Q5:S7)</f>
        <v>315</v>
      </c>
      <c r="V6" s="12"/>
      <c r="W6" s="12"/>
      <c r="X6" s="118"/>
      <c r="Y6" s="118"/>
      <c r="Z6" s="118"/>
      <c r="AA6" s="118"/>
      <c r="AB6" s="65">
        <f>SUM(X5:Z7)</f>
        <v>360</v>
      </c>
      <c r="AC6" s="12"/>
      <c r="AD6" s="12"/>
      <c r="AE6" s="118"/>
      <c r="AF6" s="118"/>
      <c r="AG6" s="118"/>
      <c r="AH6" s="118"/>
      <c r="AI6" s="65">
        <f>SUM(AE5:AG7)</f>
        <v>360</v>
      </c>
      <c r="AJ6" s="12"/>
      <c r="AK6" s="12"/>
      <c r="AL6" s="118"/>
      <c r="AM6" s="118"/>
      <c r="AN6" s="118"/>
      <c r="AO6" s="118"/>
      <c r="AP6" s="65">
        <f>SUM(AL5:AN7)</f>
        <v>165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15" customHeight="1" x14ac:dyDescent="0.25">
      <c r="A7" s="16"/>
      <c r="B7" s="11"/>
      <c r="C7" s="119"/>
      <c r="D7" s="119"/>
      <c r="E7" s="119"/>
      <c r="F7" s="119"/>
      <c r="G7" s="65">
        <f>SUM(C5+E5)</f>
        <v>285</v>
      </c>
      <c r="H7" s="12"/>
      <c r="I7" s="12"/>
      <c r="J7" s="119"/>
      <c r="K7" s="119"/>
      <c r="L7" s="119"/>
      <c r="M7" s="119"/>
      <c r="N7" s="65">
        <f>SUM(J5+L5)</f>
        <v>300</v>
      </c>
      <c r="O7" s="12"/>
      <c r="P7" s="12"/>
      <c r="Q7" s="119"/>
      <c r="R7" s="119"/>
      <c r="S7" s="119"/>
      <c r="T7" s="119"/>
      <c r="U7" s="65">
        <f>SUM(Q5+S5)</f>
        <v>300</v>
      </c>
      <c r="V7" s="12"/>
      <c r="W7" s="12"/>
      <c r="X7" s="119"/>
      <c r="Y7" s="119"/>
      <c r="Z7" s="119"/>
      <c r="AA7" s="119"/>
      <c r="AB7" s="65">
        <f>SUM(X5+Z5)</f>
        <v>300</v>
      </c>
      <c r="AC7" s="12"/>
      <c r="AD7" s="12"/>
      <c r="AE7" s="119"/>
      <c r="AF7" s="119"/>
      <c r="AG7" s="119"/>
      <c r="AH7" s="119"/>
      <c r="AI7" s="65">
        <f>SUM(AE5+AG5)</f>
        <v>300</v>
      </c>
      <c r="AJ7" s="12"/>
      <c r="AK7" s="12"/>
      <c r="AL7" s="119"/>
      <c r="AM7" s="119"/>
      <c r="AN7" s="119"/>
      <c r="AO7" s="119"/>
      <c r="AP7" s="65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7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25">
      <c r="B9" s="17"/>
      <c r="C9" s="129" t="s">
        <v>8</v>
      </c>
      <c r="D9" s="121"/>
      <c r="E9" s="121"/>
      <c r="F9" s="121"/>
      <c r="G9" s="122"/>
      <c r="H9" s="18"/>
      <c r="I9" s="18"/>
      <c r="J9" s="129" t="str">
        <f>TEXT(INT(LEFT(C34,2))+1,"0") &amp; " 
FAMAT31012
Cálculo Diferencial e Integral II"</f>
        <v>7 
FAMAT31012
Cálculo Diferencial e Integral II</v>
      </c>
      <c r="K9" s="121"/>
      <c r="L9" s="121"/>
      <c r="M9" s="121"/>
      <c r="N9" s="122"/>
      <c r="O9" s="18"/>
      <c r="P9" s="22"/>
      <c r="Q9" s="145" t="str">
        <f>TEXT(INT(LEFT(J29,2))+1,"0") &amp; " 
FEELT!SD
Sistemas Dinâmicos"</f>
        <v>12 
FEELT!SD
Sistemas Dinâmicos</v>
      </c>
      <c r="R9" s="121"/>
      <c r="S9" s="121"/>
      <c r="T9" s="121"/>
      <c r="U9" s="122"/>
      <c r="V9" s="18"/>
      <c r="W9" s="18"/>
      <c r="X9" s="143" t="str">
        <f>TEXT(INT(LEFT(Q29,2))+1,"0") &amp; " 
FEELT!ACE1
Atividades Curriculares de Extensão I"</f>
        <v>17 
FEELT!ACE1
Atividades Curriculares de Extensão I</v>
      </c>
      <c r="Y9" s="121"/>
      <c r="Z9" s="121"/>
      <c r="AA9" s="121"/>
      <c r="AB9" s="122"/>
      <c r="AC9" s="18"/>
      <c r="AD9" s="18"/>
      <c r="AE9" s="143" t="str">
        <f>TEXT(INT(LEFT(X39,2))+1,"0") &amp; " 
FEELT!ACE2
Atividades Curriculares de Extensão II"</f>
        <v>24 
FEELT!ACE2
Atividades Curriculares de Extensão II</v>
      </c>
      <c r="AF9" s="121"/>
      <c r="AG9" s="121"/>
      <c r="AH9" s="121"/>
      <c r="AI9" s="122"/>
      <c r="AJ9" s="18"/>
      <c r="AK9" s="8"/>
      <c r="AL9" s="143" t="str">
        <f>TEXT(INT(LEFT(AE39,2))+1,"0") &amp; " 
FEELT!ACE3
Atividades Curriculares de Extensão III"</f>
        <v>31 
FEELT!ACE3
Atividades Curriculares de Extensão III</v>
      </c>
      <c r="AM9" s="121"/>
      <c r="AN9" s="121"/>
      <c r="AO9" s="121"/>
      <c r="AP9" s="122"/>
      <c r="AQ9" s="18"/>
      <c r="AR9" s="8"/>
      <c r="AS9" s="135" t="str">
        <f>TEXT(INT(LEFT(AL34,2))+1,"0") &amp; " 
FEELT!OPT
MÓDULO OPTATIVO"</f>
        <v>37 
FEELT!OPT
MÓDULO OPTATIVO</v>
      </c>
      <c r="AT9" s="121"/>
      <c r="AU9" s="121"/>
      <c r="AV9" s="121"/>
      <c r="AW9" s="122"/>
      <c r="AX9" s="8"/>
      <c r="AY9" s="18"/>
      <c r="AZ9" s="8"/>
      <c r="BA9" s="8"/>
      <c r="BB9" s="20" t="s">
        <v>9</v>
      </c>
      <c r="BC9" s="21">
        <f>AW17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25">
      <c r="B10" s="17"/>
      <c r="C10" s="123"/>
      <c r="D10" s="124"/>
      <c r="E10" s="124"/>
      <c r="F10" s="124"/>
      <c r="G10" s="125"/>
      <c r="H10" s="18"/>
      <c r="I10" s="18"/>
      <c r="J10" s="123"/>
      <c r="K10" s="124"/>
      <c r="L10" s="124"/>
      <c r="M10" s="124"/>
      <c r="N10" s="125"/>
      <c r="O10" s="18"/>
      <c r="P10" s="22"/>
      <c r="Q10" s="123"/>
      <c r="R10" s="124"/>
      <c r="S10" s="124"/>
      <c r="T10" s="124"/>
      <c r="U10" s="125"/>
      <c r="V10" s="18"/>
      <c r="W10" s="18"/>
      <c r="X10" s="123"/>
      <c r="Y10" s="124"/>
      <c r="Z10" s="124"/>
      <c r="AA10" s="124"/>
      <c r="AB10" s="125"/>
      <c r="AC10" s="18"/>
      <c r="AD10" s="18"/>
      <c r="AE10" s="123"/>
      <c r="AF10" s="124"/>
      <c r="AG10" s="124"/>
      <c r="AH10" s="124"/>
      <c r="AI10" s="125"/>
      <c r="AJ10" s="18"/>
      <c r="AK10" s="8"/>
      <c r="AL10" s="123"/>
      <c r="AM10" s="124"/>
      <c r="AN10" s="124"/>
      <c r="AO10" s="124"/>
      <c r="AP10" s="125"/>
      <c r="AQ10" s="18"/>
      <c r="AR10" s="8"/>
      <c r="AS10" s="123"/>
      <c r="AT10" s="124"/>
      <c r="AU10" s="124"/>
      <c r="AV10" s="124"/>
      <c r="AW10" s="125"/>
      <c r="AX10" s="8"/>
      <c r="AY10" s="18"/>
      <c r="AZ10" s="8"/>
      <c r="BA10" s="8"/>
      <c r="BB10" s="20" t="s">
        <v>10</v>
      </c>
      <c r="BC10" s="21">
        <f>AP37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25">
      <c r="B11" s="17"/>
      <c r="C11" s="126"/>
      <c r="D11" s="127"/>
      <c r="E11" s="127"/>
      <c r="F11" s="127"/>
      <c r="G11" s="128"/>
      <c r="H11" s="18"/>
      <c r="I11" s="23" t="str">
        <f>LEFT(C9,2)</f>
        <v xml:space="preserve">1 </v>
      </c>
      <c r="J11" s="126"/>
      <c r="K11" s="127"/>
      <c r="L11" s="127"/>
      <c r="M11" s="127"/>
      <c r="N11" s="128"/>
      <c r="O11" s="18"/>
      <c r="P11" s="23" t="str">
        <f>LEFT(J9,2)</f>
        <v xml:space="preserve">7 </v>
      </c>
      <c r="Q11" s="126"/>
      <c r="R11" s="127"/>
      <c r="S11" s="127"/>
      <c r="T11" s="127"/>
      <c r="U11" s="128"/>
      <c r="V11" s="18"/>
      <c r="W11" s="18"/>
      <c r="X11" s="126"/>
      <c r="Y11" s="127"/>
      <c r="Z11" s="127"/>
      <c r="AA11" s="127"/>
      <c r="AB11" s="128"/>
      <c r="AC11" s="18"/>
      <c r="AD11" s="18"/>
      <c r="AE11" s="126"/>
      <c r="AF11" s="127"/>
      <c r="AG11" s="127"/>
      <c r="AH11" s="127"/>
      <c r="AI11" s="128"/>
      <c r="AJ11" s="18"/>
      <c r="AK11" s="8"/>
      <c r="AL11" s="126"/>
      <c r="AM11" s="127"/>
      <c r="AN11" s="127"/>
      <c r="AO11" s="127"/>
      <c r="AP11" s="128"/>
      <c r="AQ11" s="18"/>
      <c r="AR11" s="8"/>
      <c r="AS11" s="126"/>
      <c r="AT11" s="127"/>
      <c r="AU11" s="127"/>
      <c r="AV11" s="127"/>
      <c r="AW11" s="128"/>
      <c r="AX11" s="8"/>
      <c r="AY11" s="18"/>
      <c r="AZ11" s="8"/>
      <c r="BA11" s="8"/>
      <c r="BB11" s="20" t="s">
        <v>11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12</v>
      </c>
      <c r="BX11" s="8"/>
      <c r="BY11" s="8"/>
      <c r="BZ11" s="8"/>
    </row>
    <row r="12" spans="1:78" ht="12" customHeight="1" x14ac:dyDescent="0.25">
      <c r="B12" s="17"/>
      <c r="C12" s="36">
        <v>90</v>
      </c>
      <c r="D12" s="36">
        <v>0</v>
      </c>
      <c r="E12" s="36">
        <v>0</v>
      </c>
      <c r="F12" s="36">
        <v>0</v>
      </c>
      <c r="G12" s="36">
        <f>SUM(C12:F12)</f>
        <v>90</v>
      </c>
      <c r="H12" s="18"/>
      <c r="I12" s="18"/>
      <c r="J12" s="36">
        <v>90</v>
      </c>
      <c r="K12" s="36">
        <v>0</v>
      </c>
      <c r="L12" s="36">
        <v>0</v>
      </c>
      <c r="M12" s="36">
        <v>0</v>
      </c>
      <c r="N12" s="36">
        <f>SUM(J12:M12)</f>
        <v>90</v>
      </c>
      <c r="O12" s="18"/>
      <c r="P12" s="22"/>
      <c r="Q12" s="99">
        <v>60</v>
      </c>
      <c r="R12" s="99">
        <v>0</v>
      </c>
      <c r="S12" s="99">
        <v>0</v>
      </c>
      <c r="T12" s="99">
        <v>0</v>
      </c>
      <c r="U12" s="99">
        <f>SUM(Q12:T12)</f>
        <v>60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60</v>
      </c>
      <c r="AP12" s="25">
        <f>AO12</f>
        <v>60</v>
      </c>
      <c r="AQ12" s="18"/>
      <c r="AR12" s="8"/>
      <c r="AS12" s="106">
        <v>45</v>
      </c>
      <c r="AT12" s="106">
        <v>0</v>
      </c>
      <c r="AU12" s="106">
        <v>0</v>
      </c>
      <c r="AV12" s="106">
        <v>0</v>
      </c>
      <c r="AW12" s="24">
        <f>SUM(AS12:AV12)</f>
        <v>45</v>
      </c>
      <c r="AX12" s="8"/>
      <c r="AY12" s="18"/>
      <c r="AZ12" s="8"/>
      <c r="BA12" s="8"/>
      <c r="BB12" s="20" t="s">
        <v>13</v>
      </c>
      <c r="BC12" s="21">
        <f>AW12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14</v>
      </c>
      <c r="BX12" s="8"/>
      <c r="BY12" s="8"/>
      <c r="BZ12" s="8"/>
    </row>
    <row r="13" spans="1:78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25">
      <c r="B14" s="27"/>
      <c r="C14" s="135" t="str">
        <f>TEXT(INT(LEFT(C9,2))+1,"0") &amp; " 
FEELT!CDM
Ciência de dados aplicada a Metrologia"</f>
        <v>2 
FEELT!CDM
Ciência de dados aplicada a Metrologia</v>
      </c>
      <c r="D14" s="121"/>
      <c r="E14" s="121"/>
      <c r="F14" s="121"/>
      <c r="G14" s="122"/>
      <c r="H14" s="18"/>
      <c r="I14" s="22"/>
      <c r="J14" s="120" t="str">
        <f>TEXT(INT(LEFT(J9,2))+1,"0") &amp; " 
FEELT!CEE1
Circuitos Eletro-Eletrônicos I"</f>
        <v>8 
FEELT!CEE1
Circuitos Eletro-Eletrônicos I</v>
      </c>
      <c r="K14" s="121"/>
      <c r="L14" s="121"/>
      <c r="M14" s="121"/>
      <c r="N14" s="122"/>
      <c r="O14" s="18"/>
      <c r="Q14" s="120" t="str">
        <f>TEXT(INT(LEFT(Q9,2))+1,"0") &amp; "
FEELT!CEE2
Circuitos Eletro-Eletrônicos II"</f>
        <v>13
FEELT!CEE2
Circuitos Eletro-Eletrônicos II</v>
      </c>
      <c r="R14" s="121"/>
      <c r="S14" s="121"/>
      <c r="T14" s="121"/>
      <c r="U14" s="122"/>
      <c r="V14" s="18"/>
      <c r="W14" s="22"/>
      <c r="X14" s="142" t="str">
        <f>TEXT(INT(LEFT(X9,2))+1,"0") &amp; " 
FEELT!MM
Modelagem de Manipuladores"</f>
        <v>18 
FEELT!MM
Modelagem de Manipuladores</v>
      </c>
      <c r="Y14" s="121"/>
      <c r="Z14" s="121"/>
      <c r="AA14" s="121"/>
      <c r="AB14" s="122"/>
      <c r="AC14" s="18"/>
      <c r="AD14" s="22"/>
      <c r="AE14" s="138" t="str">
        <f>TEXT(INT(LEFT(AE9,2))+1,"0") &amp; " 
FEELT!CVRM
Conversão de Energia e Maquinas"</f>
        <v>25 
FEELT!CVRM
Conversão de Energia e Maquinas</v>
      </c>
      <c r="AF14" s="121"/>
      <c r="AG14" s="121"/>
      <c r="AH14" s="121"/>
      <c r="AI14" s="122"/>
      <c r="AJ14" s="18"/>
      <c r="AK14" s="18"/>
      <c r="AL14" s="138" t="str">
        <f>TEXT(INT(LEFT(AL9,2))+1,"0") &amp; " 
FEELT!PAI
Proteção e Acionamentos Industriais"</f>
        <v>32 
FEELT!PAI
Proteção e Acionamentos Industriais</v>
      </c>
      <c r="AM14" s="121"/>
      <c r="AN14" s="121"/>
      <c r="AO14" s="121"/>
      <c r="AP14" s="122"/>
      <c r="AQ14" s="18"/>
      <c r="AR14" s="8"/>
      <c r="AS14" s="135" t="str">
        <f>TEXT(INT(LEFT(AS9,2))+1,"0") &amp; " 
FEELT!AC
Atividades Complementares"</f>
        <v>38 
FEELT!AC
Atividades Complementares</v>
      </c>
      <c r="AT14" s="121"/>
      <c r="AU14" s="121"/>
      <c r="AV14" s="121"/>
      <c r="AW14" s="122"/>
      <c r="AX14" s="8"/>
      <c r="AY14" s="18"/>
      <c r="AZ14" s="8"/>
      <c r="BA14" s="8"/>
      <c r="BB14" s="20" t="s">
        <v>15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16</v>
      </c>
      <c r="BX14" s="8"/>
      <c r="BY14" s="8"/>
      <c r="BZ14" s="8"/>
    </row>
    <row r="15" spans="1:78" ht="16.5" customHeight="1" x14ac:dyDescent="0.25">
      <c r="B15" s="27"/>
      <c r="C15" s="123"/>
      <c r="D15" s="124"/>
      <c r="E15" s="124"/>
      <c r="F15" s="124"/>
      <c r="G15" s="125"/>
      <c r="H15" s="18"/>
      <c r="I15" s="18"/>
      <c r="J15" s="123"/>
      <c r="K15" s="124"/>
      <c r="L15" s="124"/>
      <c r="M15" s="124"/>
      <c r="N15" s="125"/>
      <c r="O15" s="18"/>
      <c r="P15" s="18"/>
      <c r="Q15" s="123"/>
      <c r="R15" s="124"/>
      <c r="S15" s="124"/>
      <c r="T15" s="124"/>
      <c r="U15" s="125"/>
      <c r="V15" s="18"/>
      <c r="W15" s="23" t="str">
        <f>LEFT(J9,2)</f>
        <v xml:space="preserve">7 </v>
      </c>
      <c r="X15" s="123"/>
      <c r="Y15" s="124"/>
      <c r="Z15" s="124"/>
      <c r="AA15" s="124"/>
      <c r="AB15" s="125"/>
      <c r="AC15" s="18"/>
      <c r="AD15" s="23" t="str">
        <f>LEFT(J14,2)</f>
        <v xml:space="preserve">8 </v>
      </c>
      <c r="AE15" s="123"/>
      <c r="AF15" s="124"/>
      <c r="AG15" s="124"/>
      <c r="AH15" s="124"/>
      <c r="AI15" s="125"/>
      <c r="AJ15" s="18"/>
      <c r="AK15" s="18"/>
      <c r="AL15" s="123"/>
      <c r="AM15" s="124"/>
      <c r="AN15" s="124"/>
      <c r="AO15" s="124"/>
      <c r="AP15" s="125"/>
      <c r="AQ15" s="18"/>
      <c r="AR15" s="8"/>
      <c r="AS15" s="123"/>
      <c r="AT15" s="124"/>
      <c r="AU15" s="124"/>
      <c r="AV15" s="124"/>
      <c r="AW15" s="125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17</v>
      </c>
      <c r="BX15" s="8"/>
      <c r="BY15" s="8"/>
      <c r="BZ15" s="8"/>
    </row>
    <row r="16" spans="1:78" ht="14.25" customHeight="1" x14ac:dyDescent="0.25">
      <c r="B16" s="27"/>
      <c r="C16" s="126"/>
      <c r="D16" s="127"/>
      <c r="E16" s="127"/>
      <c r="F16" s="127"/>
      <c r="G16" s="128"/>
      <c r="H16" s="18"/>
      <c r="I16" s="29" t="str">
        <f>LEFT(C9,2)</f>
        <v xml:space="preserve">1 </v>
      </c>
      <c r="J16" s="126"/>
      <c r="K16" s="127"/>
      <c r="L16" s="127"/>
      <c r="M16" s="127"/>
      <c r="N16" s="128"/>
      <c r="O16" s="18"/>
      <c r="P16" s="23" t="str">
        <f>LEFT(J14,2)</f>
        <v xml:space="preserve">8 </v>
      </c>
      <c r="Q16" s="126"/>
      <c r="R16" s="127"/>
      <c r="S16" s="127"/>
      <c r="T16" s="127"/>
      <c r="U16" s="128"/>
      <c r="V16" s="18"/>
      <c r="W16" s="23" t="str">
        <f>LEFT(Q24,2)</f>
        <v>15</v>
      </c>
      <c r="X16" s="126"/>
      <c r="Y16" s="127"/>
      <c r="Z16" s="127"/>
      <c r="AA16" s="127"/>
      <c r="AB16" s="128"/>
      <c r="AC16" s="18"/>
      <c r="AD16" s="23" t="str">
        <f>LEFT(Q14,2)</f>
        <v>13</v>
      </c>
      <c r="AE16" s="126"/>
      <c r="AF16" s="127"/>
      <c r="AG16" s="127"/>
      <c r="AH16" s="127"/>
      <c r="AI16" s="128"/>
      <c r="AJ16" s="18"/>
      <c r="AK16" s="18"/>
      <c r="AL16" s="126"/>
      <c r="AM16" s="127"/>
      <c r="AN16" s="127"/>
      <c r="AO16" s="127"/>
      <c r="AP16" s="128"/>
      <c r="AQ16" s="18"/>
      <c r="AR16" s="8"/>
      <c r="AS16" s="126"/>
      <c r="AT16" s="127"/>
      <c r="AU16" s="127"/>
      <c r="AV16" s="127"/>
      <c r="AW16" s="128"/>
      <c r="AX16" s="8"/>
      <c r="AY16" s="18"/>
      <c r="AZ16" s="18"/>
      <c r="BA16" s="18"/>
      <c r="BB16" s="96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18</v>
      </c>
      <c r="BX16" s="8"/>
      <c r="BY16" s="8"/>
      <c r="BZ16" s="18"/>
    </row>
    <row r="17" spans="1:90" ht="12" customHeight="1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15</v>
      </c>
      <c r="M17" s="30">
        <v>0</v>
      </c>
      <c r="N17" s="30">
        <f>SUM(J17:M17)</f>
        <v>90</v>
      </c>
      <c r="O17" s="18"/>
      <c r="P17" s="22"/>
      <c r="Q17" s="30">
        <v>60</v>
      </c>
      <c r="R17" s="30">
        <v>15</v>
      </c>
      <c r="S17" s="30">
        <v>15</v>
      </c>
      <c r="T17" s="30">
        <v>0</v>
      </c>
      <c r="U17" s="30">
        <f>SUM(Q17:T17)</f>
        <v>90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97">
        <v>60</v>
      </c>
      <c r="AF17" s="97">
        <v>0</v>
      </c>
      <c r="AG17" s="97">
        <v>15</v>
      </c>
      <c r="AH17" s="97">
        <v>0</v>
      </c>
      <c r="AI17" s="97">
        <f>SUM(AE17:AH17)</f>
        <v>75</v>
      </c>
      <c r="AJ17" s="18"/>
      <c r="AK17" s="18"/>
      <c r="AL17" s="97">
        <v>60</v>
      </c>
      <c r="AM17" s="97">
        <v>0</v>
      </c>
      <c r="AN17" s="97">
        <v>15</v>
      </c>
      <c r="AO17" s="97">
        <v>0</v>
      </c>
      <c r="AP17" s="97">
        <f>SUM(AL17:AO17)</f>
        <v>75</v>
      </c>
      <c r="AQ17" s="18"/>
      <c r="AR17" s="8"/>
      <c r="AS17" s="24">
        <v>0</v>
      </c>
      <c r="AT17" s="24">
        <v>0</v>
      </c>
      <c r="AU17" s="24">
        <v>0</v>
      </c>
      <c r="AV17" s="24">
        <v>0</v>
      </c>
      <c r="AW17" s="24">
        <v>60</v>
      </c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25">
      <c r="B18" s="17"/>
      <c r="C18" s="18"/>
      <c r="D18" s="18"/>
      <c r="E18" s="18"/>
      <c r="F18" s="18"/>
      <c r="G18" s="18"/>
      <c r="H18" s="1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25">
      <c r="A19" s="31"/>
      <c r="B19" s="17"/>
      <c r="C19" s="129" t="str">
        <f>TEXT(INT(LEFT(C14,2))+1,"0") &amp; " 
FEMEC39101
Expressão Gráfica"</f>
        <v>3 
FEMEC39101
Expressão Gráfica</v>
      </c>
      <c r="D19" s="121"/>
      <c r="E19" s="121"/>
      <c r="F19" s="121"/>
      <c r="G19" s="122"/>
      <c r="H19" s="18"/>
      <c r="I19" s="8"/>
      <c r="J19" s="142" t="str">
        <f>TEXT(INT(LEFT(J14,2))+1,"0") &amp; " 
FEELT!MS1
Modelagem de Sistemas I"</f>
        <v>9 
FEELT!MS1
Modelagem de Sistemas I</v>
      </c>
      <c r="K19" s="121"/>
      <c r="L19" s="121"/>
      <c r="M19" s="121"/>
      <c r="N19" s="122"/>
      <c r="O19" s="18"/>
      <c r="P19" s="8"/>
      <c r="Q19" s="138" t="str">
        <f>TEXT(INT(LEFT(Q14,2))+1,"0") &amp; " 
FEELT!MECT
Materias Elétricos e Circuitos Trifásicos"</f>
        <v>14 
FEELT!MECT
Materias Elétricos e Circuitos Trifásicos</v>
      </c>
      <c r="R19" s="121"/>
      <c r="S19" s="121"/>
      <c r="T19" s="121"/>
      <c r="U19" s="122"/>
      <c r="V19" s="18"/>
      <c r="W19" s="8"/>
      <c r="X19" s="129" t="str">
        <f>TEXT(INT(LEFT(X14,2))+1,"0") &amp; " 
FEQUI39401
Fenômenos de Transporte"</f>
        <v>19 
FEQUI39401
Fenômenos de Transporte</v>
      </c>
      <c r="Y19" s="121"/>
      <c r="Z19" s="121"/>
      <c r="AA19" s="121"/>
      <c r="AB19" s="122"/>
      <c r="AC19" s="18"/>
      <c r="AD19" s="22"/>
      <c r="AE19" s="145" t="str">
        <f>TEXT(INT(LEFT(AE14,2))+1,"0") &amp; " 
FEELT!ESCR
Experimental de Sistemas de Controle Realimentado"</f>
        <v>26 
FEELT!ESCR
Experimental de Sistemas de Controle Realimentado</v>
      </c>
      <c r="AF19" s="121"/>
      <c r="AG19" s="121"/>
      <c r="AH19" s="121"/>
      <c r="AI19" s="122"/>
      <c r="AJ19" s="18"/>
      <c r="AL19" s="146" t="str">
        <f>TEXT(INT(LEFT(AL14,2))+1,"0") &amp; " 
FEELT31603
Instalações Elétricas"</f>
        <v>33 
FEELT31603
Instalações Elétricas</v>
      </c>
      <c r="AM19" s="121"/>
      <c r="AN19" s="121"/>
      <c r="AO19" s="121"/>
      <c r="AP19" s="122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">
      <c r="B20" s="17"/>
      <c r="C20" s="123"/>
      <c r="D20" s="124"/>
      <c r="E20" s="124"/>
      <c r="F20" s="124"/>
      <c r="G20" s="125"/>
      <c r="H20" s="18"/>
      <c r="I20" s="8"/>
      <c r="J20" s="123"/>
      <c r="K20" s="124"/>
      <c r="L20" s="124"/>
      <c r="M20" s="124"/>
      <c r="N20" s="125"/>
      <c r="O20" s="18"/>
      <c r="P20" s="8"/>
      <c r="Q20" s="123"/>
      <c r="R20" s="124"/>
      <c r="S20" s="124"/>
      <c r="T20" s="124"/>
      <c r="U20" s="125"/>
      <c r="V20" s="18"/>
      <c r="W20" s="8"/>
      <c r="X20" s="123"/>
      <c r="Y20" s="124"/>
      <c r="Z20" s="124"/>
      <c r="AA20" s="124"/>
      <c r="AB20" s="125"/>
      <c r="AC20" s="18"/>
      <c r="AD20" s="28" t="str">
        <f>LEFT(AE34,2)</f>
        <v>29</v>
      </c>
      <c r="AE20" s="123"/>
      <c r="AF20" s="124"/>
      <c r="AG20" s="124"/>
      <c r="AH20" s="124"/>
      <c r="AI20" s="125"/>
      <c r="AJ20" s="18"/>
      <c r="AK20" s="28" t="str">
        <f>LEFT(Q14,2)</f>
        <v>13</v>
      </c>
      <c r="AL20" s="123"/>
      <c r="AM20" s="124"/>
      <c r="AN20" s="124"/>
      <c r="AO20" s="124"/>
      <c r="AP20" s="125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25">
      <c r="A21" s="31"/>
      <c r="B21" s="17"/>
      <c r="C21" s="126"/>
      <c r="D21" s="127"/>
      <c r="E21" s="127"/>
      <c r="F21" s="127"/>
      <c r="G21" s="128"/>
      <c r="H21" s="18"/>
      <c r="I21" s="23" t="str">
        <f>LEFT(C9,2)</f>
        <v xml:space="preserve">1 </v>
      </c>
      <c r="J21" s="126"/>
      <c r="K21" s="127"/>
      <c r="L21" s="127"/>
      <c r="M21" s="127"/>
      <c r="N21" s="128"/>
      <c r="O21" s="18"/>
      <c r="P21" s="23" t="str">
        <f>LEFT(J9,2)</f>
        <v xml:space="preserve">7 </v>
      </c>
      <c r="Q21" s="126"/>
      <c r="R21" s="127"/>
      <c r="S21" s="127"/>
      <c r="T21" s="127"/>
      <c r="U21" s="128"/>
      <c r="V21" s="18"/>
      <c r="W21" s="8"/>
      <c r="X21" s="126"/>
      <c r="Y21" s="127"/>
      <c r="Z21" s="127"/>
      <c r="AA21" s="127"/>
      <c r="AB21" s="128"/>
      <c r="AC21" s="18"/>
      <c r="AD21" s="23" t="str">
        <f>LEFT(X29,2)</f>
        <v>21</v>
      </c>
      <c r="AE21" s="126"/>
      <c r="AF21" s="127"/>
      <c r="AG21" s="127"/>
      <c r="AH21" s="127"/>
      <c r="AI21" s="128"/>
      <c r="AJ21" s="18"/>
      <c r="AK21" s="23" t="str">
        <f>LEFT(AL24,2)</f>
        <v>34</v>
      </c>
      <c r="AL21" s="126"/>
      <c r="AM21" s="127"/>
      <c r="AN21" s="127"/>
      <c r="AO21" s="127"/>
      <c r="AP21" s="128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2"/>
      <c r="BW21" s="8"/>
      <c r="BX21" s="8"/>
    </row>
    <row r="22" spans="1:90" ht="11.25" customHeight="1" x14ac:dyDescent="0.25">
      <c r="A22" s="31"/>
      <c r="B22" s="17"/>
      <c r="C22" s="36">
        <v>60</v>
      </c>
      <c r="D22" s="36">
        <v>0</v>
      </c>
      <c r="E22" s="36">
        <v>0</v>
      </c>
      <c r="F22" s="36">
        <v>0</v>
      </c>
      <c r="G22" s="36">
        <f>SUM(C22:F22)</f>
        <v>60</v>
      </c>
      <c r="H22" s="18"/>
      <c r="I22" s="8"/>
      <c r="J22" s="33">
        <f>60</f>
        <v>60</v>
      </c>
      <c r="K22" s="33">
        <v>0</v>
      </c>
      <c r="L22" s="33">
        <v>0</v>
      </c>
      <c r="M22" s="33">
        <v>0</v>
      </c>
      <c r="N22" s="33">
        <f>SUM(J22:L22)</f>
        <v>60</v>
      </c>
      <c r="O22" s="18"/>
      <c r="P22" s="22"/>
      <c r="Q22" s="97">
        <v>30</v>
      </c>
      <c r="R22" s="97">
        <v>0</v>
      </c>
      <c r="S22" s="97">
        <v>15</v>
      </c>
      <c r="T22" s="97">
        <v>0</v>
      </c>
      <c r="U22" s="97">
        <f>SUM(Q22:T22)</f>
        <v>45</v>
      </c>
      <c r="V22" s="18"/>
      <c r="W22" s="8"/>
      <c r="X22" s="36">
        <v>60</v>
      </c>
      <c r="Y22" s="36">
        <v>0</v>
      </c>
      <c r="Z22" s="36">
        <v>0</v>
      </c>
      <c r="AA22" s="36">
        <v>0</v>
      </c>
      <c r="AB22" s="36">
        <f>SUM(X22:AA22)</f>
        <v>60</v>
      </c>
      <c r="AC22" s="18"/>
      <c r="AD22" s="22"/>
      <c r="AE22" s="99">
        <v>0</v>
      </c>
      <c r="AF22" s="99">
        <v>0</v>
      </c>
      <c r="AG22" s="99">
        <v>30</v>
      </c>
      <c r="AH22" s="99">
        <v>0</v>
      </c>
      <c r="AI22" s="99">
        <f>SUM(AE22:AH22)</f>
        <v>30</v>
      </c>
      <c r="AJ22" s="18"/>
      <c r="AK22" s="22"/>
      <c r="AL22" s="102">
        <v>30</v>
      </c>
      <c r="AM22" s="102">
        <v>0</v>
      </c>
      <c r="AN22" s="102">
        <v>0</v>
      </c>
      <c r="AO22" s="102">
        <v>0</v>
      </c>
      <c r="AP22" s="102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25">
      <c r="B24" s="17"/>
      <c r="C24" s="135" t="str">
        <f>TEXT(INT(LEFT(C19,2))+1,"0") &amp; " 
FEELT!IABI
Introdução à Área Básica de Ingresso em Automação, Robótica e IA"</f>
        <v>4 
FEELT!IABI
Introdução à Área Básica de Ingresso em Automação, Robótica e IA</v>
      </c>
      <c r="D24" s="121"/>
      <c r="E24" s="121"/>
      <c r="F24" s="121"/>
      <c r="G24" s="122"/>
      <c r="H24" s="18"/>
      <c r="I24" s="18"/>
      <c r="J24" s="137" t="str">
        <f>TEXT(INT(LEFT(J19,2))+1,"0") &amp; " 
FEELT!IINDI
Informática Industrial I"</f>
        <v>10 
FEELT!IINDI
Informática Industrial I</v>
      </c>
      <c r="K24" s="121"/>
      <c r="L24" s="121"/>
      <c r="M24" s="121"/>
      <c r="N24" s="122"/>
      <c r="O24" s="18"/>
      <c r="P24" s="18"/>
      <c r="Q24" s="142" t="str">
        <f>TEXT(INT(LEFT(Q19,2))+1,"0") &amp; " 
FEELT!MS2
Modelagem de Sistemas II"</f>
        <v>15 
FEELT!MS2
Modelagem de Sistemas II</v>
      </c>
      <c r="R24" s="121"/>
      <c r="S24" s="121"/>
      <c r="T24" s="121"/>
      <c r="U24" s="122"/>
      <c r="V24" s="18"/>
      <c r="W24" s="22"/>
      <c r="X24" s="137" t="str">
        <f>TEXT(INT(LEFT(X19,2))+1,"0") &amp; " 
FEELT!RICAI
Redes Industriais para Controle e Automação I"</f>
        <v>20 
FEELT!RICAI
Redes Industriais para Controle e Automação I</v>
      </c>
      <c r="Y24" s="121"/>
      <c r="Z24" s="121"/>
      <c r="AA24" s="121"/>
      <c r="AB24" s="122"/>
      <c r="AC24" s="18"/>
      <c r="AD24" s="22"/>
      <c r="AE24" s="142" t="str">
        <f>TEXT(INT(LEFT(AE19,2))+1,"0") &amp; " 
FEELT!MRII
Manipuladores Robóticos Industriais e Inteligentes"</f>
        <v>27 
FEELT!MRII
Manipuladores Robóticos Industriais e Inteligentes</v>
      </c>
      <c r="AF24" s="121"/>
      <c r="AG24" s="121"/>
      <c r="AH24" s="121"/>
      <c r="AI24" s="122"/>
      <c r="AJ24" s="18"/>
      <c r="AL24" s="146" t="str">
        <f>TEXT(INT(LEFT(AL19,2))+1,"0") &amp; " 
FEELT31604
Experimental de
Instalações
Elétricas"</f>
        <v>34 
FEELT31604
Experimental de
Instalações
Elétricas</v>
      </c>
      <c r="AM24" s="121"/>
      <c r="AN24" s="121"/>
      <c r="AO24" s="121"/>
      <c r="AP24" s="122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">
      <c r="B25" s="17"/>
      <c r="C25" s="123"/>
      <c r="D25" s="124"/>
      <c r="E25" s="124"/>
      <c r="F25" s="124"/>
      <c r="G25" s="125"/>
      <c r="H25" s="18"/>
      <c r="I25" s="22"/>
      <c r="J25" s="123"/>
      <c r="K25" s="124"/>
      <c r="L25" s="124"/>
      <c r="M25" s="124"/>
      <c r="N25" s="125"/>
      <c r="O25" s="18"/>
      <c r="P25" s="23" t="str">
        <f>LEFT(J9,2)</f>
        <v xml:space="preserve">7 </v>
      </c>
      <c r="Q25" s="123"/>
      <c r="R25" s="124"/>
      <c r="S25" s="124"/>
      <c r="T25" s="124"/>
      <c r="U25" s="125"/>
      <c r="V25" s="18"/>
      <c r="W25" s="8"/>
      <c r="X25" s="123"/>
      <c r="Y25" s="124"/>
      <c r="Z25" s="124"/>
      <c r="AA25" s="124"/>
      <c r="AB25" s="125"/>
      <c r="AC25" s="18"/>
      <c r="AD25" s="29" t="str">
        <f>LEFT(X14,2)</f>
        <v>18</v>
      </c>
      <c r="AE25" s="123"/>
      <c r="AF25" s="124"/>
      <c r="AG25" s="124"/>
      <c r="AH25" s="124"/>
      <c r="AI25" s="125"/>
      <c r="AJ25" s="18"/>
      <c r="AK25" s="28" t="str">
        <f>LEFT(AL19,2)</f>
        <v>33</v>
      </c>
      <c r="AL25" s="123"/>
      <c r="AM25" s="124"/>
      <c r="AN25" s="124"/>
      <c r="AO25" s="124"/>
      <c r="AP25" s="125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5"/>
    </row>
    <row r="26" spans="1:90" ht="25.5" customHeight="1" thickTop="1" thickBot="1" x14ac:dyDescent="0.3">
      <c r="B26" s="17"/>
      <c r="C26" s="126"/>
      <c r="D26" s="127"/>
      <c r="E26" s="127"/>
      <c r="F26" s="127"/>
      <c r="G26" s="128"/>
      <c r="H26" s="18"/>
      <c r="I26" s="23" t="str">
        <f>LEFT(C34,2)</f>
        <v xml:space="preserve">6 </v>
      </c>
      <c r="J26" s="126"/>
      <c r="K26" s="127"/>
      <c r="L26" s="127"/>
      <c r="M26" s="127"/>
      <c r="N26" s="128"/>
      <c r="O26" s="18"/>
      <c r="P26" s="23" t="str">
        <f>LEFT(J19,2)</f>
        <v xml:space="preserve">9 </v>
      </c>
      <c r="Q26" s="126"/>
      <c r="R26" s="127"/>
      <c r="S26" s="127"/>
      <c r="T26" s="127"/>
      <c r="U26" s="128"/>
      <c r="V26" s="18"/>
      <c r="W26" s="29" t="str">
        <f>LEFT(Q29,2)</f>
        <v>16</v>
      </c>
      <c r="X26" s="126"/>
      <c r="Y26" s="127"/>
      <c r="Z26" s="127"/>
      <c r="AA26" s="127"/>
      <c r="AB26" s="128"/>
      <c r="AC26" s="18"/>
      <c r="AD26" s="28" t="str">
        <f>LEFT(AE34,2)</f>
        <v>29</v>
      </c>
      <c r="AE26" s="126"/>
      <c r="AF26" s="127"/>
      <c r="AG26" s="127"/>
      <c r="AH26" s="127"/>
      <c r="AI26" s="128"/>
      <c r="AJ26" s="18"/>
      <c r="AK26" s="23" t="str">
        <f>LEFT(Q14,2)</f>
        <v>13</v>
      </c>
      <c r="AL26" s="126"/>
      <c r="AM26" s="127"/>
      <c r="AN26" s="127"/>
      <c r="AO26" s="127"/>
      <c r="AP26" s="128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5"/>
    </row>
    <row r="27" spans="1:90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18"/>
      <c r="J27" s="98">
        <v>30</v>
      </c>
      <c r="K27" s="98">
        <v>0</v>
      </c>
      <c r="L27" s="98">
        <v>30</v>
      </c>
      <c r="M27" s="98">
        <v>0</v>
      </c>
      <c r="N27" s="98">
        <f>SUM(J27:M27)</f>
        <v>60</v>
      </c>
      <c r="O27" s="18"/>
      <c r="P27" s="18"/>
      <c r="Q27" s="33">
        <v>60</v>
      </c>
      <c r="R27" s="33">
        <v>0</v>
      </c>
      <c r="S27" s="33">
        <v>0</v>
      </c>
      <c r="T27" s="33">
        <v>0</v>
      </c>
      <c r="U27" s="33">
        <f>SUM(Q27:T27)</f>
        <v>60</v>
      </c>
      <c r="V27" s="18"/>
      <c r="W27" s="22"/>
      <c r="X27" s="98">
        <v>0</v>
      </c>
      <c r="Y27" s="98">
        <v>60</v>
      </c>
      <c r="Z27" s="98">
        <v>15</v>
      </c>
      <c r="AA27" s="98">
        <v>0</v>
      </c>
      <c r="AB27" s="98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102">
        <v>0</v>
      </c>
      <c r="AM27" s="102">
        <v>0</v>
      </c>
      <c r="AN27" s="102">
        <v>30</v>
      </c>
      <c r="AO27" s="102">
        <v>0</v>
      </c>
      <c r="AP27" s="102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5"/>
    </row>
    <row r="28" spans="1:90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18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5"/>
      <c r="BW28" s="20" t="s">
        <v>19</v>
      </c>
      <c r="BX28" s="21">
        <f>SUM(BU8:BU15)</f>
        <v>0</v>
      </c>
    </row>
    <row r="29" spans="1:90" ht="11.25" customHeight="1" thickBot="1" x14ac:dyDescent="0.3">
      <c r="B29" s="17"/>
      <c r="C29" s="120" t="str">
        <f>TEXT(INT(LEFT(C24,2))+1,"0") &amp; " 
FEELT!DCA
Dispositivos Ciberfísicos para IoT E IIoT"</f>
        <v>5 
FEELT!DCA
Dispositivos Ciberfísicos para IoT E IIoT</v>
      </c>
      <c r="D29" s="121"/>
      <c r="E29" s="121"/>
      <c r="F29" s="121"/>
      <c r="G29" s="122"/>
      <c r="H29" s="18"/>
      <c r="I29" s="18"/>
      <c r="J29" s="144" t="str">
        <f>TEXT(INT(LEFT(J24,2))+1,"0") &amp; " 
FEELT!IAAA
Inteligência Artificial Aplicada em Automação"</f>
        <v>11 
FEELT!IAAA
Inteligência Artificial Aplicada em Automação</v>
      </c>
      <c r="K29" s="121"/>
      <c r="L29" s="121"/>
      <c r="M29" s="121"/>
      <c r="N29" s="122"/>
      <c r="O29" s="18"/>
      <c r="P29" s="22"/>
      <c r="Q29" s="137" t="str">
        <f>TEXT(INT(LEFT(Q24,2))+1,"0") &amp; " 
FEELT!IINDII
Informática Industrial II"</f>
        <v>16 
FEELT!IINDII
Informática Industrial II</v>
      </c>
      <c r="R29" s="121"/>
      <c r="S29" s="121"/>
      <c r="T29" s="121"/>
      <c r="U29" s="122"/>
      <c r="V29" s="18"/>
      <c r="W29" s="22"/>
      <c r="X29" s="145" t="str">
        <f>TEXT(INT(LEFT(X24,2))+1,"0") &amp; " 
FEELT!PS
Processamento de Sinais"</f>
        <v>21 
FEELT!PS
Processamento de Sinais</v>
      </c>
      <c r="Y29" s="121"/>
      <c r="Z29" s="121"/>
      <c r="AA29" s="121"/>
      <c r="AB29" s="122"/>
      <c r="AC29" s="18"/>
      <c r="AD29" s="22"/>
      <c r="AE29" s="137" t="str">
        <f>TEXT(INT(LEFT(AE24,2))+1,"0") &amp; " 
FEELT!RICAII
Redes Industriais para Controle e Automação II"</f>
        <v>28 
FEELT!RICAII
Redes Industriais para Controle e Automação II</v>
      </c>
      <c r="AF29" s="121"/>
      <c r="AG29" s="121"/>
      <c r="AH29" s="121"/>
      <c r="AI29" s="122"/>
      <c r="AJ29" s="18"/>
      <c r="AL29" s="148" t="str">
        <f>TEXT(INT(LEFT(AL24,2))+1,"0") &amp; " 
FEELT!PI
Projeto Interdisciplinar"</f>
        <v>35 
FEELT!PI
Projeto Interdisciplinar</v>
      </c>
      <c r="AM29" s="121"/>
      <c r="AN29" s="121"/>
      <c r="AO29" s="121"/>
      <c r="AP29" s="122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18"/>
      <c r="BB29" s="8"/>
      <c r="BC29" s="18"/>
      <c r="BD29" s="37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5"/>
      <c r="BW29" s="8"/>
      <c r="BX29" s="8"/>
    </row>
    <row r="30" spans="1:90" ht="12.75" customHeight="1" x14ac:dyDescent="0.25">
      <c r="B30" s="17"/>
      <c r="C30" s="123"/>
      <c r="D30" s="124"/>
      <c r="E30" s="124"/>
      <c r="F30" s="124"/>
      <c r="G30" s="125"/>
      <c r="H30" s="18"/>
      <c r="I30" s="22"/>
      <c r="J30" s="123"/>
      <c r="K30" s="124"/>
      <c r="L30" s="124"/>
      <c r="M30" s="124"/>
      <c r="N30" s="125"/>
      <c r="O30" s="18"/>
      <c r="P30" s="22"/>
      <c r="Q30" s="123"/>
      <c r="R30" s="124"/>
      <c r="S30" s="124"/>
      <c r="T30" s="124"/>
      <c r="U30" s="125"/>
      <c r="V30" s="18"/>
      <c r="W30" s="22"/>
      <c r="X30" s="123"/>
      <c r="Y30" s="124"/>
      <c r="Z30" s="124"/>
      <c r="AA30" s="124"/>
      <c r="AB30" s="125"/>
      <c r="AC30" s="18"/>
      <c r="AD30" s="23" t="str">
        <f>LEFT(Q29,2)</f>
        <v>16</v>
      </c>
      <c r="AE30" s="123"/>
      <c r="AF30" s="124"/>
      <c r="AG30" s="124"/>
      <c r="AH30" s="124"/>
      <c r="AI30" s="125"/>
      <c r="AJ30" s="18"/>
      <c r="AL30" s="123"/>
      <c r="AM30" s="124"/>
      <c r="AN30" s="124"/>
      <c r="AO30" s="124"/>
      <c r="AP30" s="125"/>
      <c r="AQ30" s="18"/>
      <c r="AR30" s="22"/>
      <c r="AS30" s="18"/>
      <c r="AT30" s="18"/>
      <c r="AU30" s="18"/>
      <c r="AV30" s="18"/>
      <c r="AW30" s="18"/>
      <c r="AX30" s="8"/>
      <c r="AY30" s="8"/>
      <c r="AZ30" s="18"/>
      <c r="BA30" s="18"/>
      <c r="BB30" s="8"/>
      <c r="BC30" s="18"/>
      <c r="BD30" s="37"/>
      <c r="BE30" s="39"/>
      <c r="BF30" s="40" t="s">
        <v>20</v>
      </c>
      <c r="BG30" s="40"/>
      <c r="BH30" s="41"/>
      <c r="BI30" s="41"/>
      <c r="BJ30" s="41"/>
      <c r="BK30" s="42"/>
      <c r="BL30" s="43"/>
      <c r="BM30" s="8"/>
      <c r="BN30" s="8"/>
      <c r="BO30" s="8"/>
      <c r="BP30" s="8"/>
      <c r="BQ30" s="8"/>
      <c r="BR30" s="8"/>
      <c r="BS30" s="35"/>
      <c r="BW30" s="8"/>
      <c r="BX30" s="8"/>
    </row>
    <row r="31" spans="1:90" ht="40.5" customHeight="1" x14ac:dyDescent="0.25">
      <c r="B31" s="17"/>
      <c r="C31" s="126"/>
      <c r="D31" s="127"/>
      <c r="E31" s="127"/>
      <c r="F31" s="127"/>
      <c r="G31" s="128"/>
      <c r="H31" s="18"/>
      <c r="I31" s="23" t="str">
        <f>LEFT(C39,2)</f>
        <v/>
      </c>
      <c r="J31" s="126"/>
      <c r="K31" s="127"/>
      <c r="L31" s="127"/>
      <c r="M31" s="127"/>
      <c r="N31" s="128"/>
      <c r="O31" s="18"/>
      <c r="P31" s="23" t="str">
        <f>LEFT(J24,2)</f>
        <v>10</v>
      </c>
      <c r="Q31" s="126"/>
      <c r="R31" s="127"/>
      <c r="S31" s="127"/>
      <c r="T31" s="127"/>
      <c r="U31" s="128"/>
      <c r="V31" s="18"/>
      <c r="W31" s="23" t="str">
        <f>LEFT(Q9,2)</f>
        <v>12</v>
      </c>
      <c r="X31" s="126"/>
      <c r="Y31" s="127"/>
      <c r="Z31" s="127"/>
      <c r="AA31" s="127"/>
      <c r="AB31" s="128"/>
      <c r="AC31" s="18"/>
      <c r="AD31" s="23" t="str">
        <f>LEFT(X24,2)</f>
        <v>20</v>
      </c>
      <c r="AE31" s="126"/>
      <c r="AF31" s="127"/>
      <c r="AG31" s="127"/>
      <c r="AH31" s="127"/>
      <c r="AI31" s="128"/>
      <c r="AJ31" s="18"/>
      <c r="AL31" s="126"/>
      <c r="AM31" s="127"/>
      <c r="AN31" s="127"/>
      <c r="AO31" s="127"/>
      <c r="AP31" s="128"/>
      <c r="AQ31" s="18"/>
      <c r="AR31" s="8"/>
      <c r="AS31" s="18"/>
      <c r="AT31" s="18"/>
      <c r="AU31" s="18"/>
      <c r="AV31" s="18"/>
      <c r="AW31" s="18"/>
      <c r="AX31" s="8"/>
      <c r="AY31" s="8"/>
      <c r="AZ31" s="18"/>
      <c r="BA31" s="18"/>
      <c r="BB31" s="18"/>
      <c r="BC31" s="18"/>
      <c r="BD31" s="37"/>
      <c r="BE31" s="44"/>
      <c r="BF31" s="66"/>
      <c r="BG31" s="64"/>
      <c r="BH31" s="45" t="s">
        <v>21</v>
      </c>
      <c r="BI31" s="45"/>
      <c r="BJ31" s="45"/>
      <c r="BK31" s="8"/>
      <c r="BL31" s="19"/>
      <c r="BM31" s="8"/>
      <c r="BN31" s="8"/>
      <c r="BO31" s="8"/>
      <c r="BP31" s="8"/>
      <c r="BQ31" s="8"/>
      <c r="BR31" s="8"/>
      <c r="BS31" s="35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Bot="1" x14ac:dyDescent="0.3">
      <c r="B32" s="17"/>
      <c r="C32" s="30">
        <v>0</v>
      </c>
      <c r="D32" s="30">
        <v>60</v>
      </c>
      <c r="E32" s="30">
        <v>15</v>
      </c>
      <c r="F32" s="30">
        <v>0</v>
      </c>
      <c r="G32" s="30">
        <f>SUM(C32:F32)</f>
        <v>75</v>
      </c>
      <c r="H32" s="18"/>
      <c r="I32" s="18"/>
      <c r="J32" s="101">
        <v>0</v>
      </c>
      <c r="K32" s="101">
        <v>45</v>
      </c>
      <c r="L32" s="101">
        <v>15</v>
      </c>
      <c r="M32" s="101">
        <v>0</v>
      </c>
      <c r="N32" s="101">
        <f>SUM(J32:M32)</f>
        <v>60</v>
      </c>
      <c r="O32" s="18"/>
      <c r="P32" s="22"/>
      <c r="Q32" s="98">
        <v>30</v>
      </c>
      <c r="R32" s="98">
        <v>0</v>
      </c>
      <c r="S32" s="98">
        <v>30</v>
      </c>
      <c r="T32" s="98">
        <v>0</v>
      </c>
      <c r="U32" s="98">
        <f>SUM(Q32:T32)</f>
        <v>60</v>
      </c>
      <c r="V32" s="18"/>
      <c r="W32" s="22"/>
      <c r="X32" s="99">
        <v>75</v>
      </c>
      <c r="Y32" s="99">
        <v>0</v>
      </c>
      <c r="Z32" s="99">
        <v>0</v>
      </c>
      <c r="AA32" s="99">
        <v>0</v>
      </c>
      <c r="AB32" s="99">
        <f>SUM(X32:AA32)</f>
        <v>75</v>
      </c>
      <c r="AC32" s="18"/>
      <c r="AD32" s="22"/>
      <c r="AE32" s="98">
        <v>30</v>
      </c>
      <c r="AF32" s="98">
        <v>0</v>
      </c>
      <c r="AG32" s="98">
        <v>30</v>
      </c>
      <c r="AH32" s="98">
        <v>0</v>
      </c>
      <c r="AI32" s="98">
        <f>SUM(AE32:AH32)</f>
        <v>60</v>
      </c>
      <c r="AJ32" s="18"/>
      <c r="AL32" s="104">
        <v>30</v>
      </c>
      <c r="AM32" s="104">
        <v>0</v>
      </c>
      <c r="AN32" s="104">
        <v>0</v>
      </c>
      <c r="AO32" s="104">
        <v>0</v>
      </c>
      <c r="AP32" s="104">
        <f>SUM(AL32:AO32)</f>
        <v>30</v>
      </c>
      <c r="AQ32" s="18"/>
      <c r="AR32" s="8"/>
      <c r="AS32" s="18"/>
      <c r="AT32" s="18"/>
      <c r="AU32" s="18"/>
      <c r="AV32" s="18"/>
      <c r="AW32" s="18"/>
      <c r="AX32" s="8"/>
      <c r="AY32" s="8"/>
      <c r="AZ32" s="18"/>
      <c r="BA32" s="18"/>
      <c r="BB32" s="18"/>
      <c r="BC32" s="18"/>
      <c r="BD32" s="47"/>
      <c r="BE32" s="17"/>
      <c r="BF32" s="67"/>
      <c r="BG32" s="47"/>
      <c r="BH32" s="45" t="s">
        <v>22</v>
      </c>
      <c r="BI32" s="45"/>
      <c r="BJ32" s="45"/>
      <c r="BK32" s="8"/>
      <c r="BL32" s="19"/>
      <c r="BM32" s="8"/>
      <c r="BN32" s="8"/>
      <c r="BO32" s="8"/>
      <c r="BP32" s="8"/>
      <c r="BQ32" s="8"/>
      <c r="BR32" s="8"/>
      <c r="BS32" s="35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47"/>
      <c r="BD33" s="18"/>
      <c r="BE33" s="17"/>
      <c r="BF33" s="49"/>
      <c r="BG33" s="49"/>
      <c r="BH33" s="49"/>
      <c r="BI33" s="49"/>
      <c r="BJ33" s="49"/>
      <c r="BK33" s="8"/>
      <c r="BL33" s="19"/>
      <c r="BM33" s="47"/>
      <c r="BN33" s="8"/>
      <c r="BO33" s="8"/>
      <c r="BP33" s="8"/>
      <c r="BQ33" s="8"/>
      <c r="BR33" s="8"/>
      <c r="BS33" s="35"/>
    </row>
    <row r="34" spans="1:71" ht="18" customHeight="1" x14ac:dyDescent="0.25">
      <c r="B34" s="17"/>
      <c r="C34" s="120" t="str">
        <f>TEXT(INT(LEFT(C29,2))+1,"0") &amp; " 
FEELT!SDG
Sistemas Digitais para Automação"</f>
        <v>6 
FEELT!SDG
Sistemas Digitais para Automação</v>
      </c>
      <c r="D34" s="121"/>
      <c r="E34" s="121"/>
      <c r="F34" s="121"/>
      <c r="G34" s="122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22"/>
      <c r="X34" s="129" t="str">
        <f>TEXT(INT(LEFT(X29,2))+1,"0") &amp; " 
FEMEC41080
Sistemas de Controle Hidráulicos e Pneumáticos"</f>
        <v>22 
FEMEC41080
Sistemas de Controle Hidráulicos e Pneumáticos</v>
      </c>
      <c r="Y34" s="121"/>
      <c r="Z34" s="121"/>
      <c r="AA34" s="121"/>
      <c r="AB34" s="122"/>
      <c r="AC34" s="18"/>
      <c r="AD34" s="22"/>
      <c r="AE34" s="145" t="str">
        <f>TEXT(INT(LEFT(AE29,2))+1,"0") &amp; " 
FEELT!SCR
Sistemas de Controle Realimentado"</f>
        <v>29 
FEELT!SCR
Sistemas de Controle Realimentado</v>
      </c>
      <c r="AF34" s="121"/>
      <c r="AG34" s="121"/>
      <c r="AH34" s="121"/>
      <c r="AI34" s="122"/>
      <c r="AJ34" s="18"/>
      <c r="AK34" s="147" t="s">
        <v>23</v>
      </c>
      <c r="AL34" s="148" t="str">
        <f>TEXT(INT(LEFT(AL29,2))+1,"0") &amp; " 
FEELT!ESOI
Estágio Supervisionado Obrigatório I"</f>
        <v>36 
FEELT!ESOI
Estágio Supervisionado Obrigatório I</v>
      </c>
      <c r="AM34" s="121"/>
      <c r="AN34" s="121"/>
      <c r="AO34" s="121"/>
      <c r="AP34" s="122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49"/>
      <c r="BG34" s="49"/>
      <c r="BH34" s="49"/>
      <c r="BI34" s="49"/>
      <c r="BJ34" s="49"/>
      <c r="BK34" s="8"/>
      <c r="BL34" s="19"/>
      <c r="BM34" s="18"/>
      <c r="BN34" s="8"/>
      <c r="BO34" s="8"/>
      <c r="BP34" s="8"/>
      <c r="BQ34" s="8"/>
      <c r="BR34" s="8"/>
      <c r="BS34" s="35"/>
    </row>
    <row r="35" spans="1:71" ht="18" customHeight="1" thickBot="1" x14ac:dyDescent="0.3">
      <c r="B35" s="17"/>
      <c r="C35" s="123"/>
      <c r="D35" s="124"/>
      <c r="E35" s="124"/>
      <c r="F35" s="124"/>
      <c r="G35" s="125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2"/>
      <c r="X35" s="123"/>
      <c r="Y35" s="124"/>
      <c r="Z35" s="124"/>
      <c r="AA35" s="124"/>
      <c r="AB35" s="125"/>
      <c r="AC35" s="18"/>
      <c r="AD35" s="28" t="str">
        <f>LEFT(AE19,2)</f>
        <v>26</v>
      </c>
      <c r="AE35" s="123"/>
      <c r="AF35" s="124"/>
      <c r="AG35" s="124"/>
      <c r="AH35" s="124"/>
      <c r="AI35" s="125"/>
      <c r="AJ35" s="18"/>
      <c r="AK35" s="125"/>
      <c r="AL35" s="123"/>
      <c r="AM35" s="124"/>
      <c r="AN35" s="124"/>
      <c r="AO35" s="124"/>
      <c r="AP35" s="125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38"/>
      <c r="BD35" s="37"/>
      <c r="BE35" s="50"/>
      <c r="BF35" s="51"/>
      <c r="BG35" s="51"/>
      <c r="BH35" s="51"/>
      <c r="BI35" s="51"/>
      <c r="BJ35" s="51"/>
      <c r="BK35" s="51"/>
      <c r="BL35" s="52"/>
      <c r="BM35" s="18"/>
      <c r="BN35" s="8"/>
      <c r="BO35" s="8"/>
      <c r="BP35" s="8"/>
      <c r="BQ35" s="8"/>
      <c r="BR35" s="8"/>
      <c r="BS35" s="35"/>
    </row>
    <row r="36" spans="1:71" ht="22.5" customHeight="1" thickTop="1" thickBot="1" x14ac:dyDescent="0.3">
      <c r="B36" s="17"/>
      <c r="C36" s="126"/>
      <c r="D36" s="127"/>
      <c r="E36" s="127"/>
      <c r="F36" s="127"/>
      <c r="G36" s="12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28" t="str">
        <f>LEFT(X19,2)</f>
        <v>19</v>
      </c>
      <c r="X36" s="126"/>
      <c r="Y36" s="127"/>
      <c r="Z36" s="127"/>
      <c r="AA36" s="127"/>
      <c r="AB36" s="128"/>
      <c r="AC36" s="18"/>
      <c r="AD36" s="23" t="str">
        <f>LEFT(X29,2)</f>
        <v>21</v>
      </c>
      <c r="AE36" s="126"/>
      <c r="AF36" s="127"/>
      <c r="AG36" s="127"/>
      <c r="AH36" s="127"/>
      <c r="AI36" s="128"/>
      <c r="AJ36" s="18"/>
      <c r="AK36" s="128"/>
      <c r="AL36" s="126"/>
      <c r="AM36" s="127"/>
      <c r="AN36" s="127"/>
      <c r="AO36" s="127"/>
      <c r="AP36" s="128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37"/>
      <c r="BE36" s="37"/>
      <c r="BF36" s="37"/>
      <c r="BG36" s="37"/>
      <c r="BH36" s="37"/>
      <c r="BI36" s="37"/>
      <c r="BJ36" s="37"/>
      <c r="BK36" s="37"/>
      <c r="BL36" s="18"/>
      <c r="BM36" s="18"/>
      <c r="BN36" s="8"/>
      <c r="BO36" s="8"/>
      <c r="BP36" s="8"/>
      <c r="BQ36" s="8"/>
      <c r="BR36" s="8"/>
      <c r="BS36" s="35"/>
    </row>
    <row r="37" spans="1:71" ht="12" customHeight="1" thickTop="1" x14ac:dyDescent="0.25">
      <c r="A37" s="31"/>
      <c r="C37" s="30">
        <v>30</v>
      </c>
      <c r="D37" s="30">
        <v>0</v>
      </c>
      <c r="E37" s="30">
        <v>30</v>
      </c>
      <c r="F37" s="30">
        <v>0</v>
      </c>
      <c r="G37" s="30">
        <f>SUM(C37:F37)</f>
        <v>60</v>
      </c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22"/>
      <c r="X37" s="36">
        <v>45</v>
      </c>
      <c r="Y37" s="36">
        <v>0</v>
      </c>
      <c r="Z37" s="36">
        <v>15</v>
      </c>
      <c r="AA37" s="36">
        <v>0</v>
      </c>
      <c r="AB37" s="36">
        <f>SUM(X37:AA37)</f>
        <v>60</v>
      </c>
      <c r="AC37" s="18"/>
      <c r="AD37" s="22"/>
      <c r="AE37" s="99">
        <v>60</v>
      </c>
      <c r="AF37" s="99">
        <v>15</v>
      </c>
      <c r="AG37" s="99">
        <v>0</v>
      </c>
      <c r="AH37" s="99">
        <v>0</v>
      </c>
      <c r="AI37" s="99">
        <f>SUM(AE37:AH37)</f>
        <v>75</v>
      </c>
      <c r="AJ37" s="18"/>
      <c r="AK37" s="18"/>
      <c r="AL37" s="104">
        <v>0</v>
      </c>
      <c r="AM37" s="104">
        <v>0</v>
      </c>
      <c r="AN37" s="104">
        <v>0</v>
      </c>
      <c r="AO37" s="104">
        <v>0</v>
      </c>
      <c r="AP37" s="104">
        <v>120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5"/>
    </row>
    <row r="38" spans="1:71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5"/>
    </row>
    <row r="39" spans="1:71" ht="19.899999999999999" customHeight="1" x14ac:dyDescent="0.25">
      <c r="A39" s="31"/>
      <c r="B39" s="17"/>
      <c r="C39" s="8"/>
      <c r="D39" s="8"/>
      <c r="E39" s="8"/>
      <c r="F39" s="8"/>
      <c r="G39" s="8"/>
      <c r="H39" s="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30" t="str">
        <f>TEXT(INT(LEFT(X34,2))+1,"0") &amp; " 
FAGEN32411
Empreendedorismo e Inovação"</f>
        <v>23 
FAGEN32411
Empreendedorismo e Inovação</v>
      </c>
      <c r="Y39" s="121"/>
      <c r="Z39" s="121"/>
      <c r="AA39" s="121"/>
      <c r="AB39" s="122"/>
      <c r="AC39" s="8"/>
      <c r="AD39" s="34"/>
      <c r="AE39" s="136" t="str">
        <f>TEXT(INT(LEFT(AE34,2))+1,"0") &amp; " 
FEELT!IDI
Instrumentação e Dispositivos Inteligentes"</f>
        <v>30 
FEELT!IDI
Instrumentação e Dispositivos Inteligentes</v>
      </c>
      <c r="AF39" s="121"/>
      <c r="AG39" s="121"/>
      <c r="AH39" s="121"/>
      <c r="AI39" s="122"/>
      <c r="AJ39" s="8"/>
      <c r="AK39" s="18"/>
      <c r="AL39" s="18"/>
      <c r="AM39" s="18"/>
      <c r="AN39" s="18"/>
      <c r="AO39" s="18"/>
      <c r="AP39" s="18"/>
      <c r="AQ39" s="8"/>
      <c r="AR39" s="8"/>
      <c r="AS39" s="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38"/>
      <c r="BQ39" s="38"/>
      <c r="BR39" s="38"/>
      <c r="BS39" s="35"/>
    </row>
    <row r="40" spans="1:71" ht="16.149999999999999" customHeight="1" x14ac:dyDescent="0.25">
      <c r="A40" s="31"/>
      <c r="B40" s="17"/>
      <c r="C40" s="8"/>
      <c r="D40" s="8"/>
      <c r="E40" s="8"/>
      <c r="F40" s="8"/>
      <c r="G40" s="8"/>
      <c r="H40" s="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23"/>
      <c r="Y40" s="124"/>
      <c r="Z40" s="124"/>
      <c r="AA40" s="124"/>
      <c r="AB40" s="125"/>
      <c r="AC40" s="8"/>
      <c r="AD40" s="105" t="str">
        <f>LEFT(Q39,2)</f>
        <v/>
      </c>
      <c r="AE40" s="123"/>
      <c r="AF40" s="124"/>
      <c r="AG40" s="124"/>
      <c r="AH40" s="124"/>
      <c r="AI40" s="125"/>
      <c r="AJ40" s="8"/>
      <c r="AK40" s="18"/>
      <c r="AL40" s="18"/>
      <c r="AM40" s="18"/>
      <c r="AN40" s="18"/>
      <c r="AO40" s="18"/>
      <c r="AP40" s="18"/>
      <c r="AQ40" s="8"/>
      <c r="AR40" s="8"/>
      <c r="AS40" s="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5"/>
    </row>
    <row r="41" spans="1:71" ht="25.9" customHeight="1" x14ac:dyDescent="0.25">
      <c r="A41" s="31"/>
      <c r="B41" s="17"/>
      <c r="C41" s="8"/>
      <c r="D41" s="8"/>
      <c r="E41" s="8"/>
      <c r="F41" s="8"/>
      <c r="G41" s="8"/>
      <c r="H41" s="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26"/>
      <c r="Y41" s="127"/>
      <c r="Z41" s="127"/>
      <c r="AA41" s="127"/>
      <c r="AB41" s="128"/>
      <c r="AC41" s="8"/>
      <c r="AD41" s="23" t="str">
        <f>LEFT(X19,2)</f>
        <v>19</v>
      </c>
      <c r="AE41" s="126"/>
      <c r="AF41" s="127"/>
      <c r="AG41" s="127"/>
      <c r="AH41" s="127"/>
      <c r="AI41" s="128"/>
      <c r="AJ41" s="8"/>
      <c r="AK41" s="18"/>
      <c r="AL41" s="18"/>
      <c r="AM41" s="18"/>
      <c r="AN41" s="18"/>
      <c r="AO41" s="18"/>
      <c r="AP41" s="18"/>
      <c r="AQ41" s="8"/>
      <c r="AR41" s="8"/>
      <c r="AS41" s="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45"/>
      <c r="BQ41" s="45"/>
      <c r="BR41" s="45"/>
      <c r="BS41" s="46"/>
    </row>
    <row r="42" spans="1:71" ht="13.9" customHeight="1" x14ac:dyDescent="0.25">
      <c r="A42" s="31"/>
      <c r="C42" s="8"/>
      <c r="D42" s="8"/>
      <c r="E42" s="8"/>
      <c r="F42" s="8"/>
      <c r="G42" s="8"/>
      <c r="H42" s="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24">
        <v>30</v>
      </c>
      <c r="Y42" s="24">
        <v>0</v>
      </c>
      <c r="Z42" s="24">
        <v>0</v>
      </c>
      <c r="AA42" s="24">
        <v>0</v>
      </c>
      <c r="AB42" s="24">
        <f>SUM(X42:AA42)</f>
        <v>30</v>
      </c>
      <c r="AC42" s="8"/>
      <c r="AD42" s="34"/>
      <c r="AE42" s="103">
        <v>0</v>
      </c>
      <c r="AF42" s="103">
        <v>30</v>
      </c>
      <c r="AG42" s="103">
        <v>30</v>
      </c>
      <c r="AH42" s="103">
        <v>0</v>
      </c>
      <c r="AI42" s="102">
        <f>SUM(AE42:AH42)</f>
        <v>60</v>
      </c>
      <c r="AJ42" s="8"/>
      <c r="AK42" s="18"/>
      <c r="AL42" s="18"/>
      <c r="AM42" s="18"/>
      <c r="AN42" s="18"/>
      <c r="AO42" s="18"/>
      <c r="AP42" s="18"/>
      <c r="AQ42" s="8"/>
      <c r="AR42" s="8"/>
      <c r="AS42" s="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47"/>
      <c r="BQ42" s="47"/>
      <c r="BR42" s="47"/>
      <c r="BS42" s="48"/>
    </row>
    <row r="43" spans="1:71" ht="6.75" customHeight="1" x14ac:dyDescent="0.25">
      <c r="B43" s="17"/>
      <c r="C43" s="8"/>
      <c r="D43" s="8"/>
      <c r="E43" s="8"/>
      <c r="F43" s="8"/>
      <c r="G43" s="8"/>
      <c r="H43" s="8"/>
      <c r="I43" s="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18"/>
      <c r="AE43" s="18"/>
      <c r="AF43" s="18"/>
      <c r="AG43" s="18"/>
      <c r="AH43" s="18"/>
      <c r="AI43" s="1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18"/>
      <c r="AU43" s="18"/>
      <c r="AV43" s="18"/>
      <c r="AW43" s="18"/>
      <c r="AX43" s="18"/>
      <c r="AY43" s="18"/>
      <c r="AZ43" s="18"/>
      <c r="BA43" s="18"/>
      <c r="BB43" s="47"/>
      <c r="BC43" s="47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47"/>
      <c r="BP43" s="47"/>
      <c r="BQ43" s="47"/>
      <c r="BR43" s="47"/>
      <c r="BS43" s="48"/>
    </row>
    <row r="44" spans="1:71" ht="15" customHeight="1" x14ac:dyDescent="0.25">
      <c r="A44" s="31"/>
      <c r="B44" s="8"/>
      <c r="C44" s="8"/>
      <c r="D44" s="8"/>
      <c r="E44" s="8"/>
      <c r="F44" s="8"/>
      <c r="G44" s="8"/>
      <c r="H44" s="8"/>
      <c r="I44" s="8"/>
      <c r="J44" s="149"/>
      <c r="K44" s="124"/>
      <c r="L44" s="124"/>
      <c r="M44" s="124"/>
      <c r="N44" s="124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5"/>
    </row>
    <row r="45" spans="1:71" ht="15.75" customHeight="1" x14ac:dyDescent="0.25">
      <c r="A45" s="31"/>
      <c r="B45" s="8"/>
      <c r="C45" s="8"/>
      <c r="D45" s="8"/>
      <c r="E45" s="8"/>
      <c r="F45" s="8"/>
      <c r="G45" s="8"/>
      <c r="H45" s="8"/>
      <c r="I45" s="8"/>
      <c r="J45" s="124"/>
      <c r="K45" s="124"/>
      <c r="L45" s="124"/>
      <c r="M45" s="124"/>
      <c r="N45" s="124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38"/>
      <c r="BC45" s="3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5"/>
    </row>
    <row r="46" spans="1:71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24"/>
      <c r="K46" s="124"/>
      <c r="L46" s="124"/>
      <c r="M46" s="124"/>
      <c r="N46" s="124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37"/>
      <c r="AR46" s="18"/>
      <c r="AS46" s="18"/>
      <c r="AT46" s="18"/>
      <c r="AU46" s="18"/>
      <c r="AV46" s="18"/>
      <c r="AW46" s="18"/>
      <c r="AX46" s="37"/>
      <c r="AY46" s="53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5"/>
    </row>
    <row r="47" spans="1:71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54"/>
      <c r="K47" s="54"/>
      <c r="L47" s="54"/>
      <c r="M47" s="54"/>
      <c r="N47" s="54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37"/>
      <c r="AR47" s="18"/>
      <c r="AS47" s="18"/>
      <c r="AT47" s="18"/>
      <c r="AU47" s="18"/>
      <c r="AV47" s="18"/>
      <c r="AW47" s="18"/>
      <c r="AX47" s="37"/>
      <c r="AY47" s="34"/>
      <c r="AZ47" s="18"/>
      <c r="BA47" s="18"/>
      <c r="BB47" s="18"/>
      <c r="BC47" s="18"/>
      <c r="BD47" s="18"/>
      <c r="BE47" s="8"/>
      <c r="BF47" s="8"/>
      <c r="BG47" s="18"/>
      <c r="BH47" s="18"/>
      <c r="BI47" s="18"/>
      <c r="BJ47" s="18"/>
      <c r="BK47" s="18"/>
      <c r="BL47" s="8"/>
      <c r="BM47" s="8"/>
      <c r="BN47" s="18"/>
      <c r="BO47" s="18"/>
      <c r="BP47" s="18"/>
      <c r="BQ47" s="18"/>
      <c r="BR47" s="18"/>
      <c r="BS47" s="35"/>
    </row>
    <row r="48" spans="1:71" ht="5.25" customHeight="1" thickBot="1" x14ac:dyDescent="0.3">
      <c r="B48" s="50"/>
      <c r="C48" s="51"/>
      <c r="D48" s="51"/>
      <c r="E48" s="51"/>
      <c r="F48" s="51"/>
      <c r="G48" s="51"/>
      <c r="H48" s="55"/>
      <c r="I48" s="55"/>
      <c r="J48" s="55"/>
      <c r="K48" s="55"/>
      <c r="L48" s="55"/>
      <c r="M48" s="55"/>
      <c r="N48" s="55"/>
      <c r="O48" s="55"/>
      <c r="P48" s="55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55"/>
      <c r="AK48" s="51"/>
      <c r="AL48" s="51"/>
      <c r="AM48" s="51"/>
      <c r="AN48" s="51"/>
      <c r="AO48" s="51"/>
      <c r="AP48" s="51"/>
      <c r="AQ48" s="108"/>
      <c r="AR48" s="108"/>
      <c r="AS48" s="55"/>
      <c r="AT48" s="55"/>
      <c r="AU48" s="55"/>
      <c r="AV48" s="55"/>
      <c r="AW48" s="55"/>
      <c r="AX48" s="55"/>
      <c r="AY48" s="51"/>
      <c r="AZ48" s="51"/>
      <c r="BA48" s="51"/>
      <c r="BB48" s="51"/>
      <c r="BC48" s="51"/>
      <c r="BD48" s="108"/>
      <c r="BE48" s="108"/>
      <c r="BF48" s="108"/>
      <c r="BG48" s="55"/>
      <c r="BH48" s="55"/>
      <c r="BI48" s="55"/>
      <c r="BJ48" s="55"/>
      <c r="BK48" s="55"/>
      <c r="BL48" s="108"/>
      <c r="BM48" s="108"/>
      <c r="BN48" s="55"/>
      <c r="BO48" s="55"/>
      <c r="BP48" s="55"/>
      <c r="BQ48" s="55"/>
      <c r="BR48" s="55"/>
      <c r="BS48" s="109"/>
    </row>
    <row r="49" spans="1:80" ht="0.75" customHeight="1" thickBot="1" x14ac:dyDescent="0.3">
      <c r="B49" s="110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111"/>
    </row>
    <row r="50" spans="1:80" ht="3" customHeight="1" thickBot="1" x14ac:dyDescent="0.3">
      <c r="B50" s="112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113"/>
    </row>
    <row r="51" spans="1:8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9" t="s">
        <v>24</v>
      </c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1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5"/>
      <c r="CB51" s="56"/>
    </row>
    <row r="52" spans="1:8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5"/>
      <c r="CB52" s="56"/>
    </row>
    <row r="53" spans="1:80" ht="14.45" customHeight="1" x14ac:dyDescent="0.25">
      <c r="A53" s="31"/>
      <c r="B53" s="17"/>
      <c r="C53" s="130" t="str">
        <f>TEXT(INT(LEFT(AS14,2))+1,"0") &amp; " 
FEELT!RASC1
RASC 1:"</f>
        <v>39 
FEELT!RASC1
RASC 1:</v>
      </c>
      <c r="D53" s="121"/>
      <c r="E53" s="121"/>
      <c r="F53" s="121"/>
      <c r="G53" s="122"/>
      <c r="H53" s="18"/>
      <c r="I53" s="18"/>
      <c r="J53" s="130" t="str">
        <f>TEXT(INT(LEFT(C53,2))+1,"0") &amp; " 
FEELT!RASC2
RASC 2:"</f>
        <v>40 
FEELT!RASC2
RASC 2:</v>
      </c>
      <c r="K53" s="121"/>
      <c r="L53" s="121"/>
      <c r="M53" s="121"/>
      <c r="N53" s="122"/>
      <c r="O53" s="18"/>
      <c r="P53" s="18"/>
      <c r="Q53" s="130" t="str">
        <f>TEXT(INT(LEFT(J53,2))+1,"0") &amp; " 
FEELT!RASC3
RASC 3:"</f>
        <v>41 
FEELT!RASC3
RASC 3:</v>
      </c>
      <c r="R53" s="121"/>
      <c r="S53" s="121"/>
      <c r="T53" s="121"/>
      <c r="U53" s="122"/>
      <c r="V53" s="114"/>
      <c r="W53" s="18"/>
      <c r="X53" s="130" t="str">
        <f>TEXT(INT(LEFT(Q53,2))+1,"0") &amp; " 
FEELT!RASC4
RASC 4:"</f>
        <v>42 
FEELT!RASC4
RASC 4:</v>
      </c>
      <c r="Y53" s="121"/>
      <c r="Z53" s="121"/>
      <c r="AA53" s="121"/>
      <c r="AB53" s="122"/>
      <c r="AC53" s="18"/>
      <c r="AD53" s="18"/>
      <c r="AE53" s="130" t="str">
        <f>TEXT(INT(LEFT(X53,2))+1,"0") &amp; " 
FEELT!RASC5
RASC 5:"</f>
        <v>43 
FEELT!RASC5
RASC 5:</v>
      </c>
      <c r="AF53" s="121"/>
      <c r="AG53" s="121"/>
      <c r="AH53" s="121"/>
      <c r="AI53" s="122"/>
      <c r="AJ53" s="18"/>
      <c r="AK53" s="18"/>
      <c r="AL53" s="130" t="str">
        <f>TEXT(INT(LEFT(AE53,2))+1,"0") &amp; " 
FEELT!RASC6
RASC 6:"</f>
        <v>44 
FEELT!RASC6
RASC 6:</v>
      </c>
      <c r="AM53" s="121"/>
      <c r="AN53" s="121"/>
      <c r="AO53" s="121"/>
      <c r="AP53" s="122"/>
      <c r="AQ53" s="18"/>
      <c r="AR53" s="18"/>
      <c r="AS53" s="130" t="str">
        <f>TEXT(INT(LEFT(AL53,2))+1,"0") &amp; " 
FEELT!RASC7
RASC 7:"</f>
        <v>45 
FEELT!RASC7
RASC 7:</v>
      </c>
      <c r="AT53" s="121"/>
      <c r="AU53" s="121"/>
      <c r="AV53" s="121"/>
      <c r="AW53" s="122"/>
      <c r="AX53" s="114"/>
      <c r="AY53" s="18"/>
      <c r="AZ53" s="130" t="str">
        <f>TEXT(INT(LEFT(AS53,2))+1,"0") &amp; " 
FEELT!TEC8
 Tópicos Especiais em Controle VIII"</f>
        <v>46 
FEELT!TEC8
 Tópicos Especiais em Controle VIII</v>
      </c>
      <c r="BA53" s="121"/>
      <c r="BB53" s="121"/>
      <c r="BC53" s="121"/>
      <c r="BD53" s="122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5"/>
      <c r="CB53" s="56"/>
    </row>
    <row r="54" spans="1:80" x14ac:dyDescent="0.25">
      <c r="A54" s="31"/>
      <c r="B54" s="17"/>
      <c r="C54" s="123"/>
      <c r="D54" s="124"/>
      <c r="E54" s="124"/>
      <c r="F54" s="124"/>
      <c r="G54" s="125"/>
      <c r="H54" s="18"/>
      <c r="I54" s="18"/>
      <c r="J54" s="123"/>
      <c r="K54" s="124"/>
      <c r="L54" s="124"/>
      <c r="M54" s="124"/>
      <c r="N54" s="125"/>
      <c r="O54" s="18"/>
      <c r="P54" s="18"/>
      <c r="Q54" s="123"/>
      <c r="R54" s="124"/>
      <c r="S54" s="124"/>
      <c r="T54" s="124"/>
      <c r="U54" s="125"/>
      <c r="V54" s="114"/>
      <c r="W54" s="18"/>
      <c r="X54" s="123"/>
      <c r="Y54" s="124"/>
      <c r="Z54" s="124"/>
      <c r="AA54" s="124"/>
      <c r="AB54" s="125"/>
      <c r="AC54" s="18"/>
      <c r="AD54" s="18"/>
      <c r="AE54" s="123"/>
      <c r="AF54" s="124"/>
      <c r="AG54" s="124"/>
      <c r="AH54" s="124"/>
      <c r="AI54" s="125"/>
      <c r="AJ54" s="18"/>
      <c r="AK54" s="18"/>
      <c r="AL54" s="123"/>
      <c r="AM54" s="124"/>
      <c r="AN54" s="124"/>
      <c r="AO54" s="124"/>
      <c r="AP54" s="125"/>
      <c r="AQ54" s="18"/>
      <c r="AR54" s="18"/>
      <c r="AS54" s="123"/>
      <c r="AT54" s="124"/>
      <c r="AU54" s="124"/>
      <c r="AV54" s="124"/>
      <c r="AW54" s="125"/>
      <c r="AX54" s="114"/>
      <c r="AY54" s="18"/>
      <c r="AZ54" s="123"/>
      <c r="BA54" s="124"/>
      <c r="BB54" s="124"/>
      <c r="BC54" s="124"/>
      <c r="BD54" s="125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5"/>
      <c r="CB54" s="56"/>
    </row>
    <row r="55" spans="1:80" ht="26.25" customHeight="1" x14ac:dyDescent="0.25">
      <c r="A55" s="31"/>
      <c r="B55" s="17"/>
      <c r="C55" s="126"/>
      <c r="D55" s="127"/>
      <c r="E55" s="127"/>
      <c r="F55" s="127"/>
      <c r="G55" s="128"/>
      <c r="H55" s="18"/>
      <c r="I55" s="18"/>
      <c r="J55" s="126"/>
      <c r="K55" s="127"/>
      <c r="L55" s="127"/>
      <c r="M55" s="127"/>
      <c r="N55" s="128"/>
      <c r="O55" s="18"/>
      <c r="P55" s="18"/>
      <c r="Q55" s="126"/>
      <c r="R55" s="127"/>
      <c r="S55" s="127"/>
      <c r="T55" s="127"/>
      <c r="U55" s="128"/>
      <c r="V55" s="114"/>
      <c r="W55" s="18"/>
      <c r="X55" s="126"/>
      <c r="Y55" s="127"/>
      <c r="Z55" s="127"/>
      <c r="AA55" s="127"/>
      <c r="AB55" s="128"/>
      <c r="AC55" s="18"/>
      <c r="AD55" s="18"/>
      <c r="AE55" s="126"/>
      <c r="AF55" s="127"/>
      <c r="AG55" s="127"/>
      <c r="AH55" s="127"/>
      <c r="AI55" s="128"/>
      <c r="AJ55" s="18"/>
      <c r="AK55" s="18"/>
      <c r="AL55" s="126"/>
      <c r="AM55" s="127"/>
      <c r="AN55" s="127"/>
      <c r="AO55" s="127"/>
      <c r="AP55" s="128"/>
      <c r="AQ55" s="18"/>
      <c r="AR55" s="18"/>
      <c r="AS55" s="126"/>
      <c r="AT55" s="127"/>
      <c r="AU55" s="127"/>
      <c r="AV55" s="127"/>
      <c r="AW55" s="128"/>
      <c r="AX55" s="114"/>
      <c r="AY55" s="18"/>
      <c r="AZ55" s="126"/>
      <c r="BA55" s="127"/>
      <c r="BB55" s="127"/>
      <c r="BC55" s="127"/>
      <c r="BD55" s="12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5"/>
      <c r="CB55" s="56"/>
    </row>
    <row r="56" spans="1:80" x14ac:dyDescent="0.25">
      <c r="A56" s="31"/>
      <c r="B56" s="17"/>
      <c r="C56" s="24">
        <v>30</v>
      </c>
      <c r="D56" s="24">
        <v>0</v>
      </c>
      <c r="E56" s="24">
        <v>0</v>
      </c>
      <c r="F56" s="24">
        <v>0</v>
      </c>
      <c r="G56" s="24">
        <f>SUM(C56:F56)</f>
        <v>30</v>
      </c>
      <c r="H56" s="18"/>
      <c r="I56" s="18"/>
      <c r="J56" s="24">
        <v>60</v>
      </c>
      <c r="K56" s="24">
        <v>0</v>
      </c>
      <c r="L56" s="24">
        <v>0</v>
      </c>
      <c r="M56" s="24">
        <v>0</v>
      </c>
      <c r="N56" s="24">
        <f>SUM(J56:M56)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SUM(Q56:T56)</f>
        <v>60</v>
      </c>
      <c r="V56" s="114"/>
      <c r="W56" s="18"/>
      <c r="X56" s="24">
        <v>60</v>
      </c>
      <c r="Y56" s="24">
        <v>0</v>
      </c>
      <c r="Z56" s="24">
        <v>0</v>
      </c>
      <c r="AA56" s="24">
        <v>0</v>
      </c>
      <c r="AB56" s="24">
        <f>SUM(X56:AA56)</f>
        <v>60</v>
      </c>
      <c r="AC56" s="18"/>
      <c r="AD56" s="18"/>
      <c r="AE56" s="24">
        <v>60</v>
      </c>
      <c r="AF56" s="24">
        <v>0</v>
      </c>
      <c r="AG56" s="24">
        <v>0</v>
      </c>
      <c r="AH56" s="24">
        <v>0</v>
      </c>
      <c r="AI56" s="24">
        <f>SUM(AE56:AH56)</f>
        <v>60</v>
      </c>
      <c r="AJ56" s="18"/>
      <c r="AK56" s="18"/>
      <c r="AL56" s="24">
        <v>60</v>
      </c>
      <c r="AM56" s="24">
        <v>0</v>
      </c>
      <c r="AN56" s="24">
        <v>0</v>
      </c>
      <c r="AO56" s="24">
        <v>0</v>
      </c>
      <c r="AP56" s="24">
        <f>SUM(AL56:AO56)</f>
        <v>60</v>
      </c>
      <c r="AQ56" s="18"/>
      <c r="AR56" s="18"/>
      <c r="AS56" s="24">
        <v>60</v>
      </c>
      <c r="AT56" s="24">
        <v>0</v>
      </c>
      <c r="AU56" s="24">
        <v>0</v>
      </c>
      <c r="AV56" s="24">
        <v>0</v>
      </c>
      <c r="AW56" s="24">
        <f>SUM(AS56:AV56)</f>
        <v>60</v>
      </c>
      <c r="AX56" s="114"/>
      <c r="AY56" s="18"/>
      <c r="AZ56" s="24">
        <v>60</v>
      </c>
      <c r="BA56" s="24">
        <v>0</v>
      </c>
      <c r="BB56" s="24">
        <v>0</v>
      </c>
      <c r="BC56" s="24">
        <v>0</v>
      </c>
      <c r="BD56" s="24">
        <f>SUM(AZ56:BC56)</f>
        <v>60</v>
      </c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5"/>
      <c r="CB56" s="56"/>
    </row>
    <row r="57" spans="1:80" ht="4.5" customHeight="1" x14ac:dyDescent="0.25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35"/>
      <c r="CB57" s="56"/>
    </row>
    <row r="58" spans="1:80" ht="14.45" customHeight="1" x14ac:dyDescent="0.25">
      <c r="A58" s="31"/>
      <c r="B58" s="17"/>
      <c r="C58" s="130" t="str">
        <f>TEXT(INT(LEFT(AZ53,2))+1,"0") &amp; " 
FEELT!TEI1
Tópicos Especiais em IIOT I"</f>
        <v>47 
FEELT!TEI1
Tópicos Especiais em IIOT I</v>
      </c>
      <c r="D58" s="121"/>
      <c r="E58" s="121"/>
      <c r="F58" s="121"/>
      <c r="G58" s="122"/>
      <c r="H58" s="18"/>
      <c r="I58" s="18"/>
      <c r="J58" s="130" t="str">
        <f>TEXT(INT(LEFT(C58,2))+1,"0") &amp; " 
FEELT!TEI2
Tópicos Especiais em  IIOT  II"</f>
        <v>48 
FEELT!TEI2
Tópicos Especiais em  IIOT  II</v>
      </c>
      <c r="K58" s="121"/>
      <c r="L58" s="121"/>
      <c r="M58" s="121"/>
      <c r="N58" s="122"/>
      <c r="O58" s="18"/>
      <c r="P58" s="18"/>
      <c r="Q58" s="130" t="str">
        <f>TEXT(INT(LEFT(J58,2))+1,"0") &amp; " 
FEELT!TEI3
Tópicos Especiais  em IIOT III"</f>
        <v>49 
FEELT!TEI3
Tópicos Especiais  em IIOT III</v>
      </c>
      <c r="R58" s="121"/>
      <c r="S58" s="121"/>
      <c r="T58" s="121"/>
      <c r="U58" s="122"/>
      <c r="V58" s="114"/>
      <c r="W58" s="18"/>
      <c r="X58" s="130" t="str">
        <f>TEXT(INT(LEFT(Q58,2))+1,"0") &amp; " 
FEELT!TEI4
 Tópicos Especiais IIOT IV"</f>
        <v>50 
FEELT!TEI4
 Tópicos Especiais IIOT IV</v>
      </c>
      <c r="Y58" s="121"/>
      <c r="Z58" s="121"/>
      <c r="AA58" s="121"/>
      <c r="AB58" s="122"/>
      <c r="AC58" s="18"/>
      <c r="AD58" s="18"/>
      <c r="AE58" s="130" t="str">
        <f>TEXT(INT(LEFT(X58,2))+1,"0") &amp; " 
FEELT!TEI5
Tópicos Especiais em IIOT V"</f>
        <v>51 
FEELT!TEI5
Tópicos Especiais em IIOT V</v>
      </c>
      <c r="AF58" s="121"/>
      <c r="AG58" s="121"/>
      <c r="AH58" s="121"/>
      <c r="AI58" s="122"/>
      <c r="AJ58" s="18"/>
      <c r="AK58" s="18"/>
      <c r="AL58" s="130" t="str">
        <f>TEXT(INT(LEFT(AE58,2))+1,"0") &amp; " 
FEELT!TEI6
Tópicos Especiais em  IIOT  VI"</f>
        <v>52 
FEELT!TEI6
Tópicos Especiais em  IIOT  VI</v>
      </c>
      <c r="AM58" s="121"/>
      <c r="AN58" s="121"/>
      <c r="AO58" s="121"/>
      <c r="AP58" s="122"/>
      <c r="AQ58" s="18"/>
      <c r="AR58" s="18"/>
      <c r="AS58" s="130" t="str">
        <f>TEXT(INT(LEFT(AL58,2))+1,"0") &amp; " 
FEELT!TEI7
Tópicos Especiais  em IIOT VII"</f>
        <v>53 
FEELT!TEI7
Tópicos Especiais  em IIOT VII</v>
      </c>
      <c r="AT58" s="121"/>
      <c r="AU58" s="121"/>
      <c r="AV58" s="121"/>
      <c r="AW58" s="122"/>
      <c r="AX58" s="114"/>
      <c r="AY58" s="18"/>
      <c r="AZ58" s="130" t="str">
        <f>TEXT(INT(LEFT(AS58,2))+1,"0") &amp; " 
FEELT!TEI8
 Tópicos Especiais IIOT VIII"</f>
        <v>54 
FEELT!TEI8
 Tópicos Especiais IIOT VIII</v>
      </c>
      <c r="BA58" s="121"/>
      <c r="BB58" s="121"/>
      <c r="BC58" s="121"/>
      <c r="BD58" s="122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35"/>
      <c r="CB58" s="56"/>
    </row>
    <row r="59" spans="1:80" x14ac:dyDescent="0.25">
      <c r="A59" s="31"/>
      <c r="B59" s="17"/>
      <c r="C59" s="123"/>
      <c r="D59" s="124"/>
      <c r="E59" s="124"/>
      <c r="F59" s="124"/>
      <c r="G59" s="125"/>
      <c r="H59" s="18"/>
      <c r="I59" s="18"/>
      <c r="J59" s="123"/>
      <c r="K59" s="124"/>
      <c r="L59" s="124"/>
      <c r="M59" s="124"/>
      <c r="N59" s="125"/>
      <c r="O59" s="18"/>
      <c r="P59" s="18"/>
      <c r="Q59" s="123"/>
      <c r="R59" s="124"/>
      <c r="S59" s="124"/>
      <c r="T59" s="124"/>
      <c r="U59" s="125"/>
      <c r="V59" s="114"/>
      <c r="W59" s="18"/>
      <c r="X59" s="123"/>
      <c r="Y59" s="124"/>
      <c r="Z59" s="124"/>
      <c r="AA59" s="124"/>
      <c r="AB59" s="125"/>
      <c r="AC59" s="18"/>
      <c r="AD59" s="18"/>
      <c r="AE59" s="123"/>
      <c r="AF59" s="124"/>
      <c r="AG59" s="124"/>
      <c r="AH59" s="124"/>
      <c r="AI59" s="125"/>
      <c r="AJ59" s="18"/>
      <c r="AK59" s="18"/>
      <c r="AL59" s="123"/>
      <c r="AM59" s="124"/>
      <c r="AN59" s="124"/>
      <c r="AO59" s="124"/>
      <c r="AP59" s="125"/>
      <c r="AQ59" s="18"/>
      <c r="AR59" s="18"/>
      <c r="AS59" s="123"/>
      <c r="AT59" s="124"/>
      <c r="AU59" s="124"/>
      <c r="AV59" s="124"/>
      <c r="AW59" s="125"/>
      <c r="AX59" s="114"/>
      <c r="AY59" s="18"/>
      <c r="AZ59" s="123"/>
      <c r="BA59" s="124"/>
      <c r="BB59" s="124"/>
      <c r="BC59" s="124"/>
      <c r="BD59" s="125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35"/>
      <c r="CB59" s="56"/>
    </row>
    <row r="60" spans="1:80" ht="26.25" customHeight="1" x14ac:dyDescent="0.25">
      <c r="A60" s="31"/>
      <c r="B60" s="17"/>
      <c r="C60" s="126"/>
      <c r="D60" s="127"/>
      <c r="E60" s="127"/>
      <c r="F60" s="127"/>
      <c r="G60" s="128"/>
      <c r="H60" s="18"/>
      <c r="I60" s="18"/>
      <c r="J60" s="126"/>
      <c r="K60" s="127"/>
      <c r="L60" s="127"/>
      <c r="M60" s="127"/>
      <c r="N60" s="128"/>
      <c r="O60" s="18"/>
      <c r="P60" s="18"/>
      <c r="Q60" s="126"/>
      <c r="R60" s="127"/>
      <c r="S60" s="127"/>
      <c r="T60" s="127"/>
      <c r="U60" s="128"/>
      <c r="V60" s="114"/>
      <c r="W60" s="18"/>
      <c r="X60" s="126"/>
      <c r="Y60" s="127"/>
      <c r="Z60" s="127"/>
      <c r="AA60" s="127"/>
      <c r="AB60" s="128"/>
      <c r="AC60" s="18"/>
      <c r="AD60" s="18"/>
      <c r="AE60" s="126"/>
      <c r="AF60" s="127"/>
      <c r="AG60" s="127"/>
      <c r="AH60" s="127"/>
      <c r="AI60" s="128"/>
      <c r="AJ60" s="18"/>
      <c r="AK60" s="18"/>
      <c r="AL60" s="126"/>
      <c r="AM60" s="127"/>
      <c r="AN60" s="127"/>
      <c r="AO60" s="127"/>
      <c r="AP60" s="128"/>
      <c r="AQ60" s="18"/>
      <c r="AR60" s="18"/>
      <c r="AS60" s="126"/>
      <c r="AT60" s="127"/>
      <c r="AU60" s="127"/>
      <c r="AV60" s="127"/>
      <c r="AW60" s="128"/>
      <c r="AX60" s="114"/>
      <c r="AY60" s="18"/>
      <c r="AZ60" s="126"/>
      <c r="BA60" s="127"/>
      <c r="BB60" s="127"/>
      <c r="BC60" s="127"/>
      <c r="BD60" s="12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35"/>
      <c r="CB60" s="56"/>
    </row>
    <row r="61" spans="1:80" x14ac:dyDescent="0.25">
      <c r="A61" s="31"/>
      <c r="B61" s="17"/>
      <c r="C61" s="24">
        <v>60</v>
      </c>
      <c r="D61" s="24">
        <v>0</v>
      </c>
      <c r="E61" s="24">
        <v>0</v>
      </c>
      <c r="F61" s="24">
        <v>0</v>
      </c>
      <c r="G61" s="24">
        <f>SUM(C61:F61)</f>
        <v>60</v>
      </c>
      <c r="H61" s="18"/>
      <c r="I61" s="18"/>
      <c r="J61" s="24">
        <v>60</v>
      </c>
      <c r="K61" s="24">
        <v>0</v>
      </c>
      <c r="L61" s="24">
        <v>0</v>
      </c>
      <c r="M61" s="24">
        <v>0</v>
      </c>
      <c r="N61" s="24">
        <f>SUM(J61:M61)</f>
        <v>60</v>
      </c>
      <c r="O61" s="18"/>
      <c r="P61" s="18"/>
      <c r="Q61" s="24">
        <v>60</v>
      </c>
      <c r="R61" s="24">
        <v>0</v>
      </c>
      <c r="S61" s="24">
        <v>0</v>
      </c>
      <c r="T61" s="24">
        <v>0</v>
      </c>
      <c r="U61" s="24">
        <f>SUM(Q61:T61)</f>
        <v>60</v>
      </c>
      <c r="V61" s="114"/>
      <c r="W61" s="18"/>
      <c r="X61" s="24">
        <v>60</v>
      </c>
      <c r="Y61" s="24">
        <v>0</v>
      </c>
      <c r="Z61" s="24">
        <v>0</v>
      </c>
      <c r="AA61" s="24">
        <v>0</v>
      </c>
      <c r="AB61" s="24">
        <f>SUM(X61:AA61)</f>
        <v>60</v>
      </c>
      <c r="AC61" s="18"/>
      <c r="AD61" s="18"/>
      <c r="AE61" s="24">
        <v>60</v>
      </c>
      <c r="AF61" s="24">
        <v>0</v>
      </c>
      <c r="AG61" s="24">
        <v>0</v>
      </c>
      <c r="AH61" s="24">
        <v>0</v>
      </c>
      <c r="AI61" s="24">
        <f>SUM(AE61:AH61)</f>
        <v>60</v>
      </c>
      <c r="AJ61" s="18"/>
      <c r="AK61" s="18"/>
      <c r="AL61" s="24">
        <v>60</v>
      </c>
      <c r="AM61" s="24">
        <v>0</v>
      </c>
      <c r="AN61" s="24">
        <v>0</v>
      </c>
      <c r="AO61" s="24">
        <v>0</v>
      </c>
      <c r="AP61" s="24">
        <f>SUM(AL61:AO61)</f>
        <v>60</v>
      </c>
      <c r="AQ61" s="18"/>
      <c r="AR61" s="18"/>
      <c r="AS61" s="24">
        <v>60</v>
      </c>
      <c r="AT61" s="24">
        <v>0</v>
      </c>
      <c r="AU61" s="24">
        <v>0</v>
      </c>
      <c r="AV61" s="24">
        <v>0</v>
      </c>
      <c r="AW61" s="24">
        <f>SUM(AS61:AV61)</f>
        <v>60</v>
      </c>
      <c r="AX61" s="114"/>
      <c r="AY61" s="18"/>
      <c r="AZ61" s="24">
        <v>60</v>
      </c>
      <c r="BA61" s="24">
        <v>0</v>
      </c>
      <c r="BB61" s="24">
        <v>0</v>
      </c>
      <c r="BC61" s="24">
        <v>0</v>
      </c>
      <c r="BD61" s="24">
        <f>SUM(AZ61:BC61)</f>
        <v>60</v>
      </c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35"/>
      <c r="CB61" s="56"/>
    </row>
    <row r="62" spans="1:80" ht="4.5" customHeight="1" x14ac:dyDescent="0.25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35"/>
      <c r="CB62" s="56"/>
    </row>
    <row r="63" spans="1:80" ht="14.45" customHeight="1" x14ac:dyDescent="0.25">
      <c r="A63" s="31"/>
      <c r="B63" s="17"/>
      <c r="C63" s="130" t="str">
        <f>TEXT(INT(LEFT(AZ58,2))+1,"0") &amp; " 
FEELT!TEM1
Tópicos Especiais em Maquinas Elétrica I"</f>
        <v>55 
FEELT!TEM1
Tópicos Especiais em Maquinas Elétrica I</v>
      </c>
      <c r="D63" s="121"/>
      <c r="E63" s="121"/>
      <c r="F63" s="121"/>
      <c r="G63" s="122"/>
      <c r="H63" s="18"/>
      <c r="I63" s="18"/>
      <c r="J63" s="130" t="str">
        <f>TEXT(INT(LEFT(C63,2))+1,"0") &amp; " 
FEELT!TEM2
Tópicos Especiais em Maquinas Elétrica  II"</f>
        <v>56 
FEELT!TEM2
Tópicos Especiais em Maquinas Elétrica  II</v>
      </c>
      <c r="K63" s="121"/>
      <c r="L63" s="121"/>
      <c r="M63" s="121"/>
      <c r="N63" s="122"/>
      <c r="O63" s="18"/>
      <c r="P63" s="18"/>
      <c r="Q63" s="130" t="str">
        <f>TEXT(INT(LEFT(J63,2))+1,"0") &amp; " 
FEELT!TEM3
Tópicos Especiais  em Maquinas Elétrica III"</f>
        <v>57 
FEELT!TEM3
Tópicos Especiais  em Maquinas Elétrica III</v>
      </c>
      <c r="R63" s="121"/>
      <c r="S63" s="121"/>
      <c r="T63" s="121"/>
      <c r="U63" s="122"/>
      <c r="V63" s="114"/>
      <c r="W63" s="18"/>
      <c r="X63" s="130" t="str">
        <f>TEXT(INT(LEFT(Q63,2))+1,"0") &amp; " 
FEELT!TEM4
 Tópicos Especiais em Maquinas Elétrica IV"</f>
        <v>58 
FEELT!TEM4
 Tópicos Especiais em Maquinas Elétrica IV</v>
      </c>
      <c r="Y63" s="121"/>
      <c r="Z63" s="121"/>
      <c r="AA63" s="121"/>
      <c r="AB63" s="122"/>
      <c r="AC63" s="18"/>
      <c r="AD63" s="18"/>
      <c r="AE63" s="130" t="str">
        <f>TEXT(INT(LEFT(X63,2))+1,"0") &amp; " 
FEELT!TEM5
Tópicos Especiais em Maquinas Elétrica V"</f>
        <v>59 
FEELT!TEM5
Tópicos Especiais em Maquinas Elétrica V</v>
      </c>
      <c r="AF63" s="121"/>
      <c r="AG63" s="121"/>
      <c r="AH63" s="121"/>
      <c r="AI63" s="122"/>
      <c r="AJ63" s="18"/>
      <c r="AK63" s="18"/>
      <c r="AL63" s="130" t="str">
        <f>TEXT(INT(LEFT(AE63,2))+1,"0") &amp; " 
FEELT!TEM6
Tópicos Especiais em Maquinas Elétrica  VI"</f>
        <v>60 
FEELT!TEM6
Tópicos Especiais em Maquinas Elétrica  VI</v>
      </c>
      <c r="AM63" s="121"/>
      <c r="AN63" s="121"/>
      <c r="AO63" s="121"/>
      <c r="AP63" s="122"/>
      <c r="AQ63" s="18"/>
      <c r="AR63" s="18"/>
      <c r="AS63" s="130" t="str">
        <f>TEXT(INT(LEFT(AL63,2))+1,"0") &amp; " 
FEELT!TEM7
Tópicos Especiais  em Maquinas Elétrica VII"</f>
        <v>61 
FEELT!TEM7
Tópicos Especiais  em Maquinas Elétrica VII</v>
      </c>
      <c r="AT63" s="121"/>
      <c r="AU63" s="121"/>
      <c r="AV63" s="121"/>
      <c r="AW63" s="122"/>
      <c r="AX63" s="114"/>
      <c r="AY63" s="18"/>
      <c r="AZ63" s="130" t="str">
        <f>TEXT(INT(LEFT(AS63,2))+1,"0") &amp; " 
FEELT!TEM8
 Tópicos Especiais em Maquinas Elétrica VIII"</f>
        <v>62 
FEELT!TEM8
 Tópicos Especiais em Maquinas Elétrica VIII</v>
      </c>
      <c r="BA63" s="121"/>
      <c r="BB63" s="121"/>
      <c r="BC63" s="121"/>
      <c r="BD63" s="122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35"/>
      <c r="CB63" s="56"/>
    </row>
    <row r="64" spans="1:80" x14ac:dyDescent="0.25">
      <c r="A64" s="31"/>
      <c r="B64" s="17"/>
      <c r="C64" s="123"/>
      <c r="D64" s="124"/>
      <c r="E64" s="124"/>
      <c r="F64" s="124"/>
      <c r="G64" s="125"/>
      <c r="H64" s="18"/>
      <c r="I64" s="18"/>
      <c r="J64" s="123"/>
      <c r="K64" s="124"/>
      <c r="L64" s="124"/>
      <c r="M64" s="124"/>
      <c r="N64" s="125"/>
      <c r="O64" s="18"/>
      <c r="P64" s="18"/>
      <c r="Q64" s="123"/>
      <c r="R64" s="124"/>
      <c r="S64" s="124"/>
      <c r="T64" s="124"/>
      <c r="U64" s="125"/>
      <c r="V64" s="114"/>
      <c r="W64" s="18"/>
      <c r="X64" s="123"/>
      <c r="Y64" s="124"/>
      <c r="Z64" s="124"/>
      <c r="AA64" s="124"/>
      <c r="AB64" s="125"/>
      <c r="AC64" s="18"/>
      <c r="AD64" s="18"/>
      <c r="AE64" s="123"/>
      <c r="AF64" s="124"/>
      <c r="AG64" s="124"/>
      <c r="AH64" s="124"/>
      <c r="AI64" s="125"/>
      <c r="AJ64" s="18"/>
      <c r="AK64" s="18"/>
      <c r="AL64" s="123"/>
      <c r="AM64" s="124"/>
      <c r="AN64" s="124"/>
      <c r="AO64" s="124"/>
      <c r="AP64" s="125"/>
      <c r="AQ64" s="18"/>
      <c r="AR64" s="18"/>
      <c r="AS64" s="123"/>
      <c r="AT64" s="124"/>
      <c r="AU64" s="124"/>
      <c r="AV64" s="124"/>
      <c r="AW64" s="125"/>
      <c r="AX64" s="114"/>
      <c r="AY64" s="18"/>
      <c r="AZ64" s="123"/>
      <c r="BA64" s="124"/>
      <c r="BB64" s="124"/>
      <c r="BC64" s="124"/>
      <c r="BD64" s="125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35"/>
      <c r="CB64" s="56"/>
    </row>
    <row r="65" spans="1:97" ht="27.75" customHeight="1" x14ac:dyDescent="0.25">
      <c r="A65" s="31"/>
      <c r="B65" s="17"/>
      <c r="C65" s="126"/>
      <c r="D65" s="127"/>
      <c r="E65" s="127"/>
      <c r="F65" s="127"/>
      <c r="G65" s="128"/>
      <c r="H65" s="18"/>
      <c r="I65" s="18"/>
      <c r="J65" s="126"/>
      <c r="K65" s="127"/>
      <c r="L65" s="127"/>
      <c r="M65" s="127"/>
      <c r="N65" s="128"/>
      <c r="O65" s="18"/>
      <c r="P65" s="18"/>
      <c r="Q65" s="126"/>
      <c r="R65" s="127"/>
      <c r="S65" s="127"/>
      <c r="T65" s="127"/>
      <c r="U65" s="128"/>
      <c r="V65" s="114"/>
      <c r="W65" s="18"/>
      <c r="X65" s="126"/>
      <c r="Y65" s="127"/>
      <c r="Z65" s="127"/>
      <c r="AA65" s="127"/>
      <c r="AB65" s="128"/>
      <c r="AC65" s="18"/>
      <c r="AD65" s="18"/>
      <c r="AE65" s="126"/>
      <c r="AF65" s="127"/>
      <c r="AG65" s="127"/>
      <c r="AH65" s="127"/>
      <c r="AI65" s="128"/>
      <c r="AJ65" s="18"/>
      <c r="AK65" s="18"/>
      <c r="AL65" s="126"/>
      <c r="AM65" s="127"/>
      <c r="AN65" s="127"/>
      <c r="AO65" s="127"/>
      <c r="AP65" s="128"/>
      <c r="AQ65" s="18"/>
      <c r="AR65" s="18"/>
      <c r="AS65" s="126"/>
      <c r="AT65" s="127"/>
      <c r="AU65" s="127"/>
      <c r="AV65" s="127"/>
      <c r="AW65" s="128"/>
      <c r="AX65" s="114"/>
      <c r="AY65" s="18"/>
      <c r="AZ65" s="126"/>
      <c r="BA65" s="127"/>
      <c r="BB65" s="127"/>
      <c r="BC65" s="127"/>
      <c r="BD65" s="12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35"/>
      <c r="CB65" s="56"/>
    </row>
    <row r="66" spans="1:97" x14ac:dyDescent="0.25">
      <c r="A66" s="31"/>
      <c r="B66" s="17"/>
      <c r="C66" s="24">
        <v>60</v>
      </c>
      <c r="D66" s="24">
        <v>0</v>
      </c>
      <c r="E66" s="24">
        <v>0</v>
      </c>
      <c r="F66" s="24">
        <v>0</v>
      </c>
      <c r="G66" s="24">
        <f>SUM(C66:F66)</f>
        <v>60</v>
      </c>
      <c r="H66" s="18"/>
      <c r="I66" s="18"/>
      <c r="J66" s="24">
        <v>60</v>
      </c>
      <c r="K66" s="24">
        <v>0</v>
      </c>
      <c r="L66" s="24">
        <v>0</v>
      </c>
      <c r="M66" s="24">
        <v>0</v>
      </c>
      <c r="N66" s="24">
        <f>SUM(J66:M66)</f>
        <v>60</v>
      </c>
      <c r="O66" s="18"/>
      <c r="P66" s="18"/>
      <c r="Q66" s="24">
        <v>60</v>
      </c>
      <c r="R66" s="24">
        <v>0</v>
      </c>
      <c r="S66" s="24">
        <v>0</v>
      </c>
      <c r="T66" s="24">
        <v>0</v>
      </c>
      <c r="U66" s="24">
        <f>SUM(Q66:T66)</f>
        <v>60</v>
      </c>
      <c r="V66" s="114"/>
      <c r="W66" s="18"/>
      <c r="X66" s="24">
        <v>60</v>
      </c>
      <c r="Y66" s="24">
        <v>0</v>
      </c>
      <c r="Z66" s="24">
        <v>0</v>
      </c>
      <c r="AA66" s="24">
        <v>0</v>
      </c>
      <c r="AB66" s="24">
        <f>SUM(X66:AA66)</f>
        <v>60</v>
      </c>
      <c r="AC66" s="18"/>
      <c r="AD66" s="18"/>
      <c r="AE66" s="24">
        <v>60</v>
      </c>
      <c r="AF66" s="24">
        <v>0</v>
      </c>
      <c r="AG66" s="24">
        <v>0</v>
      </c>
      <c r="AH66" s="24">
        <v>0</v>
      </c>
      <c r="AI66" s="24">
        <f>SUM(AE66:AH66)</f>
        <v>60</v>
      </c>
      <c r="AJ66" s="18"/>
      <c r="AK66" s="18"/>
      <c r="AL66" s="24">
        <v>60</v>
      </c>
      <c r="AM66" s="24">
        <v>0</v>
      </c>
      <c r="AN66" s="24">
        <v>0</v>
      </c>
      <c r="AO66" s="24">
        <v>0</v>
      </c>
      <c r="AP66" s="24">
        <f>SUM(AL66:AO66)</f>
        <v>60</v>
      </c>
      <c r="AQ66" s="18"/>
      <c r="AR66" s="18"/>
      <c r="AS66" s="24">
        <v>60</v>
      </c>
      <c r="AT66" s="24">
        <v>0</v>
      </c>
      <c r="AU66" s="24">
        <v>0</v>
      </c>
      <c r="AV66" s="24">
        <v>0</v>
      </c>
      <c r="AW66" s="24">
        <f>SUM(AS66:AV66)</f>
        <v>60</v>
      </c>
      <c r="AX66" s="114"/>
      <c r="AY66" s="18"/>
      <c r="AZ66" s="24">
        <v>60</v>
      </c>
      <c r="BA66" s="24">
        <v>0</v>
      </c>
      <c r="BB66" s="24">
        <v>0</v>
      </c>
      <c r="BC66" s="24">
        <v>0</v>
      </c>
      <c r="BD66" s="24">
        <f>SUM(AZ66:BC66)</f>
        <v>60</v>
      </c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35"/>
      <c r="CB66" s="56"/>
    </row>
    <row r="67" spans="1:97" ht="4.5" customHeight="1" x14ac:dyDescent="0.25">
      <c r="A67" s="31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35"/>
      <c r="CB67" s="56"/>
    </row>
    <row r="68" spans="1:97" s="2" customFormat="1" ht="15" customHeight="1" x14ac:dyDescent="0.25">
      <c r="A68" s="31"/>
      <c r="B68" s="17"/>
      <c r="C68" s="130" t="str">
        <f>TEXT(INT(LEFT(AZ63,2))+1,"0") &amp; " 
LIBRAS01
LÍNGUA BRASILEIRA DE SINAIS - LIBRAS I"</f>
        <v>63 
LIBRAS01
LÍNGUA BRASILEIRA DE SINAIS - LIBRAS I</v>
      </c>
      <c r="D68" s="121"/>
      <c r="E68" s="121"/>
      <c r="F68" s="121"/>
      <c r="G68" s="122"/>
      <c r="H68" s="18"/>
      <c r="I68" s="8"/>
      <c r="J68" s="130" t="str">
        <f>TEXT(INT(LEFT(C68,2))+1,"0") &amp; " 
FEELT!TE1
Tópicos Especiais  em Automação Robótica e IA I"</f>
        <v>64 
FEELT!TE1
Tópicos Especiais  em Automação Robótica e IA I</v>
      </c>
      <c r="K68" s="121"/>
      <c r="L68" s="121"/>
      <c r="M68" s="121"/>
      <c r="N68" s="122"/>
      <c r="O68" s="114"/>
      <c r="P68" s="18"/>
      <c r="Q68" s="130" t="str">
        <f>TEXT(INT(LEFT(J68,2))+1,"0") &amp; " 
FEELT!TE2
 Tópicos Especiais  em Automação Robótica e IA II"</f>
        <v>65 
FEELT!TE2
 Tópicos Especiais  em Automação Robótica e IA II</v>
      </c>
      <c r="R68" s="121"/>
      <c r="S68" s="121"/>
      <c r="T68" s="121"/>
      <c r="U68" s="122"/>
      <c r="V68" s="18"/>
      <c r="W68" s="18"/>
      <c r="X68" s="130" t="str">
        <f>TEXT(INT(LEFT(Q68,2))+1,"0") &amp; " 
FEELT!TE3
 Tópicos Especiais  em Automação Robótica e IA III"</f>
        <v>66 
FEELT!TE3
 Tópicos Especiais  em Automação Robótica e IA III</v>
      </c>
      <c r="Y68" s="121"/>
      <c r="Z68" s="121"/>
      <c r="AA68" s="121"/>
      <c r="AB68" s="122"/>
      <c r="AC68" s="18"/>
      <c r="AD68" s="18"/>
      <c r="AE68" s="130" t="str">
        <f>TEXT(INT(LEFT(X68,2))+1,"0") &amp; " 
FEELT!TE4
 Tópicos Especiais  em Automação Robótica e IA IV"</f>
        <v>67 
FEELT!TE4
 Tópicos Especiais  em Automação Robótica e IA IV</v>
      </c>
      <c r="AF68" s="121"/>
      <c r="AG68" s="121"/>
      <c r="AH68" s="121"/>
      <c r="AI68" s="122"/>
      <c r="AJ68" s="8"/>
      <c r="AK68" s="8"/>
      <c r="AL68" s="130" t="str">
        <f>TEXT(INT(LEFT(AE68,2))+1,"0") &amp; " 
FEELT!TE5
 Tópicos Especiais em Automação Robótica e IA V"</f>
        <v>68 
FEELT!TE5
 Tópicos Especiais em Automação Robótica e IA V</v>
      </c>
      <c r="AM68" s="121"/>
      <c r="AN68" s="121"/>
      <c r="AO68" s="121"/>
      <c r="AP68" s="122"/>
      <c r="AQ68" s="8"/>
      <c r="AR68" s="8"/>
      <c r="AS68" s="130" t="str">
        <f>TEXT(INT(LEFT(AL68,2))+1,"0") &amp; " 
FEELT!TE6
 Tópicos Especiais  em Automação Robótica e IA VI"</f>
        <v>69 
FEELT!TE6
 Tópicos Especiais  em Automação Robótica e IA VI</v>
      </c>
      <c r="AT68" s="121"/>
      <c r="AU68" s="121"/>
      <c r="AV68" s="121"/>
      <c r="AW68" s="122"/>
      <c r="AX68" s="8"/>
      <c r="AY68" s="8"/>
      <c r="AZ68" s="130" t="str">
        <f>TEXT(INT(LEFT(AS68,2))+1,"0") &amp; " 
FEELT!TE7
 Tópicos Especiais  em Automação Robótica e IA VII"</f>
        <v>70 
FEELT!TE7
 Tópicos Especiais  em Automação Robótica e IA VII</v>
      </c>
      <c r="BA68" s="121"/>
      <c r="BB68" s="121"/>
      <c r="BC68" s="121"/>
      <c r="BD68" s="122"/>
      <c r="BE68" s="8"/>
      <c r="BF68" s="8"/>
      <c r="BG68" s="130" t="str">
        <f>TEXT(INT(LEFT(AZ68,2))+1,"0") &amp; " 
FEELT!TE8
 Tópicos Especiais  em Automação Robótica e IA VIII"</f>
        <v>71 
FEELT!TE8
 Tópicos Especiais  em Automação Robótica e IA VIII</v>
      </c>
      <c r="BH68" s="121"/>
      <c r="BI68" s="121"/>
      <c r="BJ68" s="121"/>
      <c r="BK68" s="122"/>
      <c r="BL68" s="8"/>
      <c r="BM68" s="8"/>
      <c r="BN68" s="8"/>
      <c r="BO68" s="8"/>
      <c r="BP68" s="8"/>
      <c r="BQ68" s="8"/>
      <c r="BR68" s="8"/>
      <c r="BS68" s="35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</row>
    <row r="69" spans="1:97" s="2" customFormat="1" ht="22.5" customHeight="1" x14ac:dyDescent="0.25">
      <c r="A69" s="31"/>
      <c r="B69" s="17"/>
      <c r="C69" s="123"/>
      <c r="D69" s="131"/>
      <c r="E69" s="131"/>
      <c r="F69" s="131"/>
      <c r="G69" s="125"/>
      <c r="H69" s="18"/>
      <c r="I69" s="8"/>
      <c r="J69" s="123"/>
      <c r="K69" s="131"/>
      <c r="L69" s="131"/>
      <c r="M69" s="131"/>
      <c r="N69" s="125"/>
      <c r="O69" s="114"/>
      <c r="P69" s="18"/>
      <c r="Q69" s="123"/>
      <c r="R69" s="131"/>
      <c r="S69" s="131"/>
      <c r="T69" s="131"/>
      <c r="U69" s="125"/>
      <c r="V69" s="18"/>
      <c r="W69" s="18"/>
      <c r="X69" s="123"/>
      <c r="Y69" s="131"/>
      <c r="Z69" s="131"/>
      <c r="AA69" s="131"/>
      <c r="AB69" s="125"/>
      <c r="AC69" s="18"/>
      <c r="AD69" s="18"/>
      <c r="AE69" s="123"/>
      <c r="AF69" s="131"/>
      <c r="AG69" s="131"/>
      <c r="AH69" s="131"/>
      <c r="AI69" s="125"/>
      <c r="AJ69" s="8"/>
      <c r="AK69" s="8"/>
      <c r="AL69" s="123"/>
      <c r="AM69" s="131"/>
      <c r="AN69" s="131"/>
      <c r="AO69" s="131"/>
      <c r="AP69" s="125"/>
      <c r="AQ69" s="8"/>
      <c r="AR69" s="8"/>
      <c r="AS69" s="123"/>
      <c r="AT69" s="131"/>
      <c r="AU69" s="131"/>
      <c r="AV69" s="131"/>
      <c r="AW69" s="125"/>
      <c r="AX69" s="8"/>
      <c r="AY69" s="8"/>
      <c r="AZ69" s="123"/>
      <c r="BA69" s="131"/>
      <c r="BB69" s="131"/>
      <c r="BC69" s="131"/>
      <c r="BD69" s="125"/>
      <c r="BE69" s="8"/>
      <c r="BF69" s="8"/>
      <c r="BG69" s="123"/>
      <c r="BH69" s="131"/>
      <c r="BI69" s="131"/>
      <c r="BJ69" s="131"/>
      <c r="BK69" s="125"/>
      <c r="BL69" s="8"/>
      <c r="BM69" s="8"/>
      <c r="BN69" s="8"/>
      <c r="BO69" s="8"/>
      <c r="BP69" s="8"/>
      <c r="BQ69" s="8"/>
      <c r="BR69" s="8"/>
      <c r="BS69" s="35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</row>
    <row r="70" spans="1:97" ht="23.25" customHeight="1" x14ac:dyDescent="0.25">
      <c r="A70" s="31"/>
      <c r="B70" s="17"/>
      <c r="C70" s="126"/>
      <c r="D70" s="127"/>
      <c r="E70" s="127"/>
      <c r="F70" s="127"/>
      <c r="G70" s="128"/>
      <c r="H70" s="18"/>
      <c r="I70" s="8"/>
      <c r="J70" s="126"/>
      <c r="K70" s="127"/>
      <c r="L70" s="127"/>
      <c r="M70" s="127"/>
      <c r="N70" s="128"/>
      <c r="O70" s="114"/>
      <c r="P70" s="18"/>
      <c r="Q70" s="126"/>
      <c r="R70" s="127"/>
      <c r="S70" s="127"/>
      <c r="T70" s="127"/>
      <c r="U70" s="128"/>
      <c r="V70" s="18"/>
      <c r="W70" s="18"/>
      <c r="X70" s="126"/>
      <c r="Y70" s="127"/>
      <c r="Z70" s="127"/>
      <c r="AA70" s="127"/>
      <c r="AB70" s="128"/>
      <c r="AC70" s="18"/>
      <c r="AD70" s="18"/>
      <c r="AE70" s="126"/>
      <c r="AF70" s="127"/>
      <c r="AG70" s="127"/>
      <c r="AH70" s="127"/>
      <c r="AI70" s="128"/>
      <c r="AJ70" s="8"/>
      <c r="AK70" s="8"/>
      <c r="AL70" s="126"/>
      <c r="AM70" s="127"/>
      <c r="AN70" s="127"/>
      <c r="AO70" s="127"/>
      <c r="AP70" s="128"/>
      <c r="AQ70" s="8"/>
      <c r="AR70" s="8"/>
      <c r="AS70" s="126"/>
      <c r="AT70" s="127"/>
      <c r="AU70" s="127"/>
      <c r="AV70" s="127"/>
      <c r="AW70" s="128"/>
      <c r="AX70" s="8"/>
      <c r="AY70" s="8"/>
      <c r="AZ70" s="126"/>
      <c r="BA70" s="127"/>
      <c r="BB70" s="127"/>
      <c r="BC70" s="127"/>
      <c r="BD70" s="128"/>
      <c r="BE70" s="8"/>
      <c r="BF70" s="8"/>
      <c r="BG70" s="126"/>
      <c r="BH70" s="127"/>
      <c r="BI70" s="127"/>
      <c r="BJ70" s="127"/>
      <c r="BK70" s="128"/>
      <c r="BL70" s="8"/>
      <c r="BM70" s="8"/>
      <c r="BN70" s="8"/>
      <c r="BO70" s="8"/>
      <c r="BP70" s="8"/>
      <c r="BQ70" s="8"/>
      <c r="BR70" s="8"/>
      <c r="BS70" s="35"/>
    </row>
    <row r="71" spans="1:97" x14ac:dyDescent="0.25">
      <c r="A71" s="31"/>
      <c r="B71" s="17"/>
      <c r="C71" s="24">
        <v>30</v>
      </c>
      <c r="D71" s="24">
        <v>0</v>
      </c>
      <c r="E71" s="24">
        <v>30</v>
      </c>
      <c r="F71" s="24">
        <v>0</v>
      </c>
      <c r="G71" s="24">
        <f>SUM(C71:F71)</f>
        <v>60</v>
      </c>
      <c r="H71" s="18"/>
      <c r="I71" s="8"/>
      <c r="J71" s="24">
        <v>75</v>
      </c>
      <c r="K71" s="24">
        <v>0</v>
      </c>
      <c r="L71" s="24">
        <v>15</v>
      </c>
      <c r="M71" s="24">
        <v>0</v>
      </c>
      <c r="N71" s="24">
        <f>SUM(J71:M71)</f>
        <v>90</v>
      </c>
      <c r="O71" s="114"/>
      <c r="P71" s="18"/>
      <c r="Q71" s="24">
        <v>75</v>
      </c>
      <c r="R71" s="24">
        <v>0</v>
      </c>
      <c r="S71" s="24">
        <v>0</v>
      </c>
      <c r="T71" s="24">
        <v>0</v>
      </c>
      <c r="U71" s="24">
        <f>SUM(Q71:T71)</f>
        <v>75</v>
      </c>
      <c r="V71" s="18"/>
      <c r="W71" s="18"/>
      <c r="X71" s="24">
        <v>60</v>
      </c>
      <c r="Y71" s="24">
        <v>0</v>
      </c>
      <c r="Z71" s="24">
        <v>30</v>
      </c>
      <c r="AA71" s="24">
        <v>0</v>
      </c>
      <c r="AB71" s="24">
        <f>SUM(X71:AA71)</f>
        <v>90</v>
      </c>
      <c r="AC71" s="18"/>
      <c r="AD71" s="18"/>
      <c r="AE71" s="24">
        <v>60</v>
      </c>
      <c r="AF71" s="24">
        <v>0</v>
      </c>
      <c r="AG71" s="24">
        <v>15</v>
      </c>
      <c r="AH71" s="24">
        <v>0</v>
      </c>
      <c r="AI71" s="24">
        <f>SUM(AE71:AH71)</f>
        <v>75</v>
      </c>
      <c r="AJ71" s="8"/>
      <c r="AK71" s="8"/>
      <c r="AL71" s="24">
        <v>60</v>
      </c>
      <c r="AM71" s="24">
        <v>0</v>
      </c>
      <c r="AN71" s="24">
        <v>0</v>
      </c>
      <c r="AO71" s="24">
        <v>0</v>
      </c>
      <c r="AP71" s="24">
        <f>SUM(AL71:AO71)</f>
        <v>60</v>
      </c>
      <c r="AQ71" s="8"/>
      <c r="AR71" s="8"/>
      <c r="AS71" s="24">
        <v>30</v>
      </c>
      <c r="AT71" s="24">
        <v>0</v>
      </c>
      <c r="AU71" s="24">
        <v>30</v>
      </c>
      <c r="AV71" s="24">
        <v>0</v>
      </c>
      <c r="AW71" s="24">
        <f>SUM(AS71:AV71)</f>
        <v>60</v>
      </c>
      <c r="AX71" s="8"/>
      <c r="AY71" s="8"/>
      <c r="AZ71" s="24">
        <v>30</v>
      </c>
      <c r="BA71" s="24">
        <v>0</v>
      </c>
      <c r="BB71" s="24">
        <v>15</v>
      </c>
      <c r="BC71" s="24">
        <v>0</v>
      </c>
      <c r="BD71" s="24">
        <f>SUM(AZ71:BC71)</f>
        <v>45</v>
      </c>
      <c r="BE71" s="8"/>
      <c r="BF71" s="8"/>
      <c r="BG71" s="24">
        <v>30</v>
      </c>
      <c r="BH71" s="24">
        <v>0</v>
      </c>
      <c r="BI71" s="24">
        <v>0</v>
      </c>
      <c r="BJ71" s="24">
        <v>0</v>
      </c>
      <c r="BK71" s="24">
        <f>SUM(BG71:BJ71)</f>
        <v>30</v>
      </c>
      <c r="BL71" s="8"/>
      <c r="BM71" s="8"/>
      <c r="BN71" s="8"/>
      <c r="BO71" s="8"/>
      <c r="BP71" s="8"/>
      <c r="BQ71" s="8"/>
      <c r="BR71" s="8"/>
      <c r="BS71" s="35"/>
    </row>
    <row r="72" spans="1:97" ht="15.75" customHeight="1" thickBot="1" x14ac:dyDescent="0.3">
      <c r="B72" s="57"/>
      <c r="C72" s="58"/>
      <c r="D72" s="58"/>
      <c r="E72" s="58"/>
      <c r="F72" s="58"/>
      <c r="G72" s="58"/>
      <c r="H72" s="55"/>
      <c r="I72" s="55"/>
      <c r="J72" s="58"/>
      <c r="K72" s="58"/>
      <c r="L72" s="58"/>
      <c r="M72" s="58"/>
      <c r="N72" s="58"/>
      <c r="O72" s="55"/>
      <c r="P72" s="55"/>
      <c r="Q72" s="58"/>
      <c r="R72" s="58"/>
      <c r="S72" s="58"/>
      <c r="T72" s="58"/>
      <c r="U72" s="58"/>
      <c r="V72" s="55"/>
      <c r="W72" s="55"/>
      <c r="X72" s="58"/>
      <c r="Y72" s="58"/>
      <c r="Z72" s="58"/>
      <c r="AA72" s="58"/>
      <c r="AB72" s="58"/>
      <c r="AC72" s="55"/>
      <c r="AD72" s="55"/>
      <c r="AE72" s="58"/>
      <c r="AF72" s="58"/>
      <c r="AG72" s="58"/>
      <c r="AH72" s="58"/>
      <c r="AI72" s="58"/>
      <c r="AJ72" s="55"/>
      <c r="AK72" s="55"/>
      <c r="AL72" s="58"/>
      <c r="AM72" s="58"/>
      <c r="AN72" s="58"/>
      <c r="AO72" s="58"/>
      <c r="AP72" s="58"/>
      <c r="AQ72" s="55"/>
      <c r="AR72" s="55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5"/>
      <c r="BF72" s="51"/>
      <c r="BG72" s="51"/>
      <c r="BH72" s="51"/>
      <c r="BI72" s="51"/>
      <c r="BJ72" s="51"/>
      <c r="BK72" s="51"/>
      <c r="BL72" s="55"/>
      <c r="BM72" s="51"/>
      <c r="BN72" s="51"/>
      <c r="BO72" s="51"/>
      <c r="BP72" s="51"/>
      <c r="BQ72" s="51"/>
      <c r="BR72" s="51"/>
      <c r="BS72" s="52"/>
    </row>
    <row r="73" spans="1:97" s="2" customFormat="1" x14ac:dyDescent="0.25">
      <c r="A73" s="1"/>
      <c r="B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8"/>
      <c r="AZ73" s="18"/>
      <c r="BA73" s="18"/>
      <c r="BB73" s="18"/>
      <c r="BC73" s="18"/>
      <c r="BD73" s="18"/>
      <c r="BE73" s="1"/>
      <c r="BF73" s="18"/>
      <c r="BG73" s="18"/>
      <c r="BH73" s="18"/>
      <c r="BI73" s="18"/>
      <c r="BJ73" s="18"/>
      <c r="BK73" s="18"/>
      <c r="BL73" s="1"/>
      <c r="BM73" s="18"/>
      <c r="BN73" s="18"/>
      <c r="BO73" s="18"/>
      <c r="BP73" s="18"/>
      <c r="BQ73" s="18"/>
      <c r="BR73" s="18"/>
      <c r="BS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</row>
    <row r="74" spans="1:97" x14ac:dyDescent="0.25">
      <c r="X74" s="18"/>
      <c r="Y74" s="18"/>
      <c r="Z74" s="18"/>
      <c r="AA74" s="18"/>
      <c r="AB74" s="18"/>
      <c r="AC74" s="18"/>
    </row>
    <row r="75" spans="1:97" x14ac:dyDescent="0.25">
      <c r="X75" s="18"/>
      <c r="Y75" s="18"/>
      <c r="Z75" s="18"/>
      <c r="AA75" s="18"/>
      <c r="AB75" s="18"/>
      <c r="AC75" s="18"/>
    </row>
  </sheetData>
  <mergeCells count="105">
    <mergeCell ref="B2:BS2"/>
    <mergeCell ref="C68:G70"/>
    <mergeCell ref="BG68:BK70"/>
    <mergeCell ref="AS14:AW16"/>
    <mergeCell ref="AL5:AL7"/>
    <mergeCell ref="C29:G31"/>
    <mergeCell ref="J19:N21"/>
    <mergeCell ref="Q14:U16"/>
    <mergeCell ref="X19:AB21"/>
    <mergeCell ref="T5:T7"/>
    <mergeCell ref="J9:N11"/>
    <mergeCell ref="X53:AB55"/>
    <mergeCell ref="J68:N70"/>
    <mergeCell ref="X34:AB36"/>
    <mergeCell ref="AL53:AP55"/>
    <mergeCell ref="X68:AB70"/>
    <mergeCell ref="C5:C7"/>
    <mergeCell ref="E5:E7"/>
    <mergeCell ref="Y5:Y7"/>
    <mergeCell ref="X4:AB4"/>
    <mergeCell ref="Q5:Q7"/>
    <mergeCell ref="X29:AB31"/>
    <mergeCell ref="AL4:AP4"/>
    <mergeCell ref="AA5:AA7"/>
    <mergeCell ref="AZ68:BD70"/>
    <mergeCell ref="Q24:U26"/>
    <mergeCell ref="AS63:AW65"/>
    <mergeCell ref="AZ53:BD55"/>
    <mergeCell ref="AG5:AG7"/>
    <mergeCell ref="AE58:AI60"/>
    <mergeCell ref="J4:N4"/>
    <mergeCell ref="Q63:U65"/>
    <mergeCell ref="Q19:U21"/>
    <mergeCell ref="X14:AB16"/>
    <mergeCell ref="Q9:U11"/>
    <mergeCell ref="AE53:AI55"/>
    <mergeCell ref="AE34:AI36"/>
    <mergeCell ref="AE68:AI70"/>
    <mergeCell ref="AL24:AP26"/>
    <mergeCell ref="L5:L7"/>
    <mergeCell ref="AZ58:BD60"/>
    <mergeCell ref="AF5:AF7"/>
    <mergeCell ref="AE4:AI4"/>
    <mergeCell ref="AL14:AP16"/>
    <mergeCell ref="AL29:AP31"/>
    <mergeCell ref="AO5:AO7"/>
    <mergeCell ref="AS9:AW11"/>
    <mergeCell ref="J24:N26"/>
    <mergeCell ref="X24:AB26"/>
    <mergeCell ref="X58:AB60"/>
    <mergeCell ref="AZ63:BD65"/>
    <mergeCell ref="AE19:AI21"/>
    <mergeCell ref="AN5:AN7"/>
    <mergeCell ref="F5:F7"/>
    <mergeCell ref="AL58:AP60"/>
    <mergeCell ref="AS53:AW55"/>
    <mergeCell ref="AM5:AM7"/>
    <mergeCell ref="X63:AB65"/>
    <mergeCell ref="J58:N60"/>
    <mergeCell ref="AL63:AP65"/>
    <mergeCell ref="X5:X7"/>
    <mergeCell ref="AE9:AI11"/>
    <mergeCell ref="Z5:Z7"/>
    <mergeCell ref="AL19:AP21"/>
    <mergeCell ref="AK34:AK36"/>
    <mergeCell ref="AL34:AP36"/>
    <mergeCell ref="AL9:AP11"/>
    <mergeCell ref="J44:N46"/>
    <mergeCell ref="J53:N55"/>
    <mergeCell ref="C9:G11"/>
    <mergeCell ref="C58:G60"/>
    <mergeCell ref="AE63:AI65"/>
    <mergeCell ref="J14:N16"/>
    <mergeCell ref="S5:S7"/>
    <mergeCell ref="Q58:U60"/>
    <mergeCell ref="AE5:AE7"/>
    <mergeCell ref="J29:N31"/>
    <mergeCell ref="X39:AB41"/>
    <mergeCell ref="R5:R7"/>
    <mergeCell ref="C63:G65"/>
    <mergeCell ref="C53:G55"/>
    <mergeCell ref="D5:D7"/>
    <mergeCell ref="C34:G36"/>
    <mergeCell ref="C19:G21"/>
    <mergeCell ref="AS68:AW70"/>
    <mergeCell ref="AS58:AW60"/>
    <mergeCell ref="Q53:U55"/>
    <mergeCell ref="C4:G4"/>
    <mergeCell ref="Q68:U70"/>
    <mergeCell ref="C14:G16"/>
    <mergeCell ref="Q4:U4"/>
    <mergeCell ref="J5:J7"/>
    <mergeCell ref="M5:M7"/>
    <mergeCell ref="AE39:AI41"/>
    <mergeCell ref="Q29:U31"/>
    <mergeCell ref="AE14:AI16"/>
    <mergeCell ref="AE29:AI31"/>
    <mergeCell ref="J63:N65"/>
    <mergeCell ref="K5:K7"/>
    <mergeCell ref="AH5:AH7"/>
    <mergeCell ref="AL68:AP70"/>
    <mergeCell ref="X51:AW51"/>
    <mergeCell ref="AE24:AI26"/>
    <mergeCell ref="X9:AB11"/>
    <mergeCell ref="C24:G26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54" orientation="landscape" horizontalDpi="360" verticalDpi="360" r:id="rId1"/>
  <rowBreaks count="1" manualBreakCount="1">
    <brk id="4" max="71" man="1"/>
  </rowBreaks>
  <colBreaks count="1" manualBreakCount="1">
    <brk id="6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1072">
              <controlPr defaultSize="0" print="0" autoPict="0" macro="[0]!Diagrama5.btnAtualizarComponentes">
                <anchor moveWithCells="1" sizeWithCells="1">
                  <from>
                    <xdr:col>7</xdr:col>
                    <xdr:colOff>28575</xdr:colOff>
                    <xdr:row>1</xdr:row>
                    <xdr:rowOff>47625</xdr:rowOff>
                  </from>
                  <to>
                    <xdr:col>16</xdr:col>
                    <xdr:colOff>171450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R56"/>
  <sheetViews>
    <sheetView zoomScaleNormal="100" workbookViewId="0">
      <pane ySplit="1" topLeftCell="A11" activePane="bottomLeft" state="frozen"/>
      <selection pane="bottomLeft" activeCell="H50" activeCellId="2" sqref="H2:H29 H37:H40 H50:H55"/>
    </sheetView>
  </sheetViews>
  <sheetFormatPr defaultColWidth="9.140625" defaultRowHeight="15" x14ac:dyDescent="0.25"/>
  <cols>
    <col min="1" max="1" width="20.28515625" style="60" customWidth="1"/>
    <col min="2" max="2" width="48.140625" style="60" customWidth="1"/>
    <col min="3" max="3" width="13" style="60" customWidth="1"/>
    <col min="4" max="8" width="10.28515625" style="60" customWidth="1"/>
    <col min="9" max="9" width="23.7109375" style="60" bestFit="1" customWidth="1"/>
    <col min="10" max="10" width="23.28515625" style="60" bestFit="1" customWidth="1"/>
    <col min="11" max="11" width="22" style="60" bestFit="1" customWidth="1"/>
    <col min="12" max="12" width="14.140625" style="60" customWidth="1"/>
    <col min="13" max="13" width="16.7109375" style="60" customWidth="1"/>
    <col min="14" max="14" width="24.140625" style="60" customWidth="1"/>
    <col min="15" max="15" width="20.28515625" style="60" customWidth="1"/>
    <col min="16" max="17" width="22.28515625" style="60" customWidth="1"/>
    <col min="18" max="18" width="13" style="60" customWidth="1"/>
    <col min="19" max="19" width="40.7109375" style="60" customWidth="1"/>
    <col min="20" max="20" width="28.42578125" style="60" customWidth="1"/>
    <col min="21" max="38" width="9.140625" style="60" customWidth="1"/>
    <col min="39" max="16384" width="9.140625" style="60"/>
  </cols>
  <sheetData>
    <row r="1" spans="1:18" s="61" customFormat="1" ht="22.15" customHeight="1" x14ac:dyDescent="0.25">
      <c r="A1" s="79" t="s">
        <v>186</v>
      </c>
      <c r="B1" s="79" t="s">
        <v>187</v>
      </c>
      <c r="C1" s="79" t="s">
        <v>188</v>
      </c>
      <c r="D1" s="79" t="s">
        <v>189</v>
      </c>
      <c r="E1" s="79" t="s">
        <v>190</v>
      </c>
      <c r="F1" s="79" t="s">
        <v>191</v>
      </c>
      <c r="G1" s="79" t="s">
        <v>192</v>
      </c>
      <c r="H1" s="79" t="s">
        <v>193</v>
      </c>
      <c r="I1" s="79" t="s">
        <v>194</v>
      </c>
      <c r="J1" s="79" t="s">
        <v>195</v>
      </c>
      <c r="K1" s="79" t="s">
        <v>196</v>
      </c>
      <c r="L1" s="79" t="s">
        <v>197</v>
      </c>
      <c r="M1" s="79" t="s">
        <v>198</v>
      </c>
      <c r="N1" s="79" t="s">
        <v>199</v>
      </c>
      <c r="O1" s="79" t="s">
        <v>200</v>
      </c>
      <c r="P1" s="79" t="s">
        <v>201</v>
      </c>
      <c r="Q1" s="79" t="s">
        <v>202</v>
      </c>
      <c r="R1" s="79" t="s">
        <v>203</v>
      </c>
    </row>
    <row r="2" spans="1:18" x14ac:dyDescent="0.25">
      <c r="A2" s="60" t="s">
        <v>204</v>
      </c>
      <c r="B2" s="60" t="s">
        <v>205</v>
      </c>
      <c r="C2" s="60" t="s">
        <v>4</v>
      </c>
      <c r="D2" s="60">
        <v>30</v>
      </c>
      <c r="H2" s="60">
        <v>30</v>
      </c>
      <c r="I2" s="60" t="s">
        <v>206</v>
      </c>
      <c r="Q2" s="60" t="b">
        <v>1</v>
      </c>
    </row>
    <row r="3" spans="1:18" ht="15" customHeight="1" x14ac:dyDescent="0.25">
      <c r="A3" s="60" t="s">
        <v>207</v>
      </c>
      <c r="B3" s="60" t="s">
        <v>208</v>
      </c>
      <c r="C3" s="60" t="s">
        <v>1</v>
      </c>
      <c r="D3" s="60">
        <v>90</v>
      </c>
      <c r="H3" s="60">
        <v>90</v>
      </c>
      <c r="I3" s="60" t="s">
        <v>206</v>
      </c>
      <c r="Q3" s="60" t="b">
        <v>1</v>
      </c>
    </row>
    <row r="4" spans="1:18" ht="15" customHeight="1" x14ac:dyDescent="0.25">
      <c r="A4" s="60" t="s">
        <v>209</v>
      </c>
      <c r="B4" s="60" t="s">
        <v>210</v>
      </c>
      <c r="C4" s="60" t="s">
        <v>2</v>
      </c>
      <c r="D4" s="60">
        <v>90</v>
      </c>
      <c r="H4" s="60">
        <v>90</v>
      </c>
      <c r="I4" s="60" t="s">
        <v>206</v>
      </c>
      <c r="J4" s="60" t="s">
        <v>207</v>
      </c>
      <c r="Q4" s="60" t="b">
        <v>1</v>
      </c>
    </row>
    <row r="5" spans="1:18" ht="15" customHeight="1" x14ac:dyDescent="0.25">
      <c r="A5" s="60" t="s">
        <v>211</v>
      </c>
      <c r="B5" s="60" t="s">
        <v>31</v>
      </c>
      <c r="H5" s="60">
        <v>60</v>
      </c>
      <c r="I5" s="60" t="s">
        <v>212</v>
      </c>
      <c r="Q5" s="60" t="b">
        <v>1</v>
      </c>
    </row>
    <row r="6" spans="1:18" ht="15" customHeight="1" x14ac:dyDescent="0.25">
      <c r="A6" s="60" t="s">
        <v>213</v>
      </c>
      <c r="B6" s="60" t="s">
        <v>214</v>
      </c>
      <c r="C6" s="60" t="s">
        <v>4</v>
      </c>
      <c r="G6" s="60">
        <v>90</v>
      </c>
      <c r="H6" s="60">
        <v>90</v>
      </c>
      <c r="I6" s="60" t="s">
        <v>215</v>
      </c>
      <c r="Q6" s="60" t="b">
        <v>1</v>
      </c>
    </row>
    <row r="7" spans="1:18" ht="15" customHeight="1" x14ac:dyDescent="0.25">
      <c r="A7" s="60" t="s">
        <v>216</v>
      </c>
      <c r="B7" s="60" t="s">
        <v>217</v>
      </c>
      <c r="C7" s="60" t="s">
        <v>5</v>
      </c>
      <c r="G7" s="60">
        <v>90</v>
      </c>
      <c r="H7" s="60">
        <v>90</v>
      </c>
      <c r="I7" s="60" t="s">
        <v>215</v>
      </c>
      <c r="Q7" s="60" t="b">
        <v>1</v>
      </c>
    </row>
    <row r="8" spans="1:18" ht="15" customHeight="1" x14ac:dyDescent="0.25">
      <c r="A8" s="60" t="s">
        <v>218</v>
      </c>
      <c r="B8" s="60" t="s">
        <v>219</v>
      </c>
      <c r="C8" s="60" t="s">
        <v>6</v>
      </c>
      <c r="G8" s="60">
        <v>60</v>
      </c>
      <c r="H8" s="60">
        <v>60</v>
      </c>
      <c r="I8" s="60" t="s">
        <v>215</v>
      </c>
      <c r="Q8" s="60" t="b">
        <v>1</v>
      </c>
    </row>
    <row r="9" spans="1:18" ht="15" customHeight="1" x14ac:dyDescent="0.25">
      <c r="A9" s="60" t="s">
        <v>220</v>
      </c>
      <c r="B9" s="60" t="s">
        <v>221</v>
      </c>
      <c r="C9" s="60" t="s">
        <v>1</v>
      </c>
      <c r="E9" s="60">
        <v>30</v>
      </c>
      <c r="F9" s="60">
        <v>30</v>
      </c>
      <c r="H9" s="60">
        <v>60</v>
      </c>
      <c r="I9" s="60" t="s">
        <v>206</v>
      </c>
      <c r="Q9" s="60" t="b">
        <v>1</v>
      </c>
    </row>
    <row r="10" spans="1:18" ht="15" customHeight="1" x14ac:dyDescent="0.25">
      <c r="A10" s="60" t="s">
        <v>222</v>
      </c>
      <c r="B10" s="60" t="s">
        <v>223</v>
      </c>
      <c r="C10" s="60" t="s">
        <v>2</v>
      </c>
      <c r="D10" s="60">
        <v>60</v>
      </c>
      <c r="E10" s="60">
        <v>15</v>
      </c>
      <c r="F10" s="60">
        <v>15</v>
      </c>
      <c r="H10" s="60">
        <v>90</v>
      </c>
      <c r="I10" s="60" t="s">
        <v>206</v>
      </c>
      <c r="J10" s="60" t="s">
        <v>207</v>
      </c>
      <c r="Q10" s="60" t="b">
        <v>1</v>
      </c>
    </row>
    <row r="11" spans="1:18" ht="15" customHeight="1" x14ac:dyDescent="0.25">
      <c r="A11" s="60" t="s">
        <v>224</v>
      </c>
      <c r="B11" s="60" t="s">
        <v>225</v>
      </c>
      <c r="C11" s="60" t="s">
        <v>3</v>
      </c>
      <c r="D11" s="60">
        <v>60</v>
      </c>
      <c r="E11" s="60">
        <v>15</v>
      </c>
      <c r="F11" s="60">
        <v>15</v>
      </c>
      <c r="H11" s="60">
        <v>90</v>
      </c>
      <c r="I11" s="60" t="s">
        <v>206</v>
      </c>
      <c r="J11" s="60" t="s">
        <v>222</v>
      </c>
      <c r="Q11" s="60" t="b">
        <v>1</v>
      </c>
    </row>
    <row r="12" spans="1:18" ht="15" customHeight="1" x14ac:dyDescent="0.25">
      <c r="A12" s="60" t="s">
        <v>226</v>
      </c>
      <c r="B12" s="60" t="s">
        <v>227</v>
      </c>
      <c r="C12" s="60" t="s">
        <v>5</v>
      </c>
      <c r="D12" s="60">
        <v>60</v>
      </c>
      <c r="E12" s="60">
        <v>15</v>
      </c>
      <c r="H12" s="60">
        <v>75</v>
      </c>
      <c r="I12" s="60" t="s">
        <v>206</v>
      </c>
      <c r="J12" s="60" t="s">
        <v>228</v>
      </c>
      <c r="Q12" s="60" t="b">
        <v>1</v>
      </c>
    </row>
    <row r="13" spans="1:18" ht="15" customHeight="1" x14ac:dyDescent="0.25">
      <c r="A13" s="60" t="s">
        <v>229</v>
      </c>
      <c r="B13" s="60" t="s">
        <v>230</v>
      </c>
      <c r="C13" s="60" t="s">
        <v>1</v>
      </c>
      <c r="E13" s="60">
        <v>15</v>
      </c>
      <c r="F13" s="60">
        <v>60</v>
      </c>
      <c r="H13" s="60">
        <v>75</v>
      </c>
      <c r="I13" s="60" t="s">
        <v>206</v>
      </c>
      <c r="Q13" s="60" t="b">
        <v>1</v>
      </c>
    </row>
    <row r="14" spans="1:18" ht="15" customHeight="1" x14ac:dyDescent="0.25">
      <c r="A14" s="60" t="s">
        <v>231</v>
      </c>
      <c r="B14" s="60" t="s">
        <v>232</v>
      </c>
      <c r="C14" s="60" t="s">
        <v>5</v>
      </c>
      <c r="E14" s="60">
        <v>30</v>
      </c>
      <c r="H14" s="60">
        <v>30</v>
      </c>
      <c r="I14" s="60" t="s">
        <v>206</v>
      </c>
      <c r="K14" s="60" t="s">
        <v>233</v>
      </c>
      <c r="Q14" s="60" t="b">
        <v>1</v>
      </c>
    </row>
    <row r="15" spans="1:18" ht="15" customHeight="1" x14ac:dyDescent="0.25">
      <c r="A15" s="60" t="s">
        <v>234</v>
      </c>
      <c r="B15" s="60" t="s">
        <v>235</v>
      </c>
      <c r="C15" s="60" t="s">
        <v>6</v>
      </c>
      <c r="H15" s="60">
        <v>120</v>
      </c>
      <c r="I15" s="60" t="s">
        <v>236</v>
      </c>
      <c r="J15" s="60" t="s">
        <v>23</v>
      </c>
      <c r="Q15" s="60" t="b">
        <v>1</v>
      </c>
    </row>
    <row r="16" spans="1:18" ht="15" customHeight="1" x14ac:dyDescent="0.25">
      <c r="A16" s="60" t="s">
        <v>237</v>
      </c>
      <c r="B16" s="60" t="s">
        <v>238</v>
      </c>
      <c r="C16" s="60" t="s">
        <v>2</v>
      </c>
      <c r="E16" s="60">
        <v>15</v>
      </c>
      <c r="F16" s="60">
        <v>45</v>
      </c>
      <c r="H16" s="60">
        <v>60</v>
      </c>
      <c r="I16" s="60" t="s">
        <v>206</v>
      </c>
      <c r="Q16" s="60" t="b">
        <v>1</v>
      </c>
    </row>
    <row r="17" spans="1:17" ht="15" customHeight="1" x14ac:dyDescent="0.25">
      <c r="A17" s="60" t="s">
        <v>239</v>
      </c>
      <c r="B17" s="60" t="s">
        <v>240</v>
      </c>
      <c r="C17" s="60" t="s">
        <v>1</v>
      </c>
      <c r="D17" s="60">
        <v>30</v>
      </c>
      <c r="H17" s="60">
        <v>30</v>
      </c>
      <c r="I17" s="60" t="s">
        <v>206</v>
      </c>
      <c r="Q17" s="60" t="b">
        <v>1</v>
      </c>
    </row>
    <row r="18" spans="1:17" ht="15" customHeight="1" x14ac:dyDescent="0.25">
      <c r="A18" s="60" t="s">
        <v>241</v>
      </c>
      <c r="B18" s="60" t="s">
        <v>242</v>
      </c>
      <c r="C18" s="60" t="s">
        <v>5</v>
      </c>
      <c r="E18" s="60">
        <v>30</v>
      </c>
      <c r="F18" s="60">
        <v>30</v>
      </c>
      <c r="H18" s="60">
        <v>60</v>
      </c>
      <c r="I18" s="60" t="s">
        <v>206</v>
      </c>
      <c r="J18" s="60" t="s">
        <v>243</v>
      </c>
      <c r="Q18" s="60" t="b">
        <v>1</v>
      </c>
    </row>
    <row r="19" spans="1:17" ht="15" customHeight="1" x14ac:dyDescent="0.25">
      <c r="A19" s="60" t="s">
        <v>244</v>
      </c>
      <c r="B19" s="60" t="s">
        <v>245</v>
      </c>
      <c r="C19" s="60" t="s">
        <v>2</v>
      </c>
      <c r="D19" s="60">
        <v>30</v>
      </c>
      <c r="E19" s="60">
        <v>30</v>
      </c>
      <c r="H19" s="60">
        <v>60</v>
      </c>
      <c r="I19" s="60" t="s">
        <v>206</v>
      </c>
      <c r="J19" s="60" t="s">
        <v>246</v>
      </c>
      <c r="Q19" s="60" t="b">
        <v>1</v>
      </c>
    </row>
    <row r="20" spans="1:17" ht="15" customHeight="1" x14ac:dyDescent="0.25">
      <c r="A20" s="60" t="s">
        <v>247</v>
      </c>
      <c r="B20" s="60" t="s">
        <v>248</v>
      </c>
      <c r="C20" s="60" t="s">
        <v>3</v>
      </c>
      <c r="D20" s="60">
        <v>30</v>
      </c>
      <c r="E20" s="60">
        <v>30</v>
      </c>
      <c r="H20" s="60">
        <v>60</v>
      </c>
      <c r="I20" s="60" t="s">
        <v>206</v>
      </c>
      <c r="J20" s="60" t="s">
        <v>244</v>
      </c>
      <c r="Q20" s="60" t="b">
        <v>1</v>
      </c>
    </row>
    <row r="21" spans="1:17" ht="15" customHeight="1" x14ac:dyDescent="0.25">
      <c r="A21" s="60" t="s">
        <v>249</v>
      </c>
      <c r="B21" s="60" t="s">
        <v>250</v>
      </c>
      <c r="C21" s="60" t="s">
        <v>3</v>
      </c>
      <c r="D21" s="60">
        <v>30</v>
      </c>
      <c r="E21" s="60">
        <v>15</v>
      </c>
      <c r="H21" s="60">
        <v>45</v>
      </c>
      <c r="I21" s="60" t="s">
        <v>206</v>
      </c>
      <c r="J21" s="60" t="s">
        <v>209</v>
      </c>
      <c r="Q21" s="60" t="b">
        <v>1</v>
      </c>
    </row>
    <row r="22" spans="1:17" ht="15" customHeight="1" x14ac:dyDescent="0.25">
      <c r="A22" s="60" t="s">
        <v>251</v>
      </c>
      <c r="B22" s="60" t="s">
        <v>252</v>
      </c>
      <c r="C22" s="60" t="s">
        <v>4</v>
      </c>
      <c r="D22" s="60">
        <v>60</v>
      </c>
      <c r="H22" s="60">
        <v>60</v>
      </c>
      <c r="I22" s="60" t="s">
        <v>206</v>
      </c>
      <c r="J22" s="60" t="s">
        <v>253</v>
      </c>
      <c r="Q22" s="60" t="b">
        <v>1</v>
      </c>
    </row>
    <row r="23" spans="1:17" ht="15" customHeight="1" x14ac:dyDescent="0.25">
      <c r="A23" s="60" t="s">
        <v>254</v>
      </c>
      <c r="B23" s="60" t="s">
        <v>255</v>
      </c>
      <c r="C23" s="60" t="s">
        <v>5</v>
      </c>
      <c r="D23" s="60">
        <v>30</v>
      </c>
      <c r="E23" s="60">
        <v>15</v>
      </c>
      <c r="F23" s="60">
        <v>15</v>
      </c>
      <c r="H23" s="60">
        <v>60</v>
      </c>
      <c r="I23" s="60" t="s">
        <v>206</v>
      </c>
      <c r="J23" s="60" t="s">
        <v>251</v>
      </c>
      <c r="K23" s="60" t="s">
        <v>256</v>
      </c>
      <c r="Q23" s="60" t="b">
        <v>1</v>
      </c>
    </row>
    <row r="24" spans="1:17" ht="15" customHeight="1" x14ac:dyDescent="0.25">
      <c r="A24" s="60" t="s">
        <v>257</v>
      </c>
      <c r="B24" s="60" t="s">
        <v>258</v>
      </c>
      <c r="C24" s="60" t="s">
        <v>2</v>
      </c>
      <c r="D24" s="60">
        <v>60</v>
      </c>
      <c r="H24" s="60">
        <v>60</v>
      </c>
      <c r="I24" s="60" t="s">
        <v>206</v>
      </c>
      <c r="J24" s="60" t="s">
        <v>207</v>
      </c>
      <c r="Q24" s="60" t="b">
        <v>1</v>
      </c>
    </row>
    <row r="25" spans="1:17" ht="15" customHeight="1" x14ac:dyDescent="0.25">
      <c r="A25" s="60" t="s">
        <v>259</v>
      </c>
      <c r="B25" s="60" t="s">
        <v>260</v>
      </c>
      <c r="C25" s="60" t="s">
        <v>3</v>
      </c>
      <c r="D25" s="60">
        <v>60</v>
      </c>
      <c r="H25" s="60">
        <v>60</v>
      </c>
      <c r="I25" s="60" t="s">
        <v>206</v>
      </c>
      <c r="J25" s="60" t="s">
        <v>261</v>
      </c>
      <c r="Q25" s="60" t="b">
        <v>1</v>
      </c>
    </row>
    <row r="26" spans="1:17" ht="15" customHeight="1" x14ac:dyDescent="0.25">
      <c r="A26" s="60" t="s">
        <v>262</v>
      </c>
      <c r="B26" s="60" t="s">
        <v>263</v>
      </c>
      <c r="D26" s="60">
        <v>45</v>
      </c>
      <c r="H26" s="60">
        <v>45</v>
      </c>
      <c r="I26" s="60" t="s">
        <v>264</v>
      </c>
      <c r="Q26" s="60" t="b">
        <v>1</v>
      </c>
    </row>
    <row r="27" spans="1:17" ht="15" customHeight="1" x14ac:dyDescent="0.25">
      <c r="A27" s="60" t="s">
        <v>265</v>
      </c>
      <c r="B27" s="60" t="s">
        <v>266</v>
      </c>
      <c r="C27" s="60" t="s">
        <v>6</v>
      </c>
      <c r="D27" s="60">
        <v>60</v>
      </c>
      <c r="E27" s="60">
        <v>15</v>
      </c>
      <c r="H27" s="60">
        <v>75</v>
      </c>
      <c r="I27" s="60" t="s">
        <v>206</v>
      </c>
      <c r="Q27" s="60" t="b">
        <v>1</v>
      </c>
    </row>
    <row r="28" spans="1:17" ht="15" customHeight="1" x14ac:dyDescent="0.25">
      <c r="A28" s="60" t="s">
        <v>267</v>
      </c>
      <c r="B28" s="60" t="s">
        <v>268</v>
      </c>
      <c r="C28" s="60" t="s">
        <v>6</v>
      </c>
      <c r="D28" s="60">
        <v>30</v>
      </c>
      <c r="H28" s="60">
        <v>30</v>
      </c>
      <c r="I28" s="60" t="s">
        <v>206</v>
      </c>
      <c r="Q28" s="60" t="b">
        <v>1</v>
      </c>
    </row>
    <row r="29" spans="1:17" ht="15" customHeight="1" x14ac:dyDescent="0.25">
      <c r="A29" s="60" t="s">
        <v>269</v>
      </c>
      <c r="B29" s="60" t="s">
        <v>270</v>
      </c>
      <c r="C29" s="60" t="s">
        <v>4</v>
      </c>
      <c r="D29" s="60">
        <v>75</v>
      </c>
      <c r="H29" s="60">
        <v>75</v>
      </c>
      <c r="I29" s="60" t="s">
        <v>206</v>
      </c>
      <c r="J29" s="60" t="s">
        <v>271</v>
      </c>
      <c r="Q29" s="60" t="b">
        <v>1</v>
      </c>
    </row>
    <row r="30" spans="1:17" ht="15" customHeight="1" x14ac:dyDescent="0.25">
      <c r="A30" s="60" t="s">
        <v>272</v>
      </c>
      <c r="B30" s="60" t="s">
        <v>273</v>
      </c>
      <c r="D30" s="60">
        <v>30</v>
      </c>
      <c r="H30" s="60">
        <v>30</v>
      </c>
      <c r="I30" s="60" t="s">
        <v>274</v>
      </c>
      <c r="Q30" s="60" t="b">
        <v>1</v>
      </c>
    </row>
    <row r="31" spans="1:17" ht="15" customHeight="1" x14ac:dyDescent="0.25">
      <c r="A31" s="60" t="s">
        <v>275</v>
      </c>
      <c r="B31" s="60" t="s">
        <v>276</v>
      </c>
      <c r="D31" s="60">
        <v>60</v>
      </c>
      <c r="H31" s="60">
        <v>60</v>
      </c>
      <c r="I31" s="60" t="s">
        <v>274</v>
      </c>
      <c r="Q31" s="60" t="b">
        <v>1</v>
      </c>
    </row>
    <row r="32" spans="1:17" ht="15" customHeight="1" x14ac:dyDescent="0.25">
      <c r="A32" s="60" t="s">
        <v>277</v>
      </c>
      <c r="B32" s="60" t="s">
        <v>278</v>
      </c>
      <c r="D32" s="60">
        <v>60</v>
      </c>
      <c r="H32" s="60">
        <v>60</v>
      </c>
      <c r="I32" s="60" t="s">
        <v>274</v>
      </c>
      <c r="Q32" s="60" t="b">
        <v>1</v>
      </c>
    </row>
    <row r="33" spans="1:17" ht="15" customHeight="1" x14ac:dyDescent="0.25">
      <c r="A33" s="60" t="s">
        <v>279</v>
      </c>
      <c r="B33" s="60" t="s">
        <v>280</v>
      </c>
      <c r="D33" s="60">
        <v>60</v>
      </c>
      <c r="H33" s="60">
        <v>60</v>
      </c>
      <c r="I33" s="60" t="s">
        <v>274</v>
      </c>
      <c r="Q33" s="60" t="b">
        <v>1</v>
      </c>
    </row>
    <row r="34" spans="1:17" ht="15" customHeight="1" x14ac:dyDescent="0.25">
      <c r="A34" s="60" t="s">
        <v>281</v>
      </c>
      <c r="B34" s="60" t="s">
        <v>282</v>
      </c>
      <c r="D34" s="60">
        <v>60</v>
      </c>
      <c r="H34" s="60">
        <v>60</v>
      </c>
      <c r="I34" s="60" t="s">
        <v>274</v>
      </c>
      <c r="Q34" s="60" t="b">
        <v>1</v>
      </c>
    </row>
    <row r="35" spans="1:17" ht="15" customHeight="1" x14ac:dyDescent="0.25">
      <c r="A35" s="60" t="s">
        <v>283</v>
      </c>
      <c r="B35" s="60" t="s">
        <v>284</v>
      </c>
      <c r="D35" s="60">
        <v>60</v>
      </c>
      <c r="H35" s="60">
        <v>60</v>
      </c>
      <c r="I35" s="60" t="s">
        <v>274</v>
      </c>
      <c r="Q35" s="60" t="b">
        <v>1</v>
      </c>
    </row>
    <row r="36" spans="1:17" ht="15" customHeight="1" x14ac:dyDescent="0.25">
      <c r="A36" s="60" t="s">
        <v>285</v>
      </c>
      <c r="B36" s="60" t="s">
        <v>286</v>
      </c>
      <c r="D36" s="60">
        <v>60</v>
      </c>
      <c r="H36" s="60">
        <v>60</v>
      </c>
      <c r="I36" s="60" t="s">
        <v>274</v>
      </c>
      <c r="Q36" s="60" t="b">
        <v>1</v>
      </c>
    </row>
    <row r="37" spans="1:17" ht="15" customHeight="1" x14ac:dyDescent="0.25">
      <c r="A37" s="60" t="s">
        <v>287</v>
      </c>
      <c r="B37" s="60" t="s">
        <v>288</v>
      </c>
      <c r="C37" s="60" t="s">
        <v>4</v>
      </c>
      <c r="E37" s="60">
        <v>15</v>
      </c>
      <c r="F37" s="60">
        <v>60</v>
      </c>
      <c r="H37" s="60">
        <v>75</v>
      </c>
      <c r="I37" s="60" t="s">
        <v>206</v>
      </c>
      <c r="J37" s="60" t="s">
        <v>247</v>
      </c>
      <c r="Q37" s="60" t="b">
        <v>1</v>
      </c>
    </row>
    <row r="38" spans="1:17" ht="15" customHeight="1" x14ac:dyDescent="0.25">
      <c r="A38" s="60" t="s">
        <v>289</v>
      </c>
      <c r="B38" s="60" t="s">
        <v>290</v>
      </c>
      <c r="C38" s="60" t="s">
        <v>5</v>
      </c>
      <c r="D38" s="60">
        <v>30</v>
      </c>
      <c r="E38" s="60">
        <v>30</v>
      </c>
      <c r="H38" s="60">
        <v>60</v>
      </c>
      <c r="I38" s="60" t="s">
        <v>206</v>
      </c>
      <c r="J38" s="60" t="s">
        <v>291</v>
      </c>
      <c r="Q38" s="60" t="b">
        <v>1</v>
      </c>
    </row>
    <row r="39" spans="1:17" ht="15" customHeight="1" x14ac:dyDescent="0.25">
      <c r="A39" s="60" t="s">
        <v>256</v>
      </c>
      <c r="B39" s="60" t="s">
        <v>292</v>
      </c>
      <c r="C39" s="60" t="s">
        <v>5</v>
      </c>
      <c r="D39" s="60">
        <v>60</v>
      </c>
      <c r="F39" s="60">
        <v>15</v>
      </c>
      <c r="H39" s="60">
        <v>75</v>
      </c>
      <c r="I39" s="60" t="s">
        <v>206</v>
      </c>
      <c r="K39" s="60" t="s">
        <v>293</v>
      </c>
      <c r="Q39" s="60" t="b">
        <v>1</v>
      </c>
    </row>
    <row r="40" spans="1:17" ht="15" customHeight="1" x14ac:dyDescent="0.25">
      <c r="A40" s="60" t="s">
        <v>271</v>
      </c>
      <c r="B40" s="60" t="s">
        <v>294</v>
      </c>
      <c r="C40" s="60" t="s">
        <v>3</v>
      </c>
      <c r="D40" s="60">
        <v>60</v>
      </c>
      <c r="H40" s="60">
        <v>60</v>
      </c>
      <c r="I40" s="60" t="s">
        <v>206</v>
      </c>
      <c r="J40" s="60" t="s">
        <v>209</v>
      </c>
      <c r="Q40" s="60" t="b">
        <v>1</v>
      </c>
    </row>
    <row r="41" spans="1:17" ht="15" customHeight="1" x14ac:dyDescent="0.25">
      <c r="A41" s="60" t="s">
        <v>295</v>
      </c>
      <c r="B41" s="60" t="s">
        <v>296</v>
      </c>
      <c r="D41" s="60">
        <v>60</v>
      </c>
      <c r="H41" s="60">
        <v>60</v>
      </c>
      <c r="I41" s="60" t="s">
        <v>274</v>
      </c>
      <c r="Q41" s="60" t="b">
        <v>1</v>
      </c>
    </row>
    <row r="42" spans="1:17" ht="15" customHeight="1" x14ac:dyDescent="0.25">
      <c r="A42" s="60" t="s">
        <v>297</v>
      </c>
      <c r="B42" s="60" t="s">
        <v>298</v>
      </c>
      <c r="D42" s="60">
        <v>60</v>
      </c>
      <c r="H42" s="60">
        <v>60</v>
      </c>
      <c r="I42" s="60" t="s">
        <v>274</v>
      </c>
      <c r="Q42" s="60" t="b">
        <v>1</v>
      </c>
    </row>
    <row r="43" spans="1:17" ht="15" customHeight="1" x14ac:dyDescent="0.25">
      <c r="A43" s="60" t="s">
        <v>299</v>
      </c>
      <c r="B43" s="60" t="s">
        <v>300</v>
      </c>
      <c r="D43" s="60">
        <v>60</v>
      </c>
      <c r="H43" s="60">
        <v>60</v>
      </c>
      <c r="I43" s="60" t="s">
        <v>274</v>
      </c>
      <c r="Q43" s="60" t="b">
        <v>1</v>
      </c>
    </row>
    <row r="44" spans="1:17" ht="15" customHeight="1" x14ac:dyDescent="0.25">
      <c r="A44" s="60" t="s">
        <v>301</v>
      </c>
      <c r="B44" s="60" t="s">
        <v>302</v>
      </c>
      <c r="D44" s="60">
        <v>60</v>
      </c>
      <c r="H44" s="60">
        <v>60</v>
      </c>
      <c r="I44" s="60" t="s">
        <v>274</v>
      </c>
      <c r="Q44" s="60" t="b">
        <v>1</v>
      </c>
    </row>
    <row r="45" spans="1:17" ht="15" customHeight="1" x14ac:dyDescent="0.25">
      <c r="A45" s="60" t="s">
        <v>303</v>
      </c>
      <c r="B45" s="60" t="s">
        <v>304</v>
      </c>
      <c r="D45" s="60">
        <v>60</v>
      </c>
      <c r="H45" s="60">
        <v>60</v>
      </c>
      <c r="I45" s="60" t="s">
        <v>274</v>
      </c>
      <c r="Q45" s="60" t="b">
        <v>1</v>
      </c>
    </row>
    <row r="46" spans="1:17" ht="15" customHeight="1" x14ac:dyDescent="0.25">
      <c r="A46" s="60" t="s">
        <v>305</v>
      </c>
      <c r="B46" s="60" t="s">
        <v>306</v>
      </c>
      <c r="D46" s="60">
        <v>60</v>
      </c>
      <c r="H46" s="60">
        <v>60</v>
      </c>
      <c r="I46" s="60" t="s">
        <v>274</v>
      </c>
      <c r="Q46" s="60" t="b">
        <v>1</v>
      </c>
    </row>
    <row r="47" spans="1:17" ht="15" customHeight="1" x14ac:dyDescent="0.25">
      <c r="A47" s="60" t="s">
        <v>307</v>
      </c>
      <c r="B47" s="60" t="s">
        <v>308</v>
      </c>
      <c r="D47" s="60">
        <v>60</v>
      </c>
      <c r="H47" s="60">
        <v>60</v>
      </c>
      <c r="I47" s="60" t="s">
        <v>274</v>
      </c>
      <c r="Q47" s="60" t="b">
        <v>1</v>
      </c>
    </row>
    <row r="48" spans="1:17" ht="15" customHeight="1" x14ac:dyDescent="0.25">
      <c r="A48" s="60" t="s">
        <v>309</v>
      </c>
      <c r="B48" s="60" t="s">
        <v>310</v>
      </c>
      <c r="D48" s="60">
        <v>60</v>
      </c>
      <c r="H48" s="60">
        <v>60</v>
      </c>
      <c r="I48" s="60" t="s">
        <v>274</v>
      </c>
      <c r="Q48" s="60" t="b">
        <v>1</v>
      </c>
    </row>
    <row r="49" spans="1:17" ht="15" customHeight="1" x14ac:dyDescent="0.25">
      <c r="A49" s="60" t="s">
        <v>311</v>
      </c>
      <c r="B49" s="60" t="s">
        <v>312</v>
      </c>
      <c r="D49" s="60">
        <v>60</v>
      </c>
      <c r="H49" s="60">
        <v>60</v>
      </c>
      <c r="I49" s="60" t="s">
        <v>274</v>
      </c>
      <c r="Q49" s="60" t="b">
        <v>1</v>
      </c>
    </row>
    <row r="50" spans="1:17" ht="15" customHeight="1" x14ac:dyDescent="0.25">
      <c r="A50" s="60" t="s">
        <v>246</v>
      </c>
      <c r="B50" s="60" t="s">
        <v>313</v>
      </c>
      <c r="C50" s="60" t="s">
        <v>1</v>
      </c>
      <c r="D50" s="60">
        <v>30</v>
      </c>
      <c r="E50" s="60">
        <v>30</v>
      </c>
      <c r="H50" s="60">
        <v>60</v>
      </c>
      <c r="I50" s="60" t="s">
        <v>206</v>
      </c>
      <c r="Q50" s="60" t="b">
        <v>1</v>
      </c>
    </row>
    <row r="51" spans="1:17" ht="15" customHeight="1" x14ac:dyDescent="0.25">
      <c r="A51" s="60" t="s">
        <v>314</v>
      </c>
      <c r="B51" s="60" t="s">
        <v>315</v>
      </c>
      <c r="C51" s="60" t="s">
        <v>6</v>
      </c>
      <c r="D51" s="60">
        <v>30</v>
      </c>
      <c r="H51" s="60">
        <v>30</v>
      </c>
      <c r="I51" s="60" t="s">
        <v>206</v>
      </c>
      <c r="K51" s="60" t="s">
        <v>316</v>
      </c>
      <c r="Q51" s="60" t="b">
        <v>1</v>
      </c>
    </row>
    <row r="52" spans="1:17" ht="15" customHeight="1" x14ac:dyDescent="0.25">
      <c r="A52" s="60" t="s">
        <v>317</v>
      </c>
      <c r="B52" s="60" t="s">
        <v>318</v>
      </c>
      <c r="C52" s="60" t="s">
        <v>6</v>
      </c>
      <c r="E52" s="60">
        <v>30</v>
      </c>
      <c r="H52" s="60">
        <v>30</v>
      </c>
      <c r="I52" s="60" t="s">
        <v>206</v>
      </c>
      <c r="K52" s="60" t="s">
        <v>319</v>
      </c>
      <c r="Q52" s="60" t="b">
        <v>1</v>
      </c>
    </row>
    <row r="53" spans="1:17" ht="15" customHeight="1" x14ac:dyDescent="0.25">
      <c r="A53" s="60" t="s">
        <v>320</v>
      </c>
      <c r="B53" s="60" t="s">
        <v>321</v>
      </c>
      <c r="C53" s="60" t="s">
        <v>1</v>
      </c>
      <c r="D53" s="60">
        <v>60</v>
      </c>
      <c r="H53" s="60">
        <v>60</v>
      </c>
      <c r="I53" s="60" t="s">
        <v>206</v>
      </c>
      <c r="Q53" s="60" t="b">
        <v>1</v>
      </c>
    </row>
    <row r="54" spans="1:17" ht="15" customHeight="1" x14ac:dyDescent="0.25">
      <c r="A54" s="60" t="s">
        <v>322</v>
      </c>
      <c r="B54" s="60" t="s">
        <v>323</v>
      </c>
      <c r="C54" s="60" t="s">
        <v>4</v>
      </c>
      <c r="D54" s="60">
        <v>45</v>
      </c>
      <c r="E54" s="60">
        <v>15</v>
      </c>
      <c r="H54" s="60">
        <v>60</v>
      </c>
      <c r="I54" s="60" t="s">
        <v>206</v>
      </c>
      <c r="K54" s="60" t="s">
        <v>243</v>
      </c>
      <c r="Q54" s="60" t="b">
        <v>1</v>
      </c>
    </row>
    <row r="55" spans="1:17" ht="15" customHeight="1" x14ac:dyDescent="0.25">
      <c r="A55" s="60" t="s">
        <v>243</v>
      </c>
      <c r="B55" s="60" t="s">
        <v>324</v>
      </c>
      <c r="C55" s="60" t="s">
        <v>4</v>
      </c>
      <c r="D55" s="60">
        <v>60</v>
      </c>
      <c r="H55" s="60">
        <v>60</v>
      </c>
      <c r="I55" s="60" t="s">
        <v>206</v>
      </c>
      <c r="Q55" s="60" t="b">
        <v>1</v>
      </c>
    </row>
    <row r="56" spans="1:17" ht="15" customHeight="1" x14ac:dyDescent="0.25"/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79" t="s">
        <v>325</v>
      </c>
      <c r="B1" s="79" t="s">
        <v>326</v>
      </c>
      <c r="C1" s="79" t="s">
        <v>327</v>
      </c>
    </row>
    <row r="2" spans="1:3" x14ac:dyDescent="0.25">
      <c r="A2" s="81"/>
      <c r="B2" s="81"/>
      <c r="C2" s="82"/>
    </row>
    <row r="3" spans="1:3" x14ac:dyDescent="0.25">
      <c r="A3" s="81"/>
      <c r="B3" s="81"/>
      <c r="C3" s="82"/>
    </row>
    <row r="4" spans="1:3" x14ac:dyDescent="0.25">
      <c r="A4" s="81"/>
      <c r="B4" s="81"/>
      <c r="C4" s="82"/>
    </row>
    <row r="5" spans="1:3" x14ac:dyDescent="0.25">
      <c r="A5" s="81"/>
      <c r="B5" s="81"/>
      <c r="C5" s="82"/>
    </row>
    <row r="6" spans="1:3" x14ac:dyDescent="0.25">
      <c r="A6" s="81"/>
      <c r="B6" s="81"/>
      <c r="C6" s="82"/>
    </row>
    <row r="7" spans="1:3" x14ac:dyDescent="0.25">
      <c r="A7" s="81"/>
      <c r="B7" s="81"/>
      <c r="C7" s="82"/>
    </row>
    <row r="8" spans="1:3" x14ac:dyDescent="0.25">
      <c r="A8" s="81"/>
      <c r="B8" s="81"/>
      <c r="C8" s="82"/>
    </row>
    <row r="9" spans="1:3" x14ac:dyDescent="0.25">
      <c r="A9" s="81"/>
      <c r="B9" s="81"/>
      <c r="C9" s="82"/>
    </row>
    <row r="10" spans="1:3" x14ac:dyDescent="0.25">
      <c r="A10" s="81"/>
      <c r="B10" s="81"/>
      <c r="C10" s="82"/>
    </row>
    <row r="11" spans="1:3" x14ac:dyDescent="0.25">
      <c r="A11" s="81"/>
      <c r="B11" s="81"/>
      <c r="C11" s="82"/>
    </row>
    <row r="12" spans="1:3" x14ac:dyDescent="0.25">
      <c r="A12" s="81"/>
      <c r="B12" s="81"/>
      <c r="C12" s="82"/>
    </row>
    <row r="13" spans="1:3" x14ac:dyDescent="0.25">
      <c r="A13" s="81"/>
      <c r="B13" s="81"/>
      <c r="C13" s="82"/>
    </row>
    <row r="14" spans="1:3" x14ac:dyDescent="0.25">
      <c r="A14" s="81"/>
      <c r="B14" s="81"/>
      <c r="C14" s="82"/>
    </row>
    <row r="15" spans="1:3" x14ac:dyDescent="0.25">
      <c r="A15" s="81"/>
      <c r="B15" s="81"/>
      <c r="C15" s="82"/>
    </row>
    <row r="16" spans="1:3" x14ac:dyDescent="0.25">
      <c r="A16" s="81"/>
      <c r="B16" s="81"/>
      <c r="C16" s="82"/>
    </row>
    <row r="17" spans="1:3" x14ac:dyDescent="0.25">
      <c r="A17" s="81"/>
      <c r="B17" s="81"/>
      <c r="C17" s="82"/>
    </row>
    <row r="18" spans="1:3" x14ac:dyDescent="0.25">
      <c r="A18" s="81"/>
      <c r="B18" s="81"/>
      <c r="C18" s="82"/>
    </row>
    <row r="19" spans="1:3" x14ac:dyDescent="0.25">
      <c r="A19" s="81"/>
      <c r="B19" s="81"/>
      <c r="C19" s="82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79" t="s">
        <v>328</v>
      </c>
      <c r="B1" s="79" t="s">
        <v>187</v>
      </c>
      <c r="C1" s="79" t="s">
        <v>329</v>
      </c>
      <c r="D1" s="79" t="s">
        <v>330</v>
      </c>
    </row>
    <row r="2" spans="1:4" ht="60" customHeight="1" x14ac:dyDescent="0.25">
      <c r="A2" s="82" t="s">
        <v>331</v>
      </c>
      <c r="B2" s="82" t="s">
        <v>332</v>
      </c>
      <c r="C2" s="82" t="s">
        <v>333</v>
      </c>
      <c r="D2" s="82" t="s">
        <v>334</v>
      </c>
    </row>
    <row r="3" spans="1:4" ht="60" customHeight="1" x14ac:dyDescent="0.25">
      <c r="A3" s="82" t="s">
        <v>335</v>
      </c>
      <c r="B3" s="82" t="s">
        <v>336</v>
      </c>
      <c r="C3" s="82" t="s">
        <v>337</v>
      </c>
      <c r="D3" s="82" t="s">
        <v>338</v>
      </c>
    </row>
    <row r="4" spans="1:4" ht="60" customHeight="1" x14ac:dyDescent="0.25">
      <c r="A4" s="82" t="s">
        <v>339</v>
      </c>
      <c r="B4" s="82" t="s">
        <v>340</v>
      </c>
      <c r="C4" s="82" t="s">
        <v>341</v>
      </c>
      <c r="D4" s="82" t="s">
        <v>342</v>
      </c>
    </row>
    <row r="5" spans="1:4" ht="100.9" customHeight="1" x14ac:dyDescent="0.25">
      <c r="A5" s="82" t="s">
        <v>343</v>
      </c>
      <c r="B5" s="82" t="s">
        <v>344</v>
      </c>
      <c r="C5" s="82" t="s">
        <v>345</v>
      </c>
      <c r="D5" s="82" t="s">
        <v>346</v>
      </c>
    </row>
    <row r="6" spans="1:4" ht="28.9" customHeight="1" x14ac:dyDescent="0.25">
      <c r="A6" s="82" t="s">
        <v>347</v>
      </c>
      <c r="B6" s="82" t="s">
        <v>348</v>
      </c>
      <c r="C6" s="82" t="s">
        <v>349</v>
      </c>
      <c r="D6" s="82" t="s">
        <v>350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79" t="s">
        <v>328</v>
      </c>
      <c r="B1" s="79" t="s">
        <v>187</v>
      </c>
      <c r="C1" s="79" t="s">
        <v>329</v>
      </c>
      <c r="D1" s="79" t="s">
        <v>330</v>
      </c>
    </row>
    <row r="2" spans="1:4" ht="57.6" customHeight="1" x14ac:dyDescent="0.25">
      <c r="A2" s="82" t="s">
        <v>351</v>
      </c>
      <c r="B2" s="82" t="s">
        <v>352</v>
      </c>
      <c r="C2" s="82" t="s">
        <v>353</v>
      </c>
      <c r="D2" s="82" t="s">
        <v>354</v>
      </c>
    </row>
    <row r="3" spans="1:4" ht="28.9" customHeight="1" x14ac:dyDescent="0.25">
      <c r="A3" s="82" t="s">
        <v>355</v>
      </c>
      <c r="B3" s="82" t="s">
        <v>356</v>
      </c>
      <c r="C3" s="82" t="s">
        <v>357</v>
      </c>
      <c r="D3" s="82" t="s">
        <v>358</v>
      </c>
    </row>
    <row r="4" spans="1:4" ht="28.9" customHeight="1" x14ac:dyDescent="0.25">
      <c r="A4" s="82" t="s">
        <v>359</v>
      </c>
      <c r="B4" s="82" t="s">
        <v>360</v>
      </c>
      <c r="C4" s="82" t="s">
        <v>361</v>
      </c>
      <c r="D4" s="82" t="s">
        <v>362</v>
      </c>
    </row>
    <row r="5" spans="1:4" ht="28.9" customHeight="1" x14ac:dyDescent="0.25">
      <c r="A5" s="82" t="s">
        <v>363</v>
      </c>
      <c r="B5" s="82" t="s">
        <v>364</v>
      </c>
      <c r="C5" s="82" t="s">
        <v>365</v>
      </c>
      <c r="D5" s="82" t="s">
        <v>366</v>
      </c>
    </row>
    <row r="6" spans="1:4" ht="28.9" customHeight="1" x14ac:dyDescent="0.25">
      <c r="A6" s="82" t="s">
        <v>367</v>
      </c>
      <c r="B6" s="82" t="s">
        <v>368</v>
      </c>
      <c r="C6" s="82" t="s">
        <v>369</v>
      </c>
      <c r="D6" s="82" t="s">
        <v>370</v>
      </c>
    </row>
    <row r="7" spans="1:4" ht="28.9" customHeight="1" x14ac:dyDescent="0.25">
      <c r="A7" s="82" t="s">
        <v>371</v>
      </c>
      <c r="B7" s="82" t="s">
        <v>372</v>
      </c>
      <c r="C7" s="82" t="s">
        <v>373</v>
      </c>
      <c r="D7" s="82" t="s">
        <v>374</v>
      </c>
    </row>
    <row r="8" spans="1:4" ht="28.9" customHeight="1" x14ac:dyDescent="0.25">
      <c r="A8" s="82" t="s">
        <v>375</v>
      </c>
      <c r="B8" s="82" t="s">
        <v>376</v>
      </c>
      <c r="C8" s="82" t="s">
        <v>377</v>
      </c>
      <c r="D8" s="82" t="s">
        <v>378</v>
      </c>
    </row>
    <row r="9" spans="1:4" ht="28.9" customHeight="1" x14ac:dyDescent="0.25">
      <c r="A9" s="82" t="s">
        <v>379</v>
      </c>
      <c r="B9" s="82" t="s">
        <v>380</v>
      </c>
      <c r="C9" s="82" t="s">
        <v>381</v>
      </c>
      <c r="D9" s="82" t="s">
        <v>382</v>
      </c>
    </row>
    <row r="10" spans="1:4" ht="28.9" customHeight="1" x14ac:dyDescent="0.25">
      <c r="A10" s="82" t="s">
        <v>383</v>
      </c>
      <c r="B10" s="82" t="s">
        <v>384</v>
      </c>
      <c r="C10" s="82" t="s">
        <v>385</v>
      </c>
      <c r="D10" s="82" t="s">
        <v>386</v>
      </c>
    </row>
    <row r="11" spans="1:4" ht="28.9" customHeight="1" x14ac:dyDescent="0.25">
      <c r="A11" s="82" t="s">
        <v>387</v>
      </c>
      <c r="B11" s="82" t="s">
        <v>388</v>
      </c>
      <c r="C11" s="82" t="s">
        <v>389</v>
      </c>
      <c r="D11" s="82" t="s">
        <v>390</v>
      </c>
    </row>
    <row r="12" spans="1:4" ht="28.9" customHeight="1" x14ac:dyDescent="0.25">
      <c r="A12" s="82" t="s">
        <v>391</v>
      </c>
      <c r="B12" s="82" t="s">
        <v>392</v>
      </c>
      <c r="C12" s="82" t="s">
        <v>393</v>
      </c>
      <c r="D12" s="82" t="s">
        <v>394</v>
      </c>
    </row>
    <row r="13" spans="1:4" ht="28.9" customHeight="1" x14ac:dyDescent="0.25">
      <c r="A13" s="82" t="s">
        <v>395</v>
      </c>
      <c r="B13" s="82" t="s">
        <v>396</v>
      </c>
      <c r="C13" s="82" t="s">
        <v>397</v>
      </c>
      <c r="D13" s="82" t="s">
        <v>398</v>
      </c>
    </row>
    <row r="14" spans="1:4" ht="28.9" customHeight="1" x14ac:dyDescent="0.25">
      <c r="A14" s="82" t="s">
        <v>399</v>
      </c>
      <c r="B14" s="82" t="s">
        <v>400</v>
      </c>
      <c r="C14" s="82" t="s">
        <v>401</v>
      </c>
      <c r="D14" s="82" t="s">
        <v>322</v>
      </c>
    </row>
    <row r="15" spans="1:4" ht="28.9" customHeight="1" x14ac:dyDescent="0.25">
      <c r="A15" s="82" t="s">
        <v>402</v>
      </c>
      <c r="B15" s="82" t="s">
        <v>403</v>
      </c>
      <c r="C15" s="82" t="s">
        <v>404</v>
      </c>
      <c r="D15" s="82" t="s">
        <v>405</v>
      </c>
    </row>
    <row r="16" spans="1:4" ht="28.9" customHeight="1" x14ac:dyDescent="0.25">
      <c r="A16" s="82" t="s">
        <v>406</v>
      </c>
      <c r="B16" s="82" t="s">
        <v>407</v>
      </c>
      <c r="C16" s="82" t="s">
        <v>408</v>
      </c>
      <c r="D16" s="82" t="s">
        <v>409</v>
      </c>
    </row>
    <row r="17" spans="1:4" ht="28.9" customHeight="1" x14ac:dyDescent="0.25">
      <c r="A17" s="82" t="s">
        <v>410</v>
      </c>
      <c r="B17" s="82" t="s">
        <v>411</v>
      </c>
      <c r="C17" s="82" t="s">
        <v>412</v>
      </c>
      <c r="D17" s="82" t="s">
        <v>413</v>
      </c>
    </row>
    <row r="18" spans="1:4" ht="28.9" customHeight="1" x14ac:dyDescent="0.25">
      <c r="A18" s="82" t="s">
        <v>414</v>
      </c>
      <c r="B18" s="82" t="s">
        <v>415</v>
      </c>
      <c r="C18" s="82" t="s">
        <v>416</v>
      </c>
      <c r="D18" s="82" t="s">
        <v>417</v>
      </c>
    </row>
    <row r="19" spans="1:4" ht="28.9" customHeight="1" x14ac:dyDescent="0.25">
      <c r="A19" s="82" t="s">
        <v>418</v>
      </c>
      <c r="B19" s="82" t="s">
        <v>419</v>
      </c>
      <c r="C19" s="82" t="s">
        <v>420</v>
      </c>
      <c r="D19" s="82" t="s">
        <v>421</v>
      </c>
    </row>
    <row r="20" spans="1:4" ht="28.9" customHeight="1" x14ac:dyDescent="0.25">
      <c r="A20" s="82" t="s">
        <v>422</v>
      </c>
      <c r="B20" s="82" t="s">
        <v>423</v>
      </c>
      <c r="C20" s="82" t="s">
        <v>424</v>
      </c>
      <c r="D20" s="82" t="s">
        <v>425</v>
      </c>
    </row>
    <row r="21" spans="1:4" ht="28.9" customHeight="1" x14ac:dyDescent="0.25">
      <c r="A21" s="82" t="s">
        <v>426</v>
      </c>
      <c r="B21" s="82" t="s">
        <v>427</v>
      </c>
      <c r="C21" s="82" t="s">
        <v>428</v>
      </c>
      <c r="D21" s="82" t="s">
        <v>429</v>
      </c>
    </row>
    <row r="22" spans="1:4" ht="28.9" customHeight="1" x14ac:dyDescent="0.25">
      <c r="A22" s="82" t="s">
        <v>430</v>
      </c>
      <c r="B22" s="82" t="s">
        <v>431</v>
      </c>
      <c r="C22" s="82" t="s">
        <v>432</v>
      </c>
      <c r="D22" s="82" t="s">
        <v>433</v>
      </c>
    </row>
    <row r="23" spans="1:4" ht="28.9" customHeight="1" x14ac:dyDescent="0.25">
      <c r="A23" s="82" t="s">
        <v>434</v>
      </c>
      <c r="B23" s="82" t="s">
        <v>435</v>
      </c>
      <c r="C23" s="82" t="s">
        <v>436</v>
      </c>
      <c r="D23" s="82" t="s">
        <v>437</v>
      </c>
    </row>
    <row r="24" spans="1:4" ht="28.9" customHeight="1" x14ac:dyDescent="0.25">
      <c r="A24" s="82" t="s">
        <v>438</v>
      </c>
      <c r="B24" s="82" t="s">
        <v>348</v>
      </c>
      <c r="C24" s="82" t="s">
        <v>439</v>
      </c>
      <c r="D24" s="82" t="s">
        <v>440</v>
      </c>
    </row>
    <row r="25" spans="1:4" ht="28.9" customHeight="1" x14ac:dyDescent="0.25">
      <c r="A25" s="82" t="s">
        <v>441</v>
      </c>
      <c r="B25" s="82" t="s">
        <v>442</v>
      </c>
      <c r="C25" s="82" t="s">
        <v>443</v>
      </c>
      <c r="D25" s="82" t="s">
        <v>444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63" customFormat="1" ht="22.15" customHeight="1" x14ac:dyDescent="0.25">
      <c r="A1" s="79" t="s">
        <v>328</v>
      </c>
      <c r="B1" s="79" t="s">
        <v>187</v>
      </c>
      <c r="C1" s="79" t="s">
        <v>329</v>
      </c>
      <c r="D1" s="79" t="s">
        <v>445</v>
      </c>
      <c r="E1" s="79" t="s">
        <v>446</v>
      </c>
      <c r="F1" s="79" t="s">
        <v>330</v>
      </c>
    </row>
    <row r="2" spans="1:6" ht="100.9" customHeight="1" x14ac:dyDescent="0.25">
      <c r="A2" s="82" t="s">
        <v>447</v>
      </c>
      <c r="B2" s="82" t="s">
        <v>448</v>
      </c>
      <c r="C2" s="82" t="s">
        <v>449</v>
      </c>
      <c r="D2" s="82" t="s">
        <v>450</v>
      </c>
      <c r="E2" s="82" t="s">
        <v>451</v>
      </c>
      <c r="F2" s="82" t="s">
        <v>452</v>
      </c>
    </row>
    <row r="3" spans="1:6" ht="43.15" customHeight="1" x14ac:dyDescent="0.25">
      <c r="A3" s="82" t="s">
        <v>453</v>
      </c>
      <c r="B3" s="82" t="s">
        <v>454</v>
      </c>
      <c r="C3" s="82" t="s">
        <v>455</v>
      </c>
      <c r="D3" s="82" t="s">
        <v>456</v>
      </c>
      <c r="E3" s="82" t="s">
        <v>457</v>
      </c>
      <c r="F3" s="82"/>
    </row>
    <row r="4" spans="1:6" ht="43.15" customHeight="1" x14ac:dyDescent="0.25">
      <c r="A4" s="82" t="s">
        <v>458</v>
      </c>
      <c r="B4" s="82" t="s">
        <v>459</v>
      </c>
      <c r="C4" s="82" t="s">
        <v>460</v>
      </c>
      <c r="D4" s="82" t="s">
        <v>461</v>
      </c>
      <c r="E4" s="82" t="s">
        <v>451</v>
      </c>
      <c r="F4" s="82" t="s">
        <v>452</v>
      </c>
    </row>
    <row r="5" spans="1:6" ht="57.6" customHeight="1" x14ac:dyDescent="0.25">
      <c r="A5" s="82" t="s">
        <v>462</v>
      </c>
      <c r="B5" s="82" t="s">
        <v>463</v>
      </c>
      <c r="C5" s="82" t="s">
        <v>464</v>
      </c>
      <c r="D5" s="82" t="s">
        <v>465</v>
      </c>
      <c r="E5" s="82" t="s">
        <v>466</v>
      </c>
      <c r="F5" s="82" t="s">
        <v>467</v>
      </c>
    </row>
    <row r="6" spans="1:6" ht="43.15" customHeight="1" x14ac:dyDescent="0.25">
      <c r="A6" s="82" t="s">
        <v>468</v>
      </c>
      <c r="B6" s="82" t="s">
        <v>469</v>
      </c>
      <c r="C6" s="82" t="s">
        <v>470</v>
      </c>
      <c r="D6" s="82" t="s">
        <v>471</v>
      </c>
      <c r="E6" s="82" t="s">
        <v>472</v>
      </c>
      <c r="F6" s="82" t="s">
        <v>473</v>
      </c>
    </row>
    <row r="7" spans="1:6" ht="100.9" customHeight="1" x14ac:dyDescent="0.25">
      <c r="A7" s="82" t="s">
        <v>474</v>
      </c>
      <c r="B7" s="82" t="s">
        <v>475</v>
      </c>
      <c r="C7" s="82" t="s">
        <v>476</v>
      </c>
      <c r="D7" s="82" t="s">
        <v>477</v>
      </c>
      <c r="E7" s="82" t="s">
        <v>478</v>
      </c>
      <c r="F7" s="82" t="s">
        <v>479</v>
      </c>
    </row>
    <row r="8" spans="1:6" ht="72" customHeight="1" x14ac:dyDescent="0.25">
      <c r="A8" s="82" t="s">
        <v>480</v>
      </c>
      <c r="B8" s="82" t="s">
        <v>481</v>
      </c>
      <c r="C8" s="82" t="s">
        <v>482</v>
      </c>
      <c r="D8" s="82" t="s">
        <v>483</v>
      </c>
      <c r="E8" s="82" t="s">
        <v>484</v>
      </c>
      <c r="F8" s="82" t="s">
        <v>485</v>
      </c>
    </row>
    <row r="9" spans="1:6" ht="43.15" customHeight="1" x14ac:dyDescent="0.25">
      <c r="A9" s="82" t="s">
        <v>486</v>
      </c>
      <c r="B9" s="82" t="s">
        <v>487</v>
      </c>
      <c r="C9" s="82" t="s">
        <v>488</v>
      </c>
      <c r="D9" s="82" t="s">
        <v>489</v>
      </c>
      <c r="E9" s="82" t="s">
        <v>490</v>
      </c>
      <c r="F9" s="82" t="s">
        <v>491</v>
      </c>
    </row>
    <row r="10" spans="1:6" ht="72" customHeight="1" x14ac:dyDescent="0.25">
      <c r="A10" s="82" t="s">
        <v>492</v>
      </c>
      <c r="B10" s="82" t="s">
        <v>493</v>
      </c>
      <c r="C10" s="82" t="s">
        <v>494</v>
      </c>
      <c r="D10" s="82" t="s">
        <v>495</v>
      </c>
      <c r="E10" s="82" t="s">
        <v>496</v>
      </c>
      <c r="F10" s="82" t="s">
        <v>497</v>
      </c>
    </row>
    <row r="11" spans="1:6" ht="57.6" customHeight="1" x14ac:dyDescent="0.25">
      <c r="A11" s="82" t="s">
        <v>498</v>
      </c>
      <c r="B11" s="82" t="s">
        <v>499</v>
      </c>
      <c r="C11" s="82" t="s">
        <v>500</v>
      </c>
      <c r="D11" s="82" t="s">
        <v>501</v>
      </c>
      <c r="E11" s="82" t="s">
        <v>502</v>
      </c>
      <c r="F11" s="82" t="s">
        <v>503</v>
      </c>
    </row>
    <row r="12" spans="1:6" ht="57.6" customHeight="1" x14ac:dyDescent="0.25">
      <c r="A12" s="82" t="s">
        <v>504</v>
      </c>
      <c r="B12" s="82" t="s">
        <v>505</v>
      </c>
      <c r="C12" s="82" t="s">
        <v>506</v>
      </c>
      <c r="D12" s="82" t="s">
        <v>501</v>
      </c>
      <c r="E12" s="82" t="s">
        <v>502</v>
      </c>
      <c r="F12" s="82" t="s">
        <v>507</v>
      </c>
    </row>
    <row r="13" spans="1:6" ht="43.15" customHeight="1" x14ac:dyDescent="0.25">
      <c r="A13" s="82" t="s">
        <v>508</v>
      </c>
      <c r="B13" s="82" t="s">
        <v>509</v>
      </c>
      <c r="C13" s="82" t="s">
        <v>510</v>
      </c>
      <c r="D13" s="82" t="s">
        <v>511</v>
      </c>
      <c r="E13" s="82" t="s">
        <v>512</v>
      </c>
      <c r="F13" s="82" t="s">
        <v>417</v>
      </c>
    </row>
    <row r="14" spans="1:6" ht="43.15" customHeight="1" x14ac:dyDescent="0.25">
      <c r="A14" s="82" t="s">
        <v>513</v>
      </c>
      <c r="B14" s="82" t="s">
        <v>514</v>
      </c>
      <c r="C14" s="82" t="s">
        <v>515</v>
      </c>
      <c r="D14" s="82" t="s">
        <v>516</v>
      </c>
      <c r="E14" s="82" t="s">
        <v>517</v>
      </c>
      <c r="F14" s="82" t="s">
        <v>518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79" t="s">
        <v>328</v>
      </c>
      <c r="B1" s="79" t="s">
        <v>329</v>
      </c>
      <c r="C1" s="79" t="s">
        <v>519</v>
      </c>
      <c r="D1" s="79" t="s">
        <v>520</v>
      </c>
      <c r="E1" s="79" t="s">
        <v>330</v>
      </c>
    </row>
    <row r="2" spans="1:5" ht="172.9" customHeight="1" x14ac:dyDescent="0.25">
      <c r="A2" s="82" t="s">
        <v>521</v>
      </c>
      <c r="B2" s="82" t="s">
        <v>522</v>
      </c>
      <c r="C2" s="83" t="b">
        <v>1</v>
      </c>
      <c r="D2" s="82" t="s">
        <v>523</v>
      </c>
      <c r="E2" s="82" t="s">
        <v>524</v>
      </c>
    </row>
    <row r="3" spans="1:5" ht="172.9" customHeight="1" x14ac:dyDescent="0.25">
      <c r="A3" s="82" t="s">
        <v>525</v>
      </c>
      <c r="B3" s="82" t="s">
        <v>526</v>
      </c>
      <c r="C3" s="83" t="b">
        <v>1</v>
      </c>
      <c r="D3" s="82" t="s">
        <v>523</v>
      </c>
      <c r="E3" s="82" t="s">
        <v>524</v>
      </c>
    </row>
    <row r="4" spans="1:5" ht="172.9" customHeight="1" x14ac:dyDescent="0.25">
      <c r="A4" s="82" t="s">
        <v>527</v>
      </c>
      <c r="B4" s="82" t="s">
        <v>528</v>
      </c>
      <c r="C4" s="83" t="b">
        <v>1</v>
      </c>
      <c r="D4" s="82" t="s">
        <v>523</v>
      </c>
      <c r="E4" s="82" t="s">
        <v>524</v>
      </c>
    </row>
    <row r="5" spans="1:5" ht="172.9" customHeight="1" x14ac:dyDescent="0.25">
      <c r="A5" s="82" t="s">
        <v>529</v>
      </c>
      <c r="B5" s="82" t="s">
        <v>530</v>
      </c>
      <c r="C5" s="83" t="b">
        <v>1</v>
      </c>
      <c r="D5" s="82" t="s">
        <v>523</v>
      </c>
      <c r="E5" s="82" t="s">
        <v>220</v>
      </c>
    </row>
    <row r="6" spans="1:5" ht="115.15" customHeight="1" x14ac:dyDescent="0.25">
      <c r="A6" s="82" t="s">
        <v>531</v>
      </c>
      <c r="B6" s="82" t="s">
        <v>532</v>
      </c>
      <c r="C6" s="83" t="b">
        <v>1</v>
      </c>
      <c r="D6" s="82" t="s">
        <v>533</v>
      </c>
      <c r="E6" s="82" t="s">
        <v>243</v>
      </c>
    </row>
    <row r="7" spans="1:5" ht="115.15" customHeight="1" x14ac:dyDescent="0.25">
      <c r="A7" s="82" t="s">
        <v>534</v>
      </c>
      <c r="B7" s="82" t="s">
        <v>535</v>
      </c>
      <c r="C7" s="83" t="b">
        <v>1</v>
      </c>
      <c r="D7" s="82" t="s">
        <v>533</v>
      </c>
      <c r="E7" s="82" t="s">
        <v>320</v>
      </c>
    </row>
    <row r="8" spans="1:5" ht="115.15" customHeight="1" x14ac:dyDescent="0.25">
      <c r="A8" s="82" t="s">
        <v>536</v>
      </c>
      <c r="B8" s="82" t="s">
        <v>537</v>
      </c>
      <c r="C8" s="83" t="b">
        <v>1</v>
      </c>
      <c r="D8" s="82" t="s">
        <v>538</v>
      </c>
      <c r="E8" s="82" t="s">
        <v>539</v>
      </c>
    </row>
    <row r="9" spans="1:5" ht="172.9" customHeight="1" x14ac:dyDescent="0.25">
      <c r="A9" s="82" t="s">
        <v>540</v>
      </c>
      <c r="B9" s="82" t="s">
        <v>541</v>
      </c>
      <c r="C9" s="83" t="b">
        <v>1</v>
      </c>
      <c r="D9" s="82" t="s">
        <v>523</v>
      </c>
      <c r="E9" s="82" t="s">
        <v>542</v>
      </c>
    </row>
    <row r="10" spans="1:5" ht="172.9" customHeight="1" x14ac:dyDescent="0.25">
      <c r="A10" s="82" t="s">
        <v>543</v>
      </c>
      <c r="B10" s="82" t="s">
        <v>544</v>
      </c>
      <c r="C10" s="83" t="b">
        <v>1</v>
      </c>
      <c r="D10" s="82" t="s">
        <v>523</v>
      </c>
      <c r="E10" s="82" t="s">
        <v>246</v>
      </c>
    </row>
    <row r="11" spans="1:5" ht="115.15" customHeight="1" x14ac:dyDescent="0.25">
      <c r="A11" s="82" t="s">
        <v>545</v>
      </c>
      <c r="B11" s="82" t="s">
        <v>546</v>
      </c>
      <c r="C11" s="83" t="b">
        <v>1</v>
      </c>
      <c r="D11" s="82" t="s">
        <v>533</v>
      </c>
      <c r="E11" s="82" t="s">
        <v>547</v>
      </c>
    </row>
    <row r="12" spans="1:5" ht="115.15" customHeight="1" x14ac:dyDescent="0.25">
      <c r="A12" s="82" t="s">
        <v>548</v>
      </c>
      <c r="B12" s="82" t="s">
        <v>549</v>
      </c>
      <c r="C12" s="83" t="b">
        <v>1</v>
      </c>
      <c r="D12" s="82" t="s">
        <v>533</v>
      </c>
      <c r="E12" s="82" t="s">
        <v>550</v>
      </c>
    </row>
    <row r="13" spans="1:5" ht="115.15" customHeight="1" x14ac:dyDescent="0.25">
      <c r="A13" s="82" t="s">
        <v>551</v>
      </c>
      <c r="B13" s="82" t="s">
        <v>552</v>
      </c>
      <c r="C13" s="83" t="b">
        <v>1</v>
      </c>
      <c r="D13" s="82" t="s">
        <v>533</v>
      </c>
      <c r="E13" s="82" t="s">
        <v>228</v>
      </c>
    </row>
    <row r="14" spans="1:5" ht="115.15" customHeight="1" x14ac:dyDescent="0.25">
      <c r="A14" s="82" t="s">
        <v>553</v>
      </c>
      <c r="B14" s="82" t="s">
        <v>554</v>
      </c>
      <c r="C14" s="83" t="b">
        <v>1</v>
      </c>
      <c r="D14" s="82" t="s">
        <v>533</v>
      </c>
      <c r="E14" s="82" t="s">
        <v>246</v>
      </c>
    </row>
    <row r="15" spans="1:5" ht="115.15" customHeight="1" x14ac:dyDescent="0.25">
      <c r="A15" s="82" t="s">
        <v>555</v>
      </c>
      <c r="B15" s="82" t="s">
        <v>556</v>
      </c>
      <c r="C15" s="83" t="b">
        <v>1</v>
      </c>
      <c r="D15" s="82" t="s">
        <v>533</v>
      </c>
      <c r="E15" s="82" t="s">
        <v>557</v>
      </c>
    </row>
    <row r="16" spans="1:5" ht="115.15" customHeight="1" x14ac:dyDescent="0.25">
      <c r="A16" s="82" t="s">
        <v>558</v>
      </c>
      <c r="B16" s="82" t="s">
        <v>559</v>
      </c>
      <c r="C16" s="83" t="b">
        <v>1</v>
      </c>
      <c r="D16" s="82" t="s">
        <v>533</v>
      </c>
      <c r="E16" s="82" t="s">
        <v>560</v>
      </c>
    </row>
    <row r="17" spans="1:5" ht="115.15" customHeight="1" x14ac:dyDescent="0.25">
      <c r="A17" s="82" t="s">
        <v>561</v>
      </c>
      <c r="B17" s="82" t="s">
        <v>562</v>
      </c>
      <c r="C17" s="83" t="b">
        <v>1</v>
      </c>
      <c r="D17" s="82" t="s">
        <v>533</v>
      </c>
      <c r="E17" s="82" t="s">
        <v>563</v>
      </c>
    </row>
    <row r="18" spans="1:5" ht="115.15" customHeight="1" x14ac:dyDescent="0.25">
      <c r="A18" s="82" t="s">
        <v>564</v>
      </c>
      <c r="B18" s="82" t="s">
        <v>565</v>
      </c>
      <c r="C18" s="83" t="b">
        <v>1</v>
      </c>
      <c r="D18" s="82" t="s">
        <v>533</v>
      </c>
      <c r="E18" s="82" t="s">
        <v>382</v>
      </c>
    </row>
    <row r="19" spans="1:5" ht="172.9" customHeight="1" x14ac:dyDescent="0.25">
      <c r="A19" s="82" t="s">
        <v>566</v>
      </c>
      <c r="B19" s="82" t="s">
        <v>567</v>
      </c>
      <c r="C19" s="83" t="b">
        <v>1</v>
      </c>
      <c r="D19" s="82" t="s">
        <v>523</v>
      </c>
      <c r="E19" s="82" t="s">
        <v>269</v>
      </c>
    </row>
    <row r="20" spans="1:5" ht="172.9" customHeight="1" x14ac:dyDescent="0.25">
      <c r="A20" s="82" t="s">
        <v>568</v>
      </c>
      <c r="B20" s="82" t="s">
        <v>569</v>
      </c>
      <c r="C20" s="83" t="b">
        <v>1</v>
      </c>
      <c r="D20" s="82" t="s">
        <v>523</v>
      </c>
      <c r="E20" s="82" t="s">
        <v>570</v>
      </c>
    </row>
    <row r="21" spans="1:5" ht="115.15" customHeight="1" x14ac:dyDescent="0.25">
      <c r="A21" s="82" t="s">
        <v>571</v>
      </c>
      <c r="B21" s="82" t="s">
        <v>572</v>
      </c>
      <c r="C21" s="83" t="b">
        <v>1</v>
      </c>
      <c r="D21" s="82" t="s">
        <v>533</v>
      </c>
      <c r="E21" s="82" t="s">
        <v>573</v>
      </c>
    </row>
    <row r="22" spans="1:5" ht="115.15" customHeight="1" x14ac:dyDescent="0.25">
      <c r="A22" s="82" t="s">
        <v>574</v>
      </c>
      <c r="B22" s="82" t="s">
        <v>575</v>
      </c>
      <c r="C22" s="83" t="b">
        <v>1</v>
      </c>
      <c r="D22" s="82" t="s">
        <v>533</v>
      </c>
      <c r="E22" s="82" t="s">
        <v>576</v>
      </c>
    </row>
    <row r="23" spans="1:5" ht="115.15" customHeight="1" x14ac:dyDescent="0.25">
      <c r="A23" s="82" t="s">
        <v>577</v>
      </c>
      <c r="B23" s="82" t="s">
        <v>578</v>
      </c>
      <c r="C23" s="83" t="b">
        <v>1</v>
      </c>
      <c r="D23" s="82" t="s">
        <v>533</v>
      </c>
      <c r="E23" s="82" t="s">
        <v>576</v>
      </c>
    </row>
    <row r="24" spans="1:5" ht="115.15" customHeight="1" x14ac:dyDescent="0.25">
      <c r="A24" s="82" t="s">
        <v>579</v>
      </c>
      <c r="B24" s="82" t="s">
        <v>580</v>
      </c>
      <c r="C24" s="83" t="b">
        <v>1</v>
      </c>
      <c r="D24" s="82" t="s">
        <v>533</v>
      </c>
      <c r="E24" s="82" t="s">
        <v>542</v>
      </c>
    </row>
    <row r="25" spans="1:5" ht="115.15" customHeight="1" x14ac:dyDescent="0.25">
      <c r="A25" s="82" t="s">
        <v>581</v>
      </c>
      <c r="B25" s="82" t="s">
        <v>582</v>
      </c>
      <c r="C25" s="83" t="b">
        <v>1</v>
      </c>
      <c r="D25" s="82" t="s">
        <v>533</v>
      </c>
      <c r="E25" s="82" t="s">
        <v>542</v>
      </c>
    </row>
    <row r="26" spans="1:5" ht="115.15" customHeight="1" x14ac:dyDescent="0.25">
      <c r="A26" s="82" t="s">
        <v>583</v>
      </c>
      <c r="B26" s="82" t="s">
        <v>584</v>
      </c>
      <c r="C26" s="83" t="b">
        <v>1</v>
      </c>
      <c r="D26" s="82" t="s">
        <v>533</v>
      </c>
      <c r="E26" s="82" t="s">
        <v>585</v>
      </c>
    </row>
    <row r="27" spans="1:5" ht="115.15" customHeight="1" x14ac:dyDescent="0.25">
      <c r="A27" s="82" t="s">
        <v>586</v>
      </c>
      <c r="B27" s="82" t="s">
        <v>587</v>
      </c>
      <c r="C27" s="83" t="b">
        <v>1</v>
      </c>
      <c r="D27" s="82" t="s">
        <v>533</v>
      </c>
      <c r="E27" s="82" t="s">
        <v>588</v>
      </c>
    </row>
    <row r="28" spans="1:5" ht="115.15" customHeight="1" x14ac:dyDescent="0.25">
      <c r="A28" s="82" t="s">
        <v>589</v>
      </c>
      <c r="B28" s="82" t="s">
        <v>590</v>
      </c>
      <c r="C28" s="83" t="b">
        <v>1</v>
      </c>
      <c r="D28" s="82" t="s">
        <v>533</v>
      </c>
      <c r="E28" s="82" t="s">
        <v>591</v>
      </c>
    </row>
    <row r="29" spans="1:5" ht="172.9" customHeight="1" x14ac:dyDescent="0.25">
      <c r="A29" s="82" t="s">
        <v>592</v>
      </c>
      <c r="B29" s="82" t="s">
        <v>593</v>
      </c>
      <c r="C29" s="83" t="b">
        <v>1</v>
      </c>
      <c r="D29" s="82" t="s">
        <v>523</v>
      </c>
      <c r="E29" s="82" t="s">
        <v>244</v>
      </c>
    </row>
    <row r="30" spans="1:5" ht="115.15" customHeight="1" x14ac:dyDescent="0.25">
      <c r="A30" s="82" t="s">
        <v>594</v>
      </c>
      <c r="B30" s="82" t="s">
        <v>595</v>
      </c>
      <c r="C30" s="83" t="b">
        <v>1</v>
      </c>
      <c r="D30" s="82" t="s">
        <v>533</v>
      </c>
      <c r="E30" s="82" t="s">
        <v>322</v>
      </c>
    </row>
    <row r="31" spans="1:5" ht="115.15" customHeight="1" x14ac:dyDescent="0.25">
      <c r="A31" s="82" t="s">
        <v>596</v>
      </c>
      <c r="B31" s="82" t="s">
        <v>397</v>
      </c>
      <c r="C31" s="83" t="b">
        <v>1</v>
      </c>
      <c r="D31" s="82" t="s">
        <v>533</v>
      </c>
      <c r="E31" s="82" t="s">
        <v>398</v>
      </c>
    </row>
    <row r="32" spans="1:5" ht="115.15" customHeight="1" x14ac:dyDescent="0.25">
      <c r="A32" s="82" t="s">
        <v>597</v>
      </c>
      <c r="B32" s="82" t="s">
        <v>598</v>
      </c>
      <c r="C32" s="83" t="b">
        <v>1</v>
      </c>
      <c r="D32" s="82" t="s">
        <v>533</v>
      </c>
      <c r="E32" s="82" t="s">
        <v>405</v>
      </c>
    </row>
    <row r="33" spans="1:5" ht="115.15" customHeight="1" x14ac:dyDescent="0.25">
      <c r="A33" s="82" t="s">
        <v>599</v>
      </c>
      <c r="B33" s="82" t="s">
        <v>600</v>
      </c>
      <c r="C33" s="83" t="b">
        <v>1</v>
      </c>
      <c r="D33" s="82" t="s">
        <v>533</v>
      </c>
      <c r="E33" s="82" t="s">
        <v>254</v>
      </c>
    </row>
    <row r="34" spans="1:5" ht="115.15" customHeight="1" x14ac:dyDescent="0.25">
      <c r="A34" s="82" t="s">
        <v>601</v>
      </c>
      <c r="B34" s="82" t="s">
        <v>602</v>
      </c>
      <c r="C34" s="83" t="b">
        <v>0</v>
      </c>
      <c r="D34" s="82" t="s">
        <v>533</v>
      </c>
      <c r="E34" s="82" t="s">
        <v>603</v>
      </c>
    </row>
    <row r="35" spans="1:5" ht="115.15" customHeight="1" x14ac:dyDescent="0.25">
      <c r="A35" s="82" t="s">
        <v>604</v>
      </c>
      <c r="B35" s="82" t="s">
        <v>605</v>
      </c>
      <c r="C35" s="83" t="b">
        <v>1</v>
      </c>
      <c r="D35" s="82" t="s">
        <v>533</v>
      </c>
      <c r="E35" s="82" t="s">
        <v>606</v>
      </c>
    </row>
    <row r="36" spans="1:5" ht="115.15" customHeight="1" x14ac:dyDescent="0.25">
      <c r="A36" s="82" t="s">
        <v>607</v>
      </c>
      <c r="B36" s="82" t="s">
        <v>608</v>
      </c>
      <c r="C36" s="83" t="b">
        <v>1</v>
      </c>
      <c r="D36" s="82" t="s">
        <v>533</v>
      </c>
      <c r="E36" s="82" t="s">
        <v>425</v>
      </c>
    </row>
    <row r="37" spans="1:5" ht="115.15" customHeight="1" x14ac:dyDescent="0.25">
      <c r="A37" s="82" t="s">
        <v>609</v>
      </c>
      <c r="B37" s="82" t="s">
        <v>610</v>
      </c>
      <c r="C37" s="83" t="b">
        <v>0</v>
      </c>
      <c r="D37" s="82" t="s">
        <v>533</v>
      </c>
      <c r="E37" s="82" t="s">
        <v>611</v>
      </c>
    </row>
    <row r="38" spans="1:5" ht="115.15" customHeight="1" x14ac:dyDescent="0.25">
      <c r="A38" s="82" t="s">
        <v>612</v>
      </c>
      <c r="B38" s="82" t="s">
        <v>613</v>
      </c>
      <c r="C38" s="83" t="b">
        <v>1</v>
      </c>
      <c r="D38" s="82" t="s">
        <v>533</v>
      </c>
      <c r="E38" s="82" t="s">
        <v>539</v>
      </c>
    </row>
    <row r="39" spans="1:5" ht="115.15" customHeight="1" x14ac:dyDescent="0.25">
      <c r="A39" s="82" t="s">
        <v>614</v>
      </c>
      <c r="B39" s="82" t="s">
        <v>615</v>
      </c>
      <c r="C39" s="83" t="b">
        <v>1</v>
      </c>
      <c r="D39" s="82" t="s">
        <v>533</v>
      </c>
      <c r="E39" s="82" t="s">
        <v>421</v>
      </c>
    </row>
    <row r="40" spans="1:5" ht="172.9" customHeight="1" x14ac:dyDescent="0.25">
      <c r="A40" s="82" t="s">
        <v>616</v>
      </c>
      <c r="B40" s="82" t="s">
        <v>617</v>
      </c>
      <c r="C40" s="83" t="b">
        <v>1</v>
      </c>
      <c r="D40" s="82" t="s">
        <v>523</v>
      </c>
      <c r="E40" s="82" t="s">
        <v>267</v>
      </c>
    </row>
    <row r="41" spans="1:5" ht="158.44999999999999" customHeight="1" x14ac:dyDescent="0.25">
      <c r="A41" s="82" t="s">
        <v>618</v>
      </c>
      <c r="B41" s="82" t="s">
        <v>619</v>
      </c>
      <c r="C41" s="83" t="b">
        <v>1</v>
      </c>
      <c r="D41" s="82" t="s">
        <v>620</v>
      </c>
      <c r="E41" s="82" t="s">
        <v>479</v>
      </c>
    </row>
    <row r="42" spans="1:5" ht="115.15" customHeight="1" x14ac:dyDescent="0.25">
      <c r="A42" s="82" t="s">
        <v>621</v>
      </c>
      <c r="B42" s="82" t="s">
        <v>622</v>
      </c>
      <c r="C42" s="83" t="b">
        <v>1</v>
      </c>
      <c r="D42" s="82" t="s">
        <v>538</v>
      </c>
      <c r="E42" s="82" t="s">
        <v>211</v>
      </c>
    </row>
    <row r="43" spans="1:5" ht="115.15" customHeight="1" x14ac:dyDescent="0.25">
      <c r="A43" s="82" t="s">
        <v>623</v>
      </c>
      <c r="B43" s="82" t="s">
        <v>624</v>
      </c>
      <c r="C43" s="83" t="b">
        <v>1</v>
      </c>
      <c r="D43" s="82" t="s">
        <v>533</v>
      </c>
      <c r="E43" s="82" t="s">
        <v>625</v>
      </c>
    </row>
    <row r="44" spans="1:5" ht="115.15" customHeight="1" x14ac:dyDescent="0.25">
      <c r="A44" s="82" t="s">
        <v>626</v>
      </c>
      <c r="B44" s="82" t="s">
        <v>627</v>
      </c>
      <c r="C44" s="83" t="b">
        <v>1</v>
      </c>
      <c r="D44" s="82" t="s">
        <v>533</v>
      </c>
      <c r="E44" s="82" t="s">
        <v>421</v>
      </c>
    </row>
    <row r="45" spans="1:5" ht="172.9" customHeight="1" x14ac:dyDescent="0.25">
      <c r="A45" s="82" t="s">
        <v>628</v>
      </c>
      <c r="B45" s="82" t="s">
        <v>629</v>
      </c>
      <c r="C45" s="83" t="b">
        <v>1</v>
      </c>
      <c r="D45" s="82" t="s">
        <v>523</v>
      </c>
      <c r="E45" s="82" t="s">
        <v>630</v>
      </c>
    </row>
    <row r="46" spans="1:5" ht="172.9" customHeight="1" x14ac:dyDescent="0.25">
      <c r="A46" s="82" t="s">
        <v>631</v>
      </c>
      <c r="B46" s="82" t="s">
        <v>632</v>
      </c>
      <c r="C46" s="83" t="b">
        <v>1</v>
      </c>
      <c r="D46" s="82" t="s">
        <v>633</v>
      </c>
      <c r="E46" s="82" t="s">
        <v>497</v>
      </c>
    </row>
    <row r="47" spans="1:5" ht="115.15" customHeight="1" x14ac:dyDescent="0.25">
      <c r="A47" s="82" t="s">
        <v>634</v>
      </c>
      <c r="B47" s="82" t="s">
        <v>635</v>
      </c>
      <c r="C47" s="83" t="b">
        <v>1</v>
      </c>
      <c r="D47" s="82" t="s">
        <v>538</v>
      </c>
      <c r="E47" s="82" t="s">
        <v>507</v>
      </c>
    </row>
    <row r="48" spans="1:5" ht="100.9" customHeight="1" x14ac:dyDescent="0.25">
      <c r="A48" s="82" t="s">
        <v>636</v>
      </c>
      <c r="B48" s="82" t="s">
        <v>637</v>
      </c>
      <c r="C48" s="83" t="b">
        <v>1</v>
      </c>
      <c r="D48" s="82" t="s">
        <v>638</v>
      </c>
      <c r="E48" s="82" t="s">
        <v>639</v>
      </c>
    </row>
    <row r="49" spans="1:5" ht="172.9" customHeight="1" x14ac:dyDescent="0.25">
      <c r="A49" s="82" t="s">
        <v>640</v>
      </c>
      <c r="B49" s="82" t="s">
        <v>641</v>
      </c>
      <c r="C49" s="83" t="b">
        <v>1</v>
      </c>
      <c r="D49" s="82" t="s">
        <v>642</v>
      </c>
      <c r="E49" s="82" t="s">
        <v>643</v>
      </c>
    </row>
    <row r="50" spans="1:5" ht="86.45" customHeight="1" x14ac:dyDescent="0.25">
      <c r="A50" s="82" t="s">
        <v>644</v>
      </c>
      <c r="B50" s="82" t="s">
        <v>645</v>
      </c>
      <c r="C50" s="83" t="b">
        <v>0</v>
      </c>
      <c r="D50" s="82" t="s">
        <v>646</v>
      </c>
      <c r="E50" s="82" t="s">
        <v>643</v>
      </c>
    </row>
    <row r="51" spans="1:5" ht="100.9" customHeight="1" x14ac:dyDescent="0.25">
      <c r="A51" s="82" t="s">
        <v>647</v>
      </c>
      <c r="B51" s="82" t="s">
        <v>648</v>
      </c>
      <c r="C51" s="83" t="b">
        <v>1</v>
      </c>
      <c r="D51" s="82" t="s">
        <v>649</v>
      </c>
      <c r="E51" s="82"/>
    </row>
    <row r="52" spans="1:5" ht="115.15" customHeight="1" x14ac:dyDescent="0.25">
      <c r="A52" s="82" t="s">
        <v>650</v>
      </c>
      <c r="B52" s="82" t="s">
        <v>651</v>
      </c>
      <c r="C52" s="83" t="b">
        <v>1</v>
      </c>
      <c r="D52" s="82" t="s">
        <v>538</v>
      </c>
      <c r="E52" s="82" t="s">
        <v>503</v>
      </c>
    </row>
    <row r="53" spans="1:5" ht="115.15" customHeight="1" x14ac:dyDescent="0.25">
      <c r="A53" s="82" t="s">
        <v>652</v>
      </c>
      <c r="B53" s="82" t="s">
        <v>653</v>
      </c>
      <c r="C53" s="83" t="b">
        <v>1</v>
      </c>
      <c r="D53" s="82" t="s">
        <v>654</v>
      </c>
      <c r="E53" s="82" t="s">
        <v>518</v>
      </c>
    </row>
    <row r="54" spans="1:5" ht="115.15" customHeight="1" x14ac:dyDescent="0.25">
      <c r="A54" s="82" t="s">
        <v>655</v>
      </c>
      <c r="B54" s="82" t="s">
        <v>656</v>
      </c>
      <c r="C54" s="83" t="b">
        <v>1</v>
      </c>
      <c r="D54" s="82" t="s">
        <v>657</v>
      </c>
      <c r="E54" s="82" t="s">
        <v>658</v>
      </c>
    </row>
    <row r="55" spans="1:5" ht="115.15" customHeight="1" x14ac:dyDescent="0.25">
      <c r="A55" s="82" t="s">
        <v>659</v>
      </c>
      <c r="B55" s="82" t="s">
        <v>660</v>
      </c>
      <c r="C55" s="83" t="b">
        <v>0</v>
      </c>
      <c r="D55" s="82" t="s">
        <v>657</v>
      </c>
      <c r="E55" s="82" t="s">
        <v>661</v>
      </c>
    </row>
    <row r="56" spans="1:5" ht="115.15" customHeight="1" x14ac:dyDescent="0.25">
      <c r="A56" s="82" t="s">
        <v>662</v>
      </c>
      <c r="B56" s="82" t="s">
        <v>663</v>
      </c>
      <c r="C56" s="83" t="b">
        <v>0</v>
      </c>
      <c r="D56" s="82" t="s">
        <v>657</v>
      </c>
      <c r="E56" s="82" t="s">
        <v>417</v>
      </c>
    </row>
    <row r="57" spans="1:5" ht="115.15" customHeight="1" x14ac:dyDescent="0.25">
      <c r="A57" s="82" t="s">
        <v>664</v>
      </c>
      <c r="B57" s="82" t="s">
        <v>665</v>
      </c>
      <c r="C57" s="83" t="b">
        <v>0</v>
      </c>
      <c r="D57" s="82" t="s">
        <v>657</v>
      </c>
      <c r="E57" s="82" t="s">
        <v>666</v>
      </c>
    </row>
    <row r="58" spans="1:5" ht="115.15" customHeight="1" x14ac:dyDescent="0.25">
      <c r="A58" s="82" t="s">
        <v>667</v>
      </c>
      <c r="B58" s="82" t="s">
        <v>668</v>
      </c>
      <c r="C58" s="83" t="b">
        <v>0</v>
      </c>
      <c r="D58" s="82" t="s">
        <v>657</v>
      </c>
      <c r="E58" s="82" t="s">
        <v>669</v>
      </c>
    </row>
    <row r="59" spans="1:5" ht="115.15" customHeight="1" x14ac:dyDescent="0.25">
      <c r="A59" s="82" t="s">
        <v>670</v>
      </c>
      <c r="B59" s="82" t="s">
        <v>671</v>
      </c>
      <c r="C59" s="83" t="b">
        <v>0</v>
      </c>
      <c r="D59" s="82" t="s">
        <v>657</v>
      </c>
      <c r="E59" s="82" t="s">
        <v>254</v>
      </c>
    </row>
    <row r="60" spans="1:5" ht="115.15" customHeight="1" x14ac:dyDescent="0.25">
      <c r="A60" s="82" t="s">
        <v>672</v>
      </c>
      <c r="B60" s="82" t="s">
        <v>673</v>
      </c>
      <c r="C60" s="83" t="b">
        <v>0</v>
      </c>
      <c r="D60" s="82" t="s">
        <v>657</v>
      </c>
      <c r="E60" s="82" t="s">
        <v>658</v>
      </c>
    </row>
    <row r="61" spans="1:5" ht="115.15" customHeight="1" x14ac:dyDescent="0.25">
      <c r="A61" s="82" t="s">
        <v>674</v>
      </c>
      <c r="B61" s="82" t="s">
        <v>675</v>
      </c>
      <c r="C61" s="83" t="b">
        <v>0</v>
      </c>
      <c r="D61" s="82" t="s">
        <v>657</v>
      </c>
      <c r="E61" s="82" t="s">
        <v>676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68" customWidth="1"/>
    <col min="2" max="2" width="74.140625" style="68" customWidth="1"/>
    <col min="3" max="3" width="18.5703125" customWidth="1"/>
    <col min="4" max="4" width="24.140625" style="68" customWidth="1"/>
    <col min="5" max="5" width="37" style="68" customWidth="1"/>
    <col min="6" max="23" width="8.85546875" style="68" customWidth="1"/>
    <col min="24" max="16384" width="8.85546875" style="68"/>
  </cols>
  <sheetData>
    <row r="1" spans="1:5" ht="22.15" customHeight="1" x14ac:dyDescent="0.25">
      <c r="A1" s="79" t="s">
        <v>328</v>
      </c>
      <c r="B1" s="79" t="s">
        <v>329</v>
      </c>
      <c r="C1" s="79" t="s">
        <v>677</v>
      </c>
      <c r="D1" s="79" t="s">
        <v>520</v>
      </c>
      <c r="E1" s="79" t="s">
        <v>330</v>
      </c>
    </row>
    <row r="2" spans="1:5" ht="28.9" customHeight="1" x14ac:dyDescent="0.25">
      <c r="A2" s="81" t="s">
        <v>678</v>
      </c>
      <c r="B2" s="82" t="s">
        <v>679</v>
      </c>
      <c r="C2" s="83" t="b">
        <v>1</v>
      </c>
      <c r="D2" s="81" t="s">
        <v>680</v>
      </c>
      <c r="E2" s="82" t="s">
        <v>681</v>
      </c>
    </row>
    <row r="3" spans="1:5" ht="28.9" customHeight="1" x14ac:dyDescent="0.25">
      <c r="A3" s="81" t="s">
        <v>682</v>
      </c>
      <c r="B3" s="82" t="s">
        <v>683</v>
      </c>
      <c r="C3" s="83" t="b">
        <v>1</v>
      </c>
      <c r="D3" s="81" t="s">
        <v>680</v>
      </c>
      <c r="E3" s="82" t="s">
        <v>684</v>
      </c>
    </row>
    <row r="4" spans="1:5" ht="28.9" customHeight="1" x14ac:dyDescent="0.25">
      <c r="A4" s="81" t="s">
        <v>685</v>
      </c>
      <c r="B4" s="82" t="s">
        <v>686</v>
      </c>
      <c r="C4" s="83" t="b">
        <v>1</v>
      </c>
      <c r="D4" s="81" t="s">
        <v>680</v>
      </c>
      <c r="E4" s="82" t="s">
        <v>563</v>
      </c>
    </row>
    <row r="5" spans="1:5" ht="28.9" customHeight="1" x14ac:dyDescent="0.25">
      <c r="A5" s="81" t="s">
        <v>687</v>
      </c>
      <c r="B5" s="82" t="s">
        <v>688</v>
      </c>
      <c r="C5" s="83" t="b">
        <v>1</v>
      </c>
      <c r="D5" s="81" t="s">
        <v>680</v>
      </c>
      <c r="E5" s="82" t="s">
        <v>398</v>
      </c>
    </row>
    <row r="6" spans="1:5" ht="28.9" customHeight="1" x14ac:dyDescent="0.25">
      <c r="A6" s="81" t="s">
        <v>689</v>
      </c>
      <c r="B6" s="82" t="s">
        <v>690</v>
      </c>
      <c r="C6" s="83" t="b">
        <v>1</v>
      </c>
      <c r="D6" s="81" t="s">
        <v>680</v>
      </c>
      <c r="E6" s="82" t="s">
        <v>691</v>
      </c>
    </row>
    <row r="7" spans="1:5" ht="28.9" customHeight="1" x14ac:dyDescent="0.25">
      <c r="A7" s="81" t="s">
        <v>692</v>
      </c>
      <c r="B7" s="82" t="s">
        <v>693</v>
      </c>
      <c r="C7" s="83" t="b">
        <v>0</v>
      </c>
      <c r="D7" s="81" t="s">
        <v>680</v>
      </c>
      <c r="E7" s="82" t="s">
        <v>560</v>
      </c>
    </row>
    <row r="8" spans="1:5" ht="28.9" customHeight="1" x14ac:dyDescent="0.25">
      <c r="A8" s="81" t="s">
        <v>694</v>
      </c>
      <c r="B8" s="82" t="s">
        <v>695</v>
      </c>
      <c r="C8" s="83" t="b">
        <v>1</v>
      </c>
      <c r="D8" s="81" t="s">
        <v>680</v>
      </c>
      <c r="E8" s="82" t="s">
        <v>611</v>
      </c>
    </row>
    <row r="9" spans="1:5" ht="28.9" customHeight="1" x14ac:dyDescent="0.25">
      <c r="A9" s="81" t="s">
        <v>696</v>
      </c>
      <c r="B9" s="82" t="s">
        <v>697</v>
      </c>
      <c r="C9" s="83" t="b">
        <v>0</v>
      </c>
      <c r="D9" s="81" t="s">
        <v>680</v>
      </c>
      <c r="E9" s="82" t="s">
        <v>421</v>
      </c>
    </row>
    <row r="10" spans="1:5" ht="28.9" customHeight="1" x14ac:dyDescent="0.25">
      <c r="A10" s="81" t="s">
        <v>698</v>
      </c>
      <c r="B10" s="82" t="s">
        <v>699</v>
      </c>
      <c r="C10" s="83" t="b">
        <v>1</v>
      </c>
      <c r="D10" s="81" t="s">
        <v>680</v>
      </c>
      <c r="E10" s="82" t="s">
        <v>700</v>
      </c>
    </row>
    <row r="11" spans="1:5" x14ac:dyDescent="0.25">
      <c r="C11" s="62"/>
    </row>
    <row r="12" spans="1:5" x14ac:dyDescent="0.25">
      <c r="C12" s="62"/>
    </row>
    <row r="13" spans="1:5" x14ac:dyDescent="0.25">
      <c r="C13" s="62"/>
    </row>
    <row r="14" spans="1:5" x14ac:dyDescent="0.25">
      <c r="C14" s="62"/>
    </row>
    <row r="15" spans="1:5" x14ac:dyDescent="0.25">
      <c r="C15" s="62"/>
    </row>
    <row r="16" spans="1:5" x14ac:dyDescent="0.25">
      <c r="C16" s="62"/>
    </row>
    <row r="17" spans="3:3" x14ac:dyDescent="0.25">
      <c r="C17" s="62"/>
    </row>
    <row r="18" spans="3:3" x14ac:dyDescent="0.25">
      <c r="C18" s="62"/>
    </row>
    <row r="19" spans="3:3" x14ac:dyDescent="0.25">
      <c r="C19" s="62"/>
    </row>
    <row r="20" spans="3:3" x14ac:dyDescent="0.25">
      <c r="C20" s="62"/>
    </row>
    <row r="21" spans="3:3" x14ac:dyDescent="0.25">
      <c r="C21" s="62"/>
    </row>
    <row r="22" spans="3:3" x14ac:dyDescent="0.25">
      <c r="C22" s="62"/>
    </row>
    <row r="23" spans="3:3" x14ac:dyDescent="0.25">
      <c r="C23" s="62"/>
    </row>
    <row r="24" spans="3:3" x14ac:dyDescent="0.25">
      <c r="C24" s="62"/>
    </row>
    <row r="25" spans="3:3" x14ac:dyDescent="0.25">
      <c r="C25" s="62"/>
    </row>
    <row r="26" spans="3:3" x14ac:dyDescent="0.25">
      <c r="C26" s="62"/>
    </row>
    <row r="27" spans="3:3" x14ac:dyDescent="0.25">
      <c r="C27" s="62"/>
    </row>
    <row r="28" spans="3:3" x14ac:dyDescent="0.25">
      <c r="C28" s="62"/>
    </row>
    <row r="29" spans="3:3" x14ac:dyDescent="0.25">
      <c r="C29" s="62"/>
    </row>
    <row r="30" spans="3:3" x14ac:dyDescent="0.25">
      <c r="C30" s="62"/>
    </row>
    <row r="31" spans="3:3" x14ac:dyDescent="0.25">
      <c r="C31" s="62"/>
    </row>
    <row r="32" spans="3:3" x14ac:dyDescent="0.25">
      <c r="C32" s="62"/>
    </row>
    <row r="33" spans="3:3" x14ac:dyDescent="0.25">
      <c r="C33" s="62"/>
    </row>
    <row r="34" spans="3:3" x14ac:dyDescent="0.25">
      <c r="C34" s="62"/>
    </row>
    <row r="35" spans="3:3" x14ac:dyDescent="0.25">
      <c r="C35" s="62"/>
    </row>
    <row r="36" spans="3:3" x14ac:dyDescent="0.25">
      <c r="C36" s="62"/>
    </row>
    <row r="37" spans="3:3" x14ac:dyDescent="0.25">
      <c r="C37" s="62"/>
    </row>
    <row r="38" spans="3:3" x14ac:dyDescent="0.25">
      <c r="C38" s="62"/>
    </row>
    <row r="39" spans="3:3" x14ac:dyDescent="0.25">
      <c r="C39" s="62"/>
    </row>
    <row r="40" spans="3:3" x14ac:dyDescent="0.25">
      <c r="C40" s="62"/>
    </row>
    <row r="41" spans="3:3" x14ac:dyDescent="0.25">
      <c r="C41" s="62"/>
    </row>
    <row r="42" spans="3:3" x14ac:dyDescent="0.25">
      <c r="C42" s="62"/>
    </row>
    <row r="43" spans="3:3" x14ac:dyDescent="0.25">
      <c r="C43" s="62"/>
    </row>
    <row r="44" spans="3:3" x14ac:dyDescent="0.25">
      <c r="C44" s="62"/>
    </row>
    <row r="45" spans="3:3" x14ac:dyDescent="0.25">
      <c r="C45" s="62"/>
    </row>
    <row r="46" spans="3:3" x14ac:dyDescent="0.25">
      <c r="C46" s="62"/>
    </row>
    <row r="47" spans="3:3" x14ac:dyDescent="0.25">
      <c r="C47" s="62"/>
    </row>
    <row r="48" spans="3:3" x14ac:dyDescent="0.25">
      <c r="C48" s="62"/>
    </row>
    <row r="49" spans="3:3" x14ac:dyDescent="0.25">
      <c r="C49" s="62"/>
    </row>
    <row r="50" spans="3:3" x14ac:dyDescent="0.25">
      <c r="C50" s="62"/>
    </row>
    <row r="51" spans="3:3" x14ac:dyDescent="0.25">
      <c r="C51" s="62"/>
    </row>
    <row r="52" spans="3:3" x14ac:dyDescent="0.25">
      <c r="C52" s="62"/>
    </row>
    <row r="53" spans="3:3" x14ac:dyDescent="0.25">
      <c r="C53" s="62"/>
    </row>
    <row r="54" spans="3:3" x14ac:dyDescent="0.25">
      <c r="C54" s="62"/>
    </row>
    <row r="55" spans="3:3" x14ac:dyDescent="0.25">
      <c r="C55" s="62"/>
    </row>
    <row r="56" spans="3:3" x14ac:dyDescent="0.25">
      <c r="C56" s="62"/>
    </row>
    <row r="57" spans="3:3" x14ac:dyDescent="0.25">
      <c r="C57" s="62"/>
    </row>
    <row r="58" spans="3:3" x14ac:dyDescent="0.25">
      <c r="C58" s="62"/>
    </row>
    <row r="59" spans="3:3" x14ac:dyDescent="0.25">
      <c r="C59" s="62"/>
    </row>
    <row r="60" spans="3:3" x14ac:dyDescent="0.25">
      <c r="C60" s="62"/>
    </row>
    <row r="61" spans="3:3" x14ac:dyDescent="0.25">
      <c r="C61" s="62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79" t="s">
        <v>59</v>
      </c>
      <c r="B1" s="79" t="s">
        <v>194</v>
      </c>
      <c r="C1" s="79" t="s">
        <v>701</v>
      </c>
      <c r="D1" s="79" t="s">
        <v>702</v>
      </c>
      <c r="E1" s="79" t="s">
        <v>703</v>
      </c>
      <c r="F1" s="79" t="s">
        <v>704</v>
      </c>
      <c r="G1" s="79" t="s">
        <v>705</v>
      </c>
      <c r="H1" s="79" t="s">
        <v>706</v>
      </c>
      <c r="I1" s="79" t="s">
        <v>707</v>
      </c>
      <c r="J1" s="79" t="s">
        <v>708</v>
      </c>
      <c r="K1" s="79" t="s">
        <v>709</v>
      </c>
      <c r="L1" s="79" t="s">
        <v>710</v>
      </c>
      <c r="M1" s="79" t="s">
        <v>711</v>
      </c>
      <c r="N1" s="79" t="s">
        <v>712</v>
      </c>
      <c r="O1" s="79" t="s">
        <v>713</v>
      </c>
      <c r="P1" s="79" t="s">
        <v>714</v>
      </c>
      <c r="Q1" s="79" t="s">
        <v>715</v>
      </c>
    </row>
    <row r="2" spans="1:17" ht="43.15" customHeight="1" x14ac:dyDescent="0.25">
      <c r="A2" s="81" t="s">
        <v>716</v>
      </c>
      <c r="B2" s="81" t="s">
        <v>717</v>
      </c>
      <c r="C2" s="82" t="s">
        <v>718</v>
      </c>
      <c r="D2" s="82" t="s">
        <v>719</v>
      </c>
      <c r="E2" s="80" t="s">
        <v>720</v>
      </c>
      <c r="F2" s="81"/>
      <c r="G2" s="80"/>
      <c r="H2" s="82" t="s">
        <v>721</v>
      </c>
      <c r="I2" s="81"/>
      <c r="J2" s="81"/>
      <c r="K2" s="81"/>
      <c r="L2" s="81" t="s">
        <v>722</v>
      </c>
      <c r="M2" s="81"/>
      <c r="N2" s="81"/>
      <c r="O2" s="81"/>
      <c r="P2" s="82" t="s">
        <v>723</v>
      </c>
      <c r="Q2" s="82"/>
    </row>
    <row r="3" spans="1:17" ht="28.9" customHeight="1" x14ac:dyDescent="0.25">
      <c r="A3" s="81" t="s">
        <v>724</v>
      </c>
      <c r="B3" s="81" t="s">
        <v>725</v>
      </c>
      <c r="C3" s="82" t="s">
        <v>726</v>
      </c>
      <c r="D3" s="82" t="s">
        <v>727</v>
      </c>
      <c r="E3" s="80" t="s">
        <v>728</v>
      </c>
      <c r="F3" s="81"/>
      <c r="G3" s="80"/>
      <c r="H3" s="82"/>
      <c r="I3" s="81"/>
      <c r="J3" s="81"/>
      <c r="K3" s="81"/>
      <c r="L3" s="81"/>
      <c r="M3" s="81"/>
      <c r="N3" s="81"/>
      <c r="O3" s="81"/>
      <c r="P3" s="82" t="s">
        <v>729</v>
      </c>
      <c r="Q3" s="82"/>
    </row>
    <row r="4" spans="1:17" ht="43.15" customHeight="1" x14ac:dyDescent="0.25">
      <c r="A4" s="81" t="s">
        <v>730</v>
      </c>
      <c r="B4" s="81" t="s">
        <v>725</v>
      </c>
      <c r="C4" s="82" t="s">
        <v>731</v>
      </c>
      <c r="D4" s="82" t="s">
        <v>732</v>
      </c>
      <c r="E4" s="80" t="s">
        <v>733</v>
      </c>
      <c r="F4" s="81"/>
      <c r="G4" s="80"/>
      <c r="H4" s="82" t="s">
        <v>721</v>
      </c>
      <c r="I4" s="81"/>
      <c r="J4" s="81"/>
      <c r="K4" s="81"/>
      <c r="L4" s="81"/>
      <c r="M4" s="81"/>
      <c r="N4" s="81"/>
      <c r="O4" s="81"/>
      <c r="P4" s="82" t="s">
        <v>734</v>
      </c>
      <c r="Q4" s="82" t="s">
        <v>735</v>
      </c>
    </row>
    <row r="5" spans="1:17" ht="28.9" customHeight="1" x14ac:dyDescent="0.25">
      <c r="A5" s="81" t="s">
        <v>736</v>
      </c>
      <c r="B5" s="81" t="s">
        <v>717</v>
      </c>
      <c r="C5" s="82" t="s">
        <v>737</v>
      </c>
      <c r="D5" s="82" t="s">
        <v>738</v>
      </c>
      <c r="E5" s="80" t="s">
        <v>720</v>
      </c>
      <c r="F5" s="81"/>
      <c r="G5" s="80"/>
      <c r="H5" s="82" t="s">
        <v>739</v>
      </c>
      <c r="I5" s="81" t="s">
        <v>740</v>
      </c>
      <c r="J5" s="81"/>
      <c r="K5" s="81"/>
      <c r="L5" s="81"/>
      <c r="M5" s="81"/>
      <c r="N5" s="81"/>
      <c r="O5" s="81"/>
      <c r="P5" s="82" t="s">
        <v>741</v>
      </c>
      <c r="Q5" s="82" t="s">
        <v>742</v>
      </c>
    </row>
    <row r="6" spans="1:17" ht="28.9" customHeight="1" x14ac:dyDescent="0.25">
      <c r="A6" s="81" t="s">
        <v>743</v>
      </c>
      <c r="B6" s="81" t="s">
        <v>725</v>
      </c>
      <c r="C6" s="82" t="s">
        <v>731</v>
      </c>
      <c r="D6" s="82" t="s">
        <v>744</v>
      </c>
      <c r="E6" s="80" t="s">
        <v>745</v>
      </c>
      <c r="F6" s="81" t="s">
        <v>746</v>
      </c>
      <c r="G6" s="80"/>
      <c r="H6" s="82" t="s">
        <v>721</v>
      </c>
      <c r="I6" s="81"/>
      <c r="J6" s="81"/>
      <c r="K6" s="81"/>
      <c r="L6" s="81"/>
      <c r="M6" s="81"/>
      <c r="N6" s="81"/>
      <c r="O6" s="81"/>
      <c r="P6" s="82" t="s">
        <v>747</v>
      </c>
      <c r="Q6" s="82" t="s">
        <v>748</v>
      </c>
    </row>
    <row r="7" spans="1:17" ht="28.9" customHeight="1" x14ac:dyDescent="0.25">
      <c r="A7" s="81" t="s">
        <v>749</v>
      </c>
      <c r="B7" s="81" t="s">
        <v>725</v>
      </c>
      <c r="C7" s="82" t="s">
        <v>750</v>
      </c>
      <c r="D7" s="82" t="s">
        <v>751</v>
      </c>
      <c r="E7" s="80" t="s">
        <v>752</v>
      </c>
      <c r="F7" s="81" t="s">
        <v>753</v>
      </c>
      <c r="G7" s="80" t="s">
        <v>754</v>
      </c>
      <c r="H7" s="82"/>
      <c r="I7" s="81"/>
      <c r="J7" s="81"/>
      <c r="K7" s="81"/>
      <c r="L7" s="81"/>
      <c r="M7" s="81"/>
      <c r="N7" s="81"/>
      <c r="O7" s="81"/>
      <c r="P7" s="82" t="s">
        <v>755</v>
      </c>
      <c r="Q7" s="82" t="s">
        <v>756</v>
      </c>
    </row>
    <row r="8" spans="1:17" ht="86.45" customHeight="1" x14ac:dyDescent="0.25">
      <c r="A8" s="81" t="s">
        <v>757</v>
      </c>
      <c r="B8" s="81" t="s">
        <v>758</v>
      </c>
      <c r="C8" s="82" t="s">
        <v>759</v>
      </c>
      <c r="D8" s="82" t="s">
        <v>760</v>
      </c>
      <c r="E8" s="80" t="s">
        <v>761</v>
      </c>
      <c r="F8" s="81"/>
      <c r="G8" s="80"/>
      <c r="H8" s="82" t="s">
        <v>762</v>
      </c>
      <c r="I8" s="81"/>
      <c r="J8" s="81"/>
      <c r="K8" s="81" t="s">
        <v>763</v>
      </c>
      <c r="L8" s="81"/>
      <c r="M8" s="81"/>
      <c r="N8" s="81" t="s">
        <v>764</v>
      </c>
      <c r="O8" s="81"/>
      <c r="P8" s="82" t="s">
        <v>765</v>
      </c>
      <c r="Q8" s="82"/>
    </row>
    <row r="9" spans="1:17" ht="201.6" customHeight="1" x14ac:dyDescent="0.25">
      <c r="A9" s="81" t="s">
        <v>766</v>
      </c>
      <c r="B9" s="81" t="s">
        <v>758</v>
      </c>
      <c r="C9" s="82" t="s">
        <v>767</v>
      </c>
      <c r="D9" s="82" t="s">
        <v>768</v>
      </c>
      <c r="E9" s="80" t="s">
        <v>769</v>
      </c>
      <c r="F9" s="81"/>
      <c r="G9" s="80"/>
      <c r="H9" s="82"/>
      <c r="I9" s="81"/>
      <c r="J9" s="81"/>
      <c r="K9" s="81" t="s">
        <v>767</v>
      </c>
      <c r="L9" s="81"/>
      <c r="M9" s="81" t="s">
        <v>770</v>
      </c>
      <c r="N9" s="81"/>
      <c r="O9" s="81"/>
      <c r="P9" s="82"/>
      <c r="Q9" s="82" t="s">
        <v>771</v>
      </c>
    </row>
    <row r="10" spans="1:17" ht="28.9" customHeight="1" x14ac:dyDescent="0.25">
      <c r="A10" s="81" t="s">
        <v>772</v>
      </c>
      <c r="B10" s="81" t="s">
        <v>758</v>
      </c>
      <c r="C10" s="82" t="s">
        <v>773</v>
      </c>
      <c r="D10" s="82" t="s">
        <v>774</v>
      </c>
      <c r="E10" s="80" t="s">
        <v>769</v>
      </c>
      <c r="F10" s="81" t="s">
        <v>775</v>
      </c>
      <c r="G10" s="80"/>
      <c r="H10" s="82"/>
      <c r="I10" s="81"/>
      <c r="J10" s="81"/>
      <c r="K10" s="81" t="s">
        <v>111</v>
      </c>
      <c r="L10" s="81"/>
      <c r="M10" s="81"/>
      <c r="N10" s="81"/>
      <c r="O10" s="81"/>
      <c r="P10" s="82"/>
      <c r="Q10" s="82" t="s">
        <v>776</v>
      </c>
    </row>
    <row r="11" spans="1:17" ht="28.9" customHeight="1" x14ac:dyDescent="0.25">
      <c r="A11" t="s">
        <v>777</v>
      </c>
      <c r="B11" t="s">
        <v>725</v>
      </c>
      <c r="C11" t="s">
        <v>778</v>
      </c>
      <c r="D11" t="s">
        <v>779</v>
      </c>
      <c r="E11" t="s">
        <v>780</v>
      </c>
      <c r="F11" t="s">
        <v>781</v>
      </c>
      <c r="G11" t="s">
        <v>782</v>
      </c>
      <c r="H11" t="s">
        <v>721</v>
      </c>
      <c r="P11" t="s">
        <v>783</v>
      </c>
      <c r="Q11" t="s">
        <v>784</v>
      </c>
    </row>
    <row r="12" spans="1:17" ht="28.9" customHeight="1" x14ac:dyDescent="0.25">
      <c r="A12" t="s">
        <v>785</v>
      </c>
      <c r="B12" t="s">
        <v>725</v>
      </c>
      <c r="C12" t="s">
        <v>778</v>
      </c>
      <c r="D12" t="s">
        <v>786</v>
      </c>
      <c r="E12" t="s">
        <v>745</v>
      </c>
      <c r="F12" t="s">
        <v>787</v>
      </c>
      <c r="G12" t="s">
        <v>788</v>
      </c>
      <c r="H12" t="s">
        <v>721</v>
      </c>
      <c r="P12" t="s">
        <v>789</v>
      </c>
      <c r="Q12" t="s">
        <v>790</v>
      </c>
    </row>
    <row r="13" spans="1:17" ht="57.6" customHeight="1" x14ac:dyDescent="0.25">
      <c r="A13" t="s">
        <v>791</v>
      </c>
      <c r="B13" t="s">
        <v>725</v>
      </c>
      <c r="C13" t="s">
        <v>778</v>
      </c>
      <c r="D13" t="s">
        <v>792</v>
      </c>
      <c r="E13" t="s">
        <v>793</v>
      </c>
      <c r="H13" t="s">
        <v>721</v>
      </c>
      <c r="Q13" t="s">
        <v>794</v>
      </c>
    </row>
    <row r="14" spans="1:17" ht="43.15" customHeight="1" x14ac:dyDescent="0.25">
      <c r="A14" t="s">
        <v>795</v>
      </c>
      <c r="B14" t="s">
        <v>725</v>
      </c>
      <c r="C14" t="s">
        <v>778</v>
      </c>
      <c r="D14" t="s">
        <v>796</v>
      </c>
      <c r="E14" t="s">
        <v>728</v>
      </c>
      <c r="F14" t="s">
        <v>787</v>
      </c>
      <c r="G14" t="s">
        <v>797</v>
      </c>
      <c r="H14" t="s">
        <v>721</v>
      </c>
      <c r="P14" t="s">
        <v>798</v>
      </c>
      <c r="Q14" t="s">
        <v>799</v>
      </c>
    </row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51" t="s">
        <v>800</v>
      </c>
      <c r="B1" s="152"/>
      <c r="C1" s="152"/>
      <c r="D1" s="152"/>
      <c r="Z1" t="s">
        <v>801</v>
      </c>
    </row>
    <row r="2" spans="1:26" ht="36" customHeight="1" x14ac:dyDescent="0.25">
      <c r="A2" s="153" t="s">
        <v>802</v>
      </c>
      <c r="B2" s="152"/>
      <c r="C2" s="152"/>
      <c r="D2" s="152"/>
      <c r="Z2" t="s">
        <v>803</v>
      </c>
    </row>
    <row r="3" spans="1:26" ht="30" customHeight="1" x14ac:dyDescent="0.25">
      <c r="Z3">
        <v>48</v>
      </c>
    </row>
    <row r="5" spans="1:26" x14ac:dyDescent="0.25">
      <c r="A5" s="84" t="s">
        <v>804</v>
      </c>
      <c r="B5" s="84" t="s">
        <v>805</v>
      </c>
      <c r="C5" s="84" t="s">
        <v>806</v>
      </c>
    </row>
    <row r="6" spans="1:26" ht="22.15" customHeight="1" x14ac:dyDescent="0.25">
      <c r="A6" s="85"/>
      <c r="B6" s="86" t="s">
        <v>807</v>
      </c>
      <c r="C6" s="85" t="s">
        <v>808</v>
      </c>
      <c r="D6" t="b">
        <v>1</v>
      </c>
    </row>
    <row r="7" spans="1:26" ht="22.15" customHeight="1" x14ac:dyDescent="0.25">
      <c r="A7" s="85"/>
      <c r="B7" s="86" t="s">
        <v>31</v>
      </c>
      <c r="C7" s="85" t="s">
        <v>211</v>
      </c>
      <c r="D7" t="b">
        <v>0</v>
      </c>
    </row>
    <row r="8" spans="1:26" ht="22.15" customHeight="1" x14ac:dyDescent="0.25">
      <c r="A8" s="85"/>
      <c r="B8" s="86" t="s">
        <v>214</v>
      </c>
      <c r="C8" s="85" t="s">
        <v>213</v>
      </c>
      <c r="D8" t="b">
        <v>0</v>
      </c>
    </row>
    <row r="9" spans="1:26" ht="22.15" customHeight="1" x14ac:dyDescent="0.25">
      <c r="A9" s="85"/>
      <c r="B9" s="86" t="s">
        <v>217</v>
      </c>
      <c r="C9" s="85" t="s">
        <v>216</v>
      </c>
      <c r="D9" t="b">
        <v>0</v>
      </c>
    </row>
    <row r="10" spans="1:26" ht="22.15" customHeight="1" x14ac:dyDescent="0.25">
      <c r="A10" s="85"/>
      <c r="B10" s="86" t="s">
        <v>219</v>
      </c>
      <c r="C10" s="85" t="s">
        <v>218</v>
      </c>
      <c r="D10" t="b">
        <v>1</v>
      </c>
    </row>
    <row r="11" spans="1:26" ht="22.15" customHeight="1" x14ac:dyDescent="0.25">
      <c r="A11" s="85"/>
      <c r="B11" s="86" t="s">
        <v>208</v>
      </c>
      <c r="C11" s="85" t="s">
        <v>207</v>
      </c>
      <c r="D11" t="b">
        <v>0</v>
      </c>
    </row>
    <row r="12" spans="1:26" ht="22.15" customHeight="1" x14ac:dyDescent="0.25">
      <c r="A12" s="85"/>
      <c r="B12" s="86" t="s">
        <v>210</v>
      </c>
      <c r="C12" s="85" t="s">
        <v>209</v>
      </c>
      <c r="D12" t="b">
        <v>1</v>
      </c>
    </row>
    <row r="13" spans="1:26" ht="22.15" customHeight="1" x14ac:dyDescent="0.25">
      <c r="A13" s="85"/>
      <c r="B13" s="86" t="s">
        <v>221</v>
      </c>
      <c r="C13" s="85" t="s">
        <v>220</v>
      </c>
      <c r="D13" t="b">
        <v>0</v>
      </c>
    </row>
    <row r="14" spans="1:26" ht="22.15" customHeight="1" x14ac:dyDescent="0.25">
      <c r="A14" s="85"/>
      <c r="B14" s="86" t="s">
        <v>223</v>
      </c>
      <c r="C14" s="85" t="s">
        <v>222</v>
      </c>
      <c r="D14" t="b">
        <v>0</v>
      </c>
    </row>
    <row r="15" spans="1:26" ht="22.15" customHeight="1" x14ac:dyDescent="0.25">
      <c r="A15" s="85"/>
      <c r="B15" s="86" t="s">
        <v>225</v>
      </c>
      <c r="C15" s="85" t="s">
        <v>224</v>
      </c>
      <c r="D15" t="b">
        <v>1</v>
      </c>
    </row>
    <row r="16" spans="1:26" ht="22.15" customHeight="1" x14ac:dyDescent="0.25">
      <c r="A16" s="85"/>
      <c r="B16" s="86" t="s">
        <v>227</v>
      </c>
      <c r="C16" s="85" t="s">
        <v>226</v>
      </c>
      <c r="D16" t="b">
        <v>0</v>
      </c>
    </row>
    <row r="17" spans="1:4" ht="22.15" customHeight="1" x14ac:dyDescent="0.25">
      <c r="A17" s="85"/>
      <c r="B17" s="86" t="s">
        <v>809</v>
      </c>
      <c r="C17" s="85" t="s">
        <v>229</v>
      </c>
      <c r="D17" t="b">
        <v>0</v>
      </c>
    </row>
    <row r="18" spans="1:4" ht="22.15" customHeight="1" x14ac:dyDescent="0.25">
      <c r="A18" s="85"/>
      <c r="B18" s="86" t="s">
        <v>205</v>
      </c>
      <c r="C18" s="85" t="s">
        <v>204</v>
      </c>
      <c r="D18" t="b">
        <v>0</v>
      </c>
    </row>
    <row r="19" spans="1:4" ht="22.15" customHeight="1" x14ac:dyDescent="0.25">
      <c r="A19" s="85"/>
      <c r="B19" s="86" t="s">
        <v>810</v>
      </c>
      <c r="C19" s="85" t="s">
        <v>811</v>
      </c>
      <c r="D19" t="b">
        <v>0</v>
      </c>
    </row>
    <row r="20" spans="1:4" ht="22.15" customHeight="1" x14ac:dyDescent="0.25">
      <c r="A20" s="85"/>
      <c r="B20" s="86" t="s">
        <v>812</v>
      </c>
      <c r="C20" s="85" t="s">
        <v>813</v>
      </c>
      <c r="D20" t="b">
        <v>0</v>
      </c>
    </row>
    <row r="21" spans="1:4" ht="22.15" customHeight="1" x14ac:dyDescent="0.25">
      <c r="A21" s="85"/>
      <c r="B21" s="86" t="s">
        <v>814</v>
      </c>
      <c r="C21" s="85" t="s">
        <v>815</v>
      </c>
      <c r="D21" t="b">
        <v>0</v>
      </c>
    </row>
    <row r="22" spans="1:4" ht="22.15" customHeight="1" x14ac:dyDescent="0.25">
      <c r="A22" s="85"/>
      <c r="B22" s="86" t="s">
        <v>816</v>
      </c>
      <c r="C22" s="85" t="s">
        <v>817</v>
      </c>
      <c r="D22" t="b">
        <v>0</v>
      </c>
    </row>
    <row r="23" spans="1:4" ht="22.15" customHeight="1" x14ac:dyDescent="0.25">
      <c r="A23" s="85"/>
      <c r="B23" s="86" t="s">
        <v>318</v>
      </c>
      <c r="C23" s="85" t="s">
        <v>317</v>
      </c>
      <c r="D23" t="b">
        <v>0</v>
      </c>
    </row>
    <row r="24" spans="1:4" ht="22.15" customHeight="1" x14ac:dyDescent="0.25">
      <c r="A24" s="85"/>
      <c r="B24" s="86" t="s">
        <v>232</v>
      </c>
      <c r="C24" s="85" t="s">
        <v>818</v>
      </c>
      <c r="D24" t="b">
        <v>0</v>
      </c>
    </row>
    <row r="25" spans="1:4" ht="22.15" customHeight="1" x14ac:dyDescent="0.25">
      <c r="A25" s="85"/>
      <c r="B25" s="86" t="s">
        <v>232</v>
      </c>
      <c r="C25" s="85" t="s">
        <v>819</v>
      </c>
      <c r="D25" t="b">
        <v>0</v>
      </c>
    </row>
    <row r="26" spans="1:4" ht="22.15" customHeight="1" x14ac:dyDescent="0.25">
      <c r="A26" s="85"/>
      <c r="B26" s="86" t="s">
        <v>321</v>
      </c>
      <c r="C26" s="85" t="s">
        <v>320</v>
      </c>
      <c r="D26" t="b">
        <v>0</v>
      </c>
    </row>
    <row r="27" spans="1:4" ht="22.15" customHeight="1" x14ac:dyDescent="0.25">
      <c r="A27" s="85"/>
      <c r="B27" s="86" t="s">
        <v>324</v>
      </c>
      <c r="C27" s="85" t="s">
        <v>243</v>
      </c>
      <c r="D27" t="b">
        <v>0</v>
      </c>
    </row>
    <row r="28" spans="1:4" ht="22.15" customHeight="1" x14ac:dyDescent="0.25">
      <c r="A28" s="85"/>
      <c r="B28" s="86" t="s">
        <v>820</v>
      </c>
      <c r="C28" s="85" t="s">
        <v>821</v>
      </c>
      <c r="D28" t="b">
        <v>0</v>
      </c>
    </row>
    <row r="29" spans="1:4" ht="22.15" customHeight="1" x14ac:dyDescent="0.25">
      <c r="A29" s="85"/>
      <c r="B29" s="86" t="s">
        <v>245</v>
      </c>
      <c r="C29" s="85" t="s">
        <v>822</v>
      </c>
      <c r="D29" t="b">
        <v>0</v>
      </c>
    </row>
    <row r="30" spans="1:4" ht="22.15" customHeight="1" x14ac:dyDescent="0.25">
      <c r="A30" s="85"/>
      <c r="B30" s="86" t="s">
        <v>248</v>
      </c>
      <c r="C30" s="85" t="s">
        <v>823</v>
      </c>
      <c r="D30" t="b">
        <v>0</v>
      </c>
    </row>
    <row r="31" spans="1:4" ht="22.15" customHeight="1" x14ac:dyDescent="0.25">
      <c r="A31" s="85"/>
      <c r="B31" s="86" t="s">
        <v>315</v>
      </c>
      <c r="C31" s="85" t="s">
        <v>314</v>
      </c>
      <c r="D31" t="b">
        <v>0</v>
      </c>
    </row>
    <row r="32" spans="1:4" ht="22.15" customHeight="1" x14ac:dyDescent="0.25">
      <c r="A32" s="85"/>
      <c r="B32" s="86" t="s">
        <v>242</v>
      </c>
      <c r="C32" s="85" t="s">
        <v>241</v>
      </c>
      <c r="D32" t="b">
        <v>0</v>
      </c>
    </row>
    <row r="33" spans="1:4" ht="22.15" customHeight="1" x14ac:dyDescent="0.25">
      <c r="A33" s="85"/>
      <c r="B33" s="86" t="s">
        <v>824</v>
      </c>
      <c r="C33" s="85" t="s">
        <v>825</v>
      </c>
      <c r="D33" t="b">
        <v>0</v>
      </c>
    </row>
    <row r="34" spans="1:4" ht="22.15" customHeight="1" x14ac:dyDescent="0.25">
      <c r="A34" s="85"/>
      <c r="B34" s="86" t="s">
        <v>255</v>
      </c>
      <c r="C34" s="85" t="s">
        <v>254</v>
      </c>
      <c r="D34" t="b">
        <v>0</v>
      </c>
    </row>
    <row r="35" spans="1:4" ht="22.15" customHeight="1" x14ac:dyDescent="0.25">
      <c r="A35" s="85"/>
      <c r="B35" s="86" t="s">
        <v>250</v>
      </c>
      <c r="C35" s="85" t="s">
        <v>249</v>
      </c>
      <c r="D35" t="b">
        <v>0</v>
      </c>
    </row>
    <row r="36" spans="1:4" ht="22.15" customHeight="1" x14ac:dyDescent="0.25">
      <c r="A36" s="85"/>
      <c r="B36" s="86" t="s">
        <v>268</v>
      </c>
      <c r="C36" s="85" t="s">
        <v>267</v>
      </c>
      <c r="D36" t="b">
        <v>0</v>
      </c>
    </row>
    <row r="37" spans="1:4" ht="22.15" customHeight="1" x14ac:dyDescent="0.25">
      <c r="A37" s="85"/>
      <c r="B37" s="86" t="s">
        <v>266</v>
      </c>
      <c r="C37" s="85" t="s">
        <v>265</v>
      </c>
      <c r="D37" t="b">
        <v>0</v>
      </c>
    </row>
    <row r="38" spans="1:4" ht="22.15" customHeight="1" x14ac:dyDescent="0.25">
      <c r="A38" s="85"/>
      <c r="B38" s="86" t="s">
        <v>288</v>
      </c>
      <c r="C38" s="85" t="s">
        <v>287</v>
      </c>
      <c r="D38" t="b">
        <v>0</v>
      </c>
    </row>
    <row r="39" spans="1:4" ht="22.15" customHeight="1" x14ac:dyDescent="0.25">
      <c r="A39" s="85"/>
      <c r="B39" s="86" t="s">
        <v>290</v>
      </c>
      <c r="C39" s="85" t="s">
        <v>289</v>
      </c>
      <c r="D39" t="b">
        <v>0</v>
      </c>
    </row>
    <row r="40" spans="1:4" ht="22.15" customHeight="1" x14ac:dyDescent="0.25">
      <c r="A40" s="85"/>
      <c r="B40" s="86" t="s">
        <v>826</v>
      </c>
      <c r="C40" s="85" t="s">
        <v>827</v>
      </c>
      <c r="D40" t="b">
        <v>0</v>
      </c>
    </row>
    <row r="41" spans="1:4" ht="22.15" customHeight="1" x14ac:dyDescent="0.25">
      <c r="A41" s="85"/>
      <c r="B41" s="86" t="s">
        <v>828</v>
      </c>
      <c r="C41" s="85" t="s">
        <v>829</v>
      </c>
      <c r="D41" t="b">
        <v>0</v>
      </c>
    </row>
    <row r="42" spans="1:4" ht="22.15" customHeight="1" x14ac:dyDescent="0.25">
      <c r="A42" s="85"/>
      <c r="B42" s="86" t="s">
        <v>323</v>
      </c>
      <c r="C42" s="85" t="s">
        <v>322</v>
      </c>
      <c r="D42" t="b">
        <v>0</v>
      </c>
    </row>
    <row r="43" spans="1:4" ht="22.15" customHeight="1" x14ac:dyDescent="0.25">
      <c r="A43" s="85"/>
      <c r="B43" s="86" t="s">
        <v>292</v>
      </c>
      <c r="C43" s="85" t="s">
        <v>830</v>
      </c>
      <c r="D43" t="b">
        <v>0</v>
      </c>
    </row>
    <row r="44" spans="1:4" ht="22.15" customHeight="1" x14ac:dyDescent="0.25">
      <c r="A44" s="85"/>
      <c r="B44" s="86" t="s">
        <v>313</v>
      </c>
      <c r="C44" s="85" t="s">
        <v>246</v>
      </c>
      <c r="D44" t="b">
        <v>1</v>
      </c>
    </row>
    <row r="45" spans="1:4" ht="22.15" customHeight="1" x14ac:dyDescent="0.25">
      <c r="A45" s="85"/>
      <c r="B45" s="86" t="s">
        <v>831</v>
      </c>
      <c r="C45" s="85" t="s">
        <v>832</v>
      </c>
      <c r="D45" t="b">
        <v>1</v>
      </c>
    </row>
    <row r="46" spans="1:4" ht="22.15" customHeight="1" x14ac:dyDescent="0.25">
      <c r="A46" s="85"/>
      <c r="B46" s="86" t="s">
        <v>833</v>
      </c>
      <c r="C46" s="85" t="s">
        <v>834</v>
      </c>
      <c r="D46" t="b">
        <v>0</v>
      </c>
    </row>
    <row r="47" spans="1:4" ht="22.15" customHeight="1" x14ac:dyDescent="0.25">
      <c r="A47" s="85"/>
      <c r="B47" s="86" t="s">
        <v>835</v>
      </c>
      <c r="C47" s="85" t="s">
        <v>836</v>
      </c>
      <c r="D47" t="b">
        <v>1</v>
      </c>
    </row>
    <row r="48" spans="1:4" ht="22.15" customHeight="1" x14ac:dyDescent="0.25">
      <c r="A48" s="85"/>
      <c r="B48" s="86" t="s">
        <v>837</v>
      </c>
      <c r="C48" s="85" t="s">
        <v>838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Line="0" autoPict="0">
                <anchor moveWithCells="1">
                  <from>
                    <xdr:col>0</xdr:col>
                    <xdr:colOff>76200</xdr:colOff>
                    <xdr:row>5</xdr:row>
                    <xdr:rowOff>28575</xdr:rowOff>
                  </from>
                  <to>
                    <xdr:col>0</xdr:col>
                    <xdr:colOff>371475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Line="0" autoPict="0">
                <anchor moveWithCells="1">
                  <from>
                    <xdr:col>0</xdr:col>
                    <xdr:colOff>76200</xdr:colOff>
                    <xdr:row>6</xdr:row>
                    <xdr:rowOff>28575</xdr:rowOff>
                  </from>
                  <to>
                    <xdr:col>0</xdr:col>
                    <xdr:colOff>371475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Line="0" autoPict="0">
                <anchor moveWithCells="1">
                  <from>
                    <xdr:col>0</xdr:col>
                    <xdr:colOff>76200</xdr:colOff>
                    <xdr:row>7</xdr:row>
                    <xdr:rowOff>28575</xdr:rowOff>
                  </from>
                  <to>
                    <xdr:col>0</xdr:col>
                    <xdr:colOff>371475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Line="0" autoPict="0">
                <anchor moveWithCells="1">
                  <from>
                    <xdr:col>0</xdr:col>
                    <xdr:colOff>76200</xdr:colOff>
                    <xdr:row>8</xdr:row>
                    <xdr:rowOff>28575</xdr:rowOff>
                  </from>
                  <to>
                    <xdr:col>0</xdr:col>
                    <xdr:colOff>371475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Line="0" autoPict="0">
                <anchor moveWithCells="1">
                  <from>
                    <xdr:col>0</xdr:col>
                    <xdr:colOff>76200</xdr:colOff>
                    <xdr:row>9</xdr:row>
                    <xdr:rowOff>28575</xdr:rowOff>
                  </from>
                  <to>
                    <xdr:col>0</xdr:col>
                    <xdr:colOff>371475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Line="0" autoPict="0">
                <anchor moveWithCells="1">
                  <from>
                    <xdr:col>0</xdr:col>
                    <xdr:colOff>76200</xdr:colOff>
                    <xdr:row>10</xdr:row>
                    <xdr:rowOff>28575</xdr:rowOff>
                  </from>
                  <to>
                    <xdr:col>0</xdr:col>
                    <xdr:colOff>371475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Line="0" autoPict="0">
                <anchor mov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371475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Line="0" autoPict="0">
                <anchor moveWithCells="1">
                  <from>
                    <xdr:col>0</xdr:col>
                    <xdr:colOff>76200</xdr:colOff>
                    <xdr:row>12</xdr:row>
                    <xdr:rowOff>28575</xdr:rowOff>
                  </from>
                  <to>
                    <xdr:col>0</xdr:col>
                    <xdr:colOff>371475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Line="0" autoPict="0">
                <anchor moveWithCells="1">
                  <from>
                    <xdr:col>0</xdr:col>
                    <xdr:colOff>76200</xdr:colOff>
                    <xdr:row>13</xdr:row>
                    <xdr:rowOff>28575</xdr:rowOff>
                  </from>
                  <to>
                    <xdr:col>0</xdr:col>
                    <xdr:colOff>371475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Line="0" autoPict="0">
                <anchor moveWithCells="1">
                  <from>
                    <xdr:col>0</xdr:col>
                    <xdr:colOff>76200</xdr:colOff>
                    <xdr:row>14</xdr:row>
                    <xdr:rowOff>28575</xdr:rowOff>
                  </from>
                  <to>
                    <xdr:col>0</xdr:col>
                    <xdr:colOff>371475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Line="0" autoPict="0">
                <anchor moveWithCells="1">
                  <from>
                    <xdr:col>0</xdr:col>
                    <xdr:colOff>76200</xdr:colOff>
                    <xdr:row>15</xdr:row>
                    <xdr:rowOff>28575</xdr:rowOff>
                  </from>
                  <to>
                    <xdr:col>0</xdr:col>
                    <xdr:colOff>371475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Line="0" autoPict="0">
                <anchor moveWithCells="1">
                  <from>
                    <xdr:col>0</xdr:col>
                    <xdr:colOff>76200</xdr:colOff>
                    <xdr:row>16</xdr:row>
                    <xdr:rowOff>28575</xdr:rowOff>
                  </from>
                  <to>
                    <xdr:col>0</xdr:col>
                    <xdr:colOff>371475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Line="0" autoPict="0">
                <anchor moveWithCells="1">
                  <from>
                    <xdr:col>0</xdr:col>
                    <xdr:colOff>76200</xdr:colOff>
                    <xdr:row>17</xdr:row>
                    <xdr:rowOff>28575</xdr:rowOff>
                  </from>
                  <to>
                    <xdr:col>0</xdr:col>
                    <xdr:colOff>371475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Line="0" autoPict="0">
                <anchor moveWithCells="1">
                  <from>
                    <xdr:col>0</xdr:col>
                    <xdr:colOff>76200</xdr:colOff>
                    <xdr:row>18</xdr:row>
                    <xdr:rowOff>28575</xdr:rowOff>
                  </from>
                  <to>
                    <xdr:col>0</xdr:col>
                    <xdr:colOff>371475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Line="0" autoPict="0">
                <anchor moveWithCells="1">
                  <from>
                    <xdr:col>0</xdr:col>
                    <xdr:colOff>76200</xdr:colOff>
                    <xdr:row>19</xdr:row>
                    <xdr:rowOff>28575</xdr:rowOff>
                  </from>
                  <to>
                    <xdr:col>0</xdr:col>
                    <xdr:colOff>371475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Line="0" autoPict="0">
                <anchor moveWithCells="1">
                  <from>
                    <xdr:col>0</xdr:col>
                    <xdr:colOff>76200</xdr:colOff>
                    <xdr:row>20</xdr:row>
                    <xdr:rowOff>28575</xdr:rowOff>
                  </from>
                  <to>
                    <xdr:col>0</xdr:col>
                    <xdr:colOff>371475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Line="0" autoPict="0">
                <anchor moveWithCells="1">
                  <from>
                    <xdr:col>0</xdr:col>
                    <xdr:colOff>76200</xdr:colOff>
                    <xdr:row>21</xdr:row>
                    <xdr:rowOff>28575</xdr:rowOff>
                  </from>
                  <to>
                    <xdr:col>0</xdr:col>
                    <xdr:colOff>371475</xdr:colOff>
                    <xdr:row>21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Line="0" autoPict="0">
                <anchor moveWithCells="1">
                  <from>
                    <xdr:col>0</xdr:col>
                    <xdr:colOff>76200</xdr:colOff>
                    <xdr:row>22</xdr:row>
                    <xdr:rowOff>28575</xdr:rowOff>
                  </from>
                  <to>
                    <xdr:col>0</xdr:col>
                    <xdr:colOff>371475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Line="0" autoPict="0">
                <anchor moveWithCells="1">
                  <from>
                    <xdr:col>0</xdr:col>
                    <xdr:colOff>76200</xdr:colOff>
                    <xdr:row>23</xdr:row>
                    <xdr:rowOff>28575</xdr:rowOff>
                  </from>
                  <to>
                    <xdr:col>0</xdr:col>
                    <xdr:colOff>371475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Line="0" autoPict="0">
                <anchor moveWithCells="1">
                  <from>
                    <xdr:col>0</xdr:col>
                    <xdr:colOff>76200</xdr:colOff>
                    <xdr:row>24</xdr:row>
                    <xdr:rowOff>28575</xdr:rowOff>
                  </from>
                  <to>
                    <xdr:col>0</xdr:col>
                    <xdr:colOff>371475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Line="0" autoPict="0">
                <anchor moveWithCells="1">
                  <from>
                    <xdr:col>0</xdr:col>
                    <xdr:colOff>76200</xdr:colOff>
                    <xdr:row>25</xdr:row>
                    <xdr:rowOff>28575</xdr:rowOff>
                  </from>
                  <to>
                    <xdr:col>0</xdr:col>
                    <xdr:colOff>371475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Line="0" autoPict="0">
                <anchor moveWithCells="1">
                  <from>
                    <xdr:col>0</xdr:col>
                    <xdr:colOff>76200</xdr:colOff>
                    <xdr:row>26</xdr:row>
                    <xdr:rowOff>28575</xdr:rowOff>
                  </from>
                  <to>
                    <xdr:col>0</xdr:col>
                    <xdr:colOff>371475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Line="0" autoPict="0">
                <anchor moveWithCells="1">
                  <from>
                    <xdr:col>0</xdr:col>
                    <xdr:colOff>76200</xdr:colOff>
                    <xdr:row>27</xdr:row>
                    <xdr:rowOff>28575</xdr:rowOff>
                  </from>
                  <to>
                    <xdr:col>0</xdr:col>
                    <xdr:colOff>371475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Line="0" autoPict="0">
                <anchor moveWithCells="1">
                  <from>
                    <xdr:col>0</xdr:col>
                    <xdr:colOff>76200</xdr:colOff>
                    <xdr:row>28</xdr:row>
                    <xdr:rowOff>28575</xdr:rowOff>
                  </from>
                  <to>
                    <xdr:col>0</xdr:col>
                    <xdr:colOff>371475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Line="0" autoPict="0">
                <anchor moveWithCells="1">
                  <from>
                    <xdr:col>0</xdr:col>
                    <xdr:colOff>76200</xdr:colOff>
                    <xdr:row>29</xdr:row>
                    <xdr:rowOff>28575</xdr:rowOff>
                  </from>
                  <to>
                    <xdr:col>0</xdr:col>
                    <xdr:colOff>371475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Line="0" autoPict="0">
                <anchor moveWithCells="1">
                  <from>
                    <xdr:col>0</xdr:col>
                    <xdr:colOff>76200</xdr:colOff>
                    <xdr:row>30</xdr:row>
                    <xdr:rowOff>28575</xdr:rowOff>
                  </from>
                  <to>
                    <xdr:col>0</xdr:col>
                    <xdr:colOff>371475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Line="0" autoPict="0">
                <anchor moveWithCells="1">
                  <from>
                    <xdr:col>0</xdr:col>
                    <xdr:colOff>76200</xdr:colOff>
                    <xdr:row>31</xdr:row>
                    <xdr:rowOff>28575</xdr:rowOff>
                  </from>
                  <to>
                    <xdr:col>0</xdr:col>
                    <xdr:colOff>371475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Line="0" autoPict="0">
                <anchor moveWithCells="1">
                  <from>
                    <xdr:col>0</xdr:col>
                    <xdr:colOff>76200</xdr:colOff>
                    <xdr:row>32</xdr:row>
                    <xdr:rowOff>28575</xdr:rowOff>
                  </from>
                  <to>
                    <xdr:col>0</xdr:col>
                    <xdr:colOff>371475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Line="0" autoPict="0">
                <anchor moveWithCells="1">
                  <from>
                    <xdr:col>0</xdr:col>
                    <xdr:colOff>76200</xdr:colOff>
                    <xdr:row>33</xdr:row>
                    <xdr:rowOff>28575</xdr:rowOff>
                  </from>
                  <to>
                    <xdr:col>0</xdr:col>
                    <xdr:colOff>371475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Line="0" autoPict="0">
                <anchor moveWithCells="1">
                  <from>
                    <xdr:col>0</xdr:col>
                    <xdr:colOff>76200</xdr:colOff>
                    <xdr:row>34</xdr:row>
                    <xdr:rowOff>28575</xdr:rowOff>
                  </from>
                  <to>
                    <xdr:col>0</xdr:col>
                    <xdr:colOff>371475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Line="0" autoPict="0">
                <anchor moveWithCells="1">
                  <from>
                    <xdr:col>0</xdr:col>
                    <xdr:colOff>76200</xdr:colOff>
                    <xdr:row>35</xdr:row>
                    <xdr:rowOff>28575</xdr:rowOff>
                  </from>
                  <to>
                    <xdr:col>0</xdr:col>
                    <xdr:colOff>371475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Line="0" autoPict="0">
                <anchor moveWithCells="1">
                  <from>
                    <xdr:col>0</xdr:col>
                    <xdr:colOff>76200</xdr:colOff>
                    <xdr:row>36</xdr:row>
                    <xdr:rowOff>28575</xdr:rowOff>
                  </from>
                  <to>
                    <xdr:col>0</xdr:col>
                    <xdr:colOff>371475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Line="0" autoPict="0">
                <anchor moveWithCells="1">
                  <from>
                    <xdr:col>0</xdr:col>
                    <xdr:colOff>76200</xdr:colOff>
                    <xdr:row>37</xdr:row>
                    <xdr:rowOff>28575</xdr:rowOff>
                  </from>
                  <to>
                    <xdr:col>0</xdr:col>
                    <xdr:colOff>371475</xdr:colOff>
                    <xdr:row>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Line="0" autoPict="0">
                <anchor moveWithCells="1">
                  <from>
                    <xdr:col>0</xdr:col>
                    <xdr:colOff>76200</xdr:colOff>
                    <xdr:row>38</xdr:row>
                    <xdr:rowOff>28575</xdr:rowOff>
                  </from>
                  <to>
                    <xdr:col>0</xdr:col>
                    <xdr:colOff>371475</xdr:colOff>
                    <xdr:row>38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Line="0" autoPict="0">
                <anchor moveWithCells="1">
                  <from>
                    <xdr:col>0</xdr:col>
                    <xdr:colOff>76200</xdr:colOff>
                    <xdr:row>39</xdr:row>
                    <xdr:rowOff>28575</xdr:rowOff>
                  </from>
                  <to>
                    <xdr:col>0</xdr:col>
                    <xdr:colOff>371475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Line="0" autoPict="0">
                <anchor moveWithCells="1">
                  <from>
                    <xdr:col>0</xdr:col>
                    <xdr:colOff>76200</xdr:colOff>
                    <xdr:row>40</xdr:row>
                    <xdr:rowOff>28575</xdr:rowOff>
                  </from>
                  <to>
                    <xdr:col>0</xdr:col>
                    <xdr:colOff>371475</xdr:colOff>
                    <xdr:row>40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Line="0" autoPict="0">
                <anchor moveWithCells="1">
                  <from>
                    <xdr:col>0</xdr:col>
                    <xdr:colOff>76200</xdr:colOff>
                    <xdr:row>41</xdr:row>
                    <xdr:rowOff>28575</xdr:rowOff>
                  </from>
                  <to>
                    <xdr:col>0</xdr:col>
                    <xdr:colOff>371475</xdr:colOff>
                    <xdr:row>41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Line="0" autoPict="0">
                <anchor moveWithCells="1">
                  <from>
                    <xdr:col>0</xdr:col>
                    <xdr:colOff>76200</xdr:colOff>
                    <xdr:row>42</xdr:row>
                    <xdr:rowOff>28575</xdr:rowOff>
                  </from>
                  <to>
                    <xdr:col>0</xdr:col>
                    <xdr:colOff>371475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Line="0" autoPict="0">
                <anchor moveWithCells="1">
                  <from>
                    <xdr:col>0</xdr:col>
                    <xdr:colOff>76200</xdr:colOff>
                    <xdr:row>43</xdr:row>
                    <xdr:rowOff>28575</xdr:rowOff>
                  </from>
                  <to>
                    <xdr:col>0</xdr:col>
                    <xdr:colOff>371475</xdr:colOff>
                    <xdr:row>43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Line="0" autoPict="0">
                <anchor moveWithCells="1">
                  <from>
                    <xdr:col>0</xdr:col>
                    <xdr:colOff>76200</xdr:colOff>
                    <xdr:row>44</xdr:row>
                    <xdr:rowOff>28575</xdr:rowOff>
                  </from>
                  <to>
                    <xdr:col>0</xdr:col>
                    <xdr:colOff>371475</xdr:colOff>
                    <xdr:row>44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Line="0" autoPict="0">
                <anchor moveWithCells="1">
                  <from>
                    <xdr:col>0</xdr:col>
                    <xdr:colOff>76200</xdr:colOff>
                    <xdr:row>45</xdr:row>
                    <xdr:rowOff>28575</xdr:rowOff>
                  </from>
                  <to>
                    <xdr:col>0</xdr:col>
                    <xdr:colOff>371475</xdr:colOff>
                    <xdr:row>45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Line="0" autoPict="0">
                <anchor moveWithCells="1">
                  <from>
                    <xdr:col>0</xdr:col>
                    <xdr:colOff>76200</xdr:colOff>
                    <xdr:row>46</xdr:row>
                    <xdr:rowOff>28575</xdr:rowOff>
                  </from>
                  <to>
                    <xdr:col>0</xdr:col>
                    <xdr:colOff>371475</xdr:colOff>
                    <xdr:row>46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Line="0" autoPict="0">
                <anchor moveWithCells="1">
                  <from>
                    <xdr:col>0</xdr:col>
                    <xdr:colOff>76200</xdr:colOff>
                    <xdr:row>47</xdr:row>
                    <xdr:rowOff>28575</xdr:rowOff>
                  </from>
                  <to>
                    <xdr:col>0</xdr:col>
                    <xdr:colOff>371475</xdr:colOff>
                    <xdr:row>47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Pict="0" macro="[0]!ConfirmarSelecaoComponentes">
                <anchor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1</xdr:col>
                    <xdr:colOff>1171575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Pict="0" macro="[0]!CancelarSelecaoComponentes">
                <anchor>
                  <from>
                    <xdr:col>1</xdr:col>
                    <xdr:colOff>1276350</xdr:colOff>
                    <xdr:row>2</xdr:row>
                    <xdr:rowOff>28575</xdr:rowOff>
                  </from>
                  <to>
                    <xdr:col>1</xdr:col>
                    <xdr:colOff>2943225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Pict="0" macro="[0]!MarcarTodosComponentes">
                <anchor>
                  <from>
                    <xdr:col>1</xdr:col>
                    <xdr:colOff>3057525</xdr:colOff>
                    <xdr:row>2</xdr:row>
                    <xdr:rowOff>28575</xdr:rowOff>
                  </from>
                  <to>
                    <xdr:col>2</xdr:col>
                    <xdr:colOff>200025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Pict="0" macro="[0]!LimparSelecaoComponentes">
                <anchor>
                  <from>
                    <xdr:col>2</xdr:col>
                    <xdr:colOff>314325</xdr:colOff>
                    <xdr:row>2</xdr:row>
                    <xdr:rowOff>28575</xdr:rowOff>
                  </from>
                  <to>
                    <xdr:col>4</xdr:col>
                    <xdr:colOff>104775</xdr:colOff>
                    <xdr:row>2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H39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79" t="s">
        <v>328</v>
      </c>
      <c r="B1" s="79" t="s">
        <v>187</v>
      </c>
      <c r="C1" s="79" t="s">
        <v>194</v>
      </c>
      <c r="D1" s="79" t="s">
        <v>839</v>
      </c>
      <c r="E1" s="79" t="s">
        <v>703</v>
      </c>
      <c r="F1" s="79" t="s">
        <v>203</v>
      </c>
      <c r="G1" s="79" t="s">
        <v>714</v>
      </c>
      <c r="H1" s="79" t="s">
        <v>840</v>
      </c>
    </row>
    <row r="2" spans="1:8" ht="230.45" customHeight="1" x14ac:dyDescent="0.25">
      <c r="A2" s="81" t="s">
        <v>841</v>
      </c>
      <c r="B2" s="82" t="s">
        <v>842</v>
      </c>
      <c r="C2" s="81" t="s">
        <v>843</v>
      </c>
      <c r="D2" s="82" t="s">
        <v>844</v>
      </c>
      <c r="E2" s="81">
        <v>2024</v>
      </c>
      <c r="F2" s="82" t="s">
        <v>845</v>
      </c>
      <c r="G2" t="s">
        <v>846</v>
      </c>
      <c r="H2" t="s">
        <v>847</v>
      </c>
    </row>
    <row r="3" spans="1:8" ht="57.6" customHeight="1" x14ac:dyDescent="0.25">
      <c r="A3" s="81" t="s">
        <v>848</v>
      </c>
      <c r="B3" s="82" t="s">
        <v>849</v>
      </c>
      <c r="C3" s="81" t="s">
        <v>850</v>
      </c>
      <c r="D3" s="82" t="s">
        <v>851</v>
      </c>
      <c r="E3" s="81">
        <v>2021</v>
      </c>
      <c r="F3" s="82" t="s">
        <v>852</v>
      </c>
      <c r="G3" t="s">
        <v>853</v>
      </c>
      <c r="H3" t="s">
        <v>854</v>
      </c>
    </row>
    <row r="4" spans="1:8" ht="57.6" customHeight="1" x14ac:dyDescent="0.25">
      <c r="A4" s="81" t="s">
        <v>855</v>
      </c>
      <c r="B4" s="82" t="s">
        <v>856</v>
      </c>
      <c r="C4" s="81" t="s">
        <v>850</v>
      </c>
      <c r="D4" s="82" t="s">
        <v>857</v>
      </c>
      <c r="E4" s="81">
        <v>1986</v>
      </c>
      <c r="F4" s="82" t="s">
        <v>858</v>
      </c>
      <c r="G4" t="s">
        <v>859</v>
      </c>
      <c r="H4" t="s">
        <v>860</v>
      </c>
    </row>
    <row r="5" spans="1:8" ht="72" customHeight="1" x14ac:dyDescent="0.25">
      <c r="A5" s="81" t="s">
        <v>861</v>
      </c>
      <c r="B5" s="82" t="s">
        <v>862</v>
      </c>
      <c r="C5" s="81" t="s">
        <v>850</v>
      </c>
      <c r="D5" s="82" t="s">
        <v>863</v>
      </c>
      <c r="E5" s="81">
        <v>2016</v>
      </c>
      <c r="F5" s="82" t="s">
        <v>864</v>
      </c>
      <c r="G5" t="s">
        <v>865</v>
      </c>
      <c r="H5" t="s">
        <v>866</v>
      </c>
    </row>
    <row r="6" spans="1:8" ht="72" customHeight="1" x14ac:dyDescent="0.25">
      <c r="A6" s="81" t="s">
        <v>867</v>
      </c>
      <c r="B6" s="82" t="s">
        <v>868</v>
      </c>
      <c r="C6" s="81" t="s">
        <v>869</v>
      </c>
      <c r="D6" s="82" t="s">
        <v>870</v>
      </c>
      <c r="E6" s="81">
        <v>2025</v>
      </c>
      <c r="F6" s="82" t="s">
        <v>871</v>
      </c>
      <c r="G6" t="s">
        <v>872</v>
      </c>
      <c r="H6" t="s">
        <v>873</v>
      </c>
    </row>
    <row r="7" spans="1:8" ht="43.15" customHeight="1" x14ac:dyDescent="0.25">
      <c r="A7" s="81" t="s">
        <v>874</v>
      </c>
      <c r="B7" s="82" t="s">
        <v>875</v>
      </c>
      <c r="C7" s="81" t="s">
        <v>850</v>
      </c>
      <c r="D7" s="82" t="s">
        <v>876</v>
      </c>
      <c r="E7" s="81">
        <v>2018</v>
      </c>
      <c r="F7" s="82" t="s">
        <v>877</v>
      </c>
      <c r="G7" t="s">
        <v>878</v>
      </c>
      <c r="H7" t="s">
        <v>879</v>
      </c>
    </row>
    <row r="8" spans="1:8" ht="158.44999999999999" customHeight="1" x14ac:dyDescent="0.25">
      <c r="A8" s="81" t="s">
        <v>880</v>
      </c>
      <c r="B8" s="82" t="s">
        <v>881</v>
      </c>
      <c r="C8" s="81" t="s">
        <v>850</v>
      </c>
      <c r="D8" s="82" t="s">
        <v>882</v>
      </c>
      <c r="E8" s="81">
        <v>2026</v>
      </c>
      <c r="F8" s="82" t="s">
        <v>883</v>
      </c>
      <c r="G8" t="s">
        <v>884</v>
      </c>
      <c r="H8" t="s">
        <v>885</v>
      </c>
    </row>
    <row r="9" spans="1:8" ht="72" customHeight="1" x14ac:dyDescent="0.25">
      <c r="A9" s="81" t="s">
        <v>886</v>
      </c>
      <c r="B9" s="82" t="s">
        <v>887</v>
      </c>
      <c r="C9" s="81" t="s">
        <v>850</v>
      </c>
      <c r="D9" s="82" t="s">
        <v>888</v>
      </c>
      <c r="E9" s="81">
        <v>2022</v>
      </c>
      <c r="F9" s="82" t="s">
        <v>889</v>
      </c>
      <c r="G9" t="s">
        <v>783</v>
      </c>
      <c r="H9" t="s">
        <v>777</v>
      </c>
    </row>
    <row r="10" spans="1:8" x14ac:dyDescent="0.25">
      <c r="A10" s="81" t="s">
        <v>890</v>
      </c>
      <c r="B10" s="82" t="s">
        <v>891</v>
      </c>
      <c r="C10" s="81" t="s">
        <v>850</v>
      </c>
      <c r="D10" s="82" t="s">
        <v>892</v>
      </c>
      <c r="E10" s="81">
        <v>2012</v>
      </c>
      <c r="F10" s="82"/>
      <c r="H10" t="s">
        <v>893</v>
      </c>
    </row>
    <row r="11" spans="1:8" x14ac:dyDescent="0.25">
      <c r="A11" s="81" t="s">
        <v>894</v>
      </c>
      <c r="B11" s="82" t="s">
        <v>459</v>
      </c>
      <c r="C11" s="81" t="s">
        <v>850</v>
      </c>
      <c r="D11" s="82" t="s">
        <v>895</v>
      </c>
      <c r="E11" s="81">
        <v>2012</v>
      </c>
      <c r="F11" s="82"/>
      <c r="H11" t="s">
        <v>896</v>
      </c>
    </row>
    <row r="12" spans="1:8" x14ac:dyDescent="0.25">
      <c r="A12" s="81" t="s">
        <v>897</v>
      </c>
      <c r="B12" s="82" t="s">
        <v>898</v>
      </c>
      <c r="C12" s="81" t="s">
        <v>899</v>
      </c>
      <c r="D12" s="82" t="s">
        <v>900</v>
      </c>
      <c r="E12" s="81">
        <v>2005</v>
      </c>
      <c r="F12" s="82"/>
      <c r="H12" t="s">
        <v>901</v>
      </c>
    </row>
    <row r="13" spans="1:8" ht="30" customHeight="1" x14ac:dyDescent="0.25">
      <c r="A13" s="81" t="s">
        <v>902</v>
      </c>
      <c r="B13" s="82" t="s">
        <v>448</v>
      </c>
      <c r="C13" s="81" t="s">
        <v>850</v>
      </c>
      <c r="D13" s="82" t="s">
        <v>903</v>
      </c>
      <c r="E13" s="81">
        <v>2004</v>
      </c>
      <c r="F13" s="82"/>
      <c r="H13" t="s">
        <v>904</v>
      </c>
    </row>
    <row r="14" spans="1:8" ht="57.6" customHeight="1" x14ac:dyDescent="0.25">
      <c r="A14" s="81" t="s">
        <v>905</v>
      </c>
      <c r="B14" s="82" t="s">
        <v>906</v>
      </c>
      <c r="C14" s="81" t="s">
        <v>907</v>
      </c>
      <c r="D14" s="82" t="s">
        <v>908</v>
      </c>
      <c r="E14" s="81">
        <v>2017</v>
      </c>
      <c r="F14" s="82" t="s">
        <v>909</v>
      </c>
      <c r="H14" t="s">
        <v>910</v>
      </c>
    </row>
    <row r="15" spans="1:8" ht="28.9" customHeight="1" x14ac:dyDescent="0.25">
      <c r="A15" s="81" t="s">
        <v>911</v>
      </c>
      <c r="B15" s="82" t="s">
        <v>912</v>
      </c>
      <c r="C15" s="81" t="s">
        <v>913</v>
      </c>
      <c r="D15" s="82" t="s">
        <v>912</v>
      </c>
      <c r="E15" s="81" t="s">
        <v>914</v>
      </c>
      <c r="F15" s="82" t="s">
        <v>915</v>
      </c>
      <c r="G15" t="s">
        <v>916</v>
      </c>
      <c r="H15" t="s">
        <v>917</v>
      </c>
    </row>
    <row r="16" spans="1:8" ht="28.9" customHeight="1" x14ac:dyDescent="0.25">
      <c r="A16" s="81" t="s">
        <v>918</v>
      </c>
      <c r="B16" s="82" t="s">
        <v>919</v>
      </c>
      <c r="C16" s="81" t="s">
        <v>913</v>
      </c>
      <c r="D16" s="82" t="s">
        <v>919</v>
      </c>
      <c r="E16" s="81" t="s">
        <v>920</v>
      </c>
      <c r="F16" s="82" t="s">
        <v>915</v>
      </c>
      <c r="G16" t="s">
        <v>921</v>
      </c>
      <c r="H16" t="s">
        <v>922</v>
      </c>
    </row>
    <row r="17" spans="1:8" ht="28.9" customHeight="1" x14ac:dyDescent="0.25">
      <c r="A17" s="81" t="s">
        <v>923</v>
      </c>
      <c r="B17" s="82" t="s">
        <v>924</v>
      </c>
      <c r="C17" s="81" t="s">
        <v>913</v>
      </c>
      <c r="D17" s="82" t="s">
        <v>924</v>
      </c>
      <c r="E17" s="81" t="s">
        <v>780</v>
      </c>
      <c r="F17" s="82" t="s">
        <v>915</v>
      </c>
      <c r="G17" t="s">
        <v>925</v>
      </c>
      <c r="H17" t="s">
        <v>926</v>
      </c>
    </row>
    <row r="18" spans="1:8" ht="28.9" customHeight="1" x14ac:dyDescent="0.25">
      <c r="A18" s="81" t="s">
        <v>927</v>
      </c>
      <c r="B18" s="82" t="s">
        <v>928</v>
      </c>
      <c r="C18" s="81" t="s">
        <v>913</v>
      </c>
      <c r="D18" s="82" t="s">
        <v>928</v>
      </c>
      <c r="E18" s="81" t="s">
        <v>780</v>
      </c>
      <c r="F18" s="82" t="s">
        <v>915</v>
      </c>
      <c r="G18" t="s">
        <v>929</v>
      </c>
      <c r="H18" t="s">
        <v>930</v>
      </c>
    </row>
    <row r="19" spans="1:8" ht="28.9" customHeight="1" x14ac:dyDescent="0.25">
      <c r="A19" s="81" t="s">
        <v>931</v>
      </c>
      <c r="B19" s="82" t="s">
        <v>932</v>
      </c>
      <c r="C19" s="81" t="s">
        <v>913</v>
      </c>
      <c r="D19" s="82" t="s">
        <v>932</v>
      </c>
      <c r="E19" s="81" t="s">
        <v>769</v>
      </c>
      <c r="F19" s="82" t="s">
        <v>915</v>
      </c>
      <c r="G19" t="s">
        <v>933</v>
      </c>
      <c r="H19" t="s">
        <v>934</v>
      </c>
    </row>
    <row r="20" spans="1:8" ht="28.9" customHeight="1" x14ac:dyDescent="0.25">
      <c r="A20" s="81" t="s">
        <v>935</v>
      </c>
      <c r="B20" s="82" t="s">
        <v>936</v>
      </c>
      <c r="C20" s="81" t="s">
        <v>913</v>
      </c>
      <c r="D20" s="82" t="s">
        <v>936</v>
      </c>
      <c r="E20" s="81" t="s">
        <v>745</v>
      </c>
      <c r="F20" s="82" t="s">
        <v>915</v>
      </c>
      <c r="G20" t="s">
        <v>937</v>
      </c>
      <c r="H20" t="s">
        <v>938</v>
      </c>
    </row>
    <row r="21" spans="1:8" ht="28.9" customHeight="1" x14ac:dyDescent="0.25">
      <c r="A21" s="81" t="s">
        <v>939</v>
      </c>
      <c r="B21" s="82" t="s">
        <v>940</v>
      </c>
      <c r="C21" s="81" t="s">
        <v>913</v>
      </c>
      <c r="D21" s="82" t="s">
        <v>940</v>
      </c>
      <c r="E21" s="81" t="s">
        <v>733</v>
      </c>
      <c r="F21" s="82" t="s">
        <v>915</v>
      </c>
      <c r="G21" t="s">
        <v>941</v>
      </c>
      <c r="H21" t="s">
        <v>942</v>
      </c>
    </row>
    <row r="22" spans="1:8" ht="28.9" customHeight="1" x14ac:dyDescent="0.25">
      <c r="A22" s="81" t="s">
        <v>943</v>
      </c>
      <c r="B22" s="82" t="s">
        <v>944</v>
      </c>
      <c r="C22" s="81" t="s">
        <v>913</v>
      </c>
      <c r="D22" s="82" t="s">
        <v>944</v>
      </c>
      <c r="E22" s="81" t="s">
        <v>761</v>
      </c>
      <c r="F22" s="82" t="s">
        <v>915</v>
      </c>
      <c r="G22" t="s">
        <v>945</v>
      </c>
      <c r="H22" t="s">
        <v>946</v>
      </c>
    </row>
    <row r="23" spans="1:8" ht="28.9" customHeight="1" x14ac:dyDescent="0.25">
      <c r="A23" s="81" t="s">
        <v>947</v>
      </c>
      <c r="B23" s="82" t="s">
        <v>948</v>
      </c>
      <c r="C23" s="81" t="s">
        <v>913</v>
      </c>
      <c r="D23" s="82" t="s">
        <v>948</v>
      </c>
      <c r="E23" s="81" t="s">
        <v>949</v>
      </c>
      <c r="F23" s="82" t="s">
        <v>915</v>
      </c>
      <c r="G23" t="s">
        <v>950</v>
      </c>
      <c r="H23" t="s">
        <v>951</v>
      </c>
    </row>
    <row r="24" spans="1:8" ht="28.9" customHeight="1" x14ac:dyDescent="0.25">
      <c r="A24" s="81" t="s">
        <v>952</v>
      </c>
      <c r="B24" s="82" t="s">
        <v>953</v>
      </c>
      <c r="C24" s="81" t="s">
        <v>913</v>
      </c>
      <c r="D24" s="82" t="s">
        <v>953</v>
      </c>
      <c r="E24" s="81" t="s">
        <v>733</v>
      </c>
      <c r="F24" s="82" t="s">
        <v>915</v>
      </c>
      <c r="G24" t="s">
        <v>954</v>
      </c>
      <c r="H24" t="s">
        <v>955</v>
      </c>
    </row>
    <row r="25" spans="1:8" ht="28.9" customHeight="1" x14ac:dyDescent="0.25">
      <c r="A25" s="81" t="s">
        <v>956</v>
      </c>
      <c r="B25" s="82" t="s">
        <v>957</v>
      </c>
      <c r="C25" s="81" t="s">
        <v>913</v>
      </c>
      <c r="D25" s="82" t="s">
        <v>957</v>
      </c>
      <c r="E25" s="81" t="s">
        <v>958</v>
      </c>
      <c r="F25" s="82" t="s">
        <v>915</v>
      </c>
      <c r="G25" t="s">
        <v>959</v>
      </c>
      <c r="H25" t="s">
        <v>960</v>
      </c>
    </row>
    <row r="26" spans="1:8" ht="28.9" customHeight="1" x14ac:dyDescent="0.25">
      <c r="A26" s="81" t="s">
        <v>961</v>
      </c>
      <c r="B26" s="82" t="s">
        <v>962</v>
      </c>
      <c r="C26" s="81" t="s">
        <v>913</v>
      </c>
      <c r="D26" s="82" t="s">
        <v>962</v>
      </c>
      <c r="E26" s="81" t="s">
        <v>793</v>
      </c>
      <c r="F26" s="82" t="s">
        <v>915</v>
      </c>
      <c r="G26" t="s">
        <v>963</v>
      </c>
      <c r="H26" t="s">
        <v>964</v>
      </c>
    </row>
    <row r="27" spans="1:8" ht="28.9" customHeight="1" x14ac:dyDescent="0.25">
      <c r="A27" s="81" t="s">
        <v>965</v>
      </c>
      <c r="B27" s="82" t="s">
        <v>966</v>
      </c>
      <c r="C27" s="81" t="s">
        <v>913</v>
      </c>
      <c r="D27" s="82" t="s">
        <v>966</v>
      </c>
      <c r="E27" s="81" t="s">
        <v>769</v>
      </c>
      <c r="F27" s="82" t="s">
        <v>915</v>
      </c>
      <c r="G27" t="s">
        <v>967</v>
      </c>
      <c r="H27" t="s">
        <v>968</v>
      </c>
    </row>
    <row r="28" spans="1:8" ht="28.9" customHeight="1" x14ac:dyDescent="0.25">
      <c r="A28" s="81" t="s">
        <v>969</v>
      </c>
      <c r="B28" s="82" t="s">
        <v>970</v>
      </c>
      <c r="C28" s="81" t="s">
        <v>913</v>
      </c>
      <c r="D28" s="82" t="s">
        <v>970</v>
      </c>
      <c r="E28" s="81" t="s">
        <v>971</v>
      </c>
      <c r="F28" s="82" t="s">
        <v>915</v>
      </c>
      <c r="G28" t="s">
        <v>972</v>
      </c>
      <c r="H28" t="s">
        <v>973</v>
      </c>
    </row>
    <row r="29" spans="1:8" ht="28.9" customHeight="1" x14ac:dyDescent="0.25">
      <c r="A29" s="81" t="s">
        <v>974</v>
      </c>
      <c r="B29" s="82" t="s">
        <v>975</v>
      </c>
      <c r="C29" s="81" t="s">
        <v>913</v>
      </c>
      <c r="D29" s="82" t="s">
        <v>975</v>
      </c>
      <c r="E29" s="81" t="s">
        <v>780</v>
      </c>
      <c r="F29" s="82" t="s">
        <v>915</v>
      </c>
      <c r="G29" t="s">
        <v>976</v>
      </c>
      <c r="H29" t="s">
        <v>977</v>
      </c>
    </row>
    <row r="30" spans="1:8" ht="28.9" customHeight="1" x14ac:dyDescent="0.25">
      <c r="A30" s="81" t="s">
        <v>978</v>
      </c>
      <c r="B30" s="82" t="s">
        <v>979</v>
      </c>
      <c r="C30" s="81" t="s">
        <v>913</v>
      </c>
      <c r="D30" s="82" t="s">
        <v>979</v>
      </c>
      <c r="E30" s="81" t="s">
        <v>980</v>
      </c>
      <c r="F30" s="82" t="s">
        <v>915</v>
      </c>
      <c r="G30" t="s">
        <v>981</v>
      </c>
      <c r="H30" t="s">
        <v>982</v>
      </c>
    </row>
    <row r="31" spans="1:8" ht="28.9" customHeight="1" x14ac:dyDescent="0.25">
      <c r="A31" s="81" t="s">
        <v>983</v>
      </c>
      <c r="B31" s="82" t="s">
        <v>984</v>
      </c>
      <c r="C31" s="81" t="s">
        <v>913</v>
      </c>
      <c r="D31" s="82" t="s">
        <v>984</v>
      </c>
      <c r="E31" s="81" t="s">
        <v>985</v>
      </c>
      <c r="F31" s="82" t="s">
        <v>915</v>
      </c>
      <c r="G31" t="s">
        <v>986</v>
      </c>
      <c r="H31" t="s">
        <v>987</v>
      </c>
    </row>
    <row r="32" spans="1:8" ht="28.9" customHeight="1" x14ac:dyDescent="0.25">
      <c r="A32" s="81" t="s">
        <v>988</v>
      </c>
      <c r="B32" s="82" t="s">
        <v>989</v>
      </c>
      <c r="C32" s="81" t="s">
        <v>913</v>
      </c>
      <c r="D32" s="82" t="s">
        <v>989</v>
      </c>
      <c r="E32" s="81" t="s">
        <v>990</v>
      </c>
      <c r="F32" s="82" t="s">
        <v>915</v>
      </c>
      <c r="G32" t="s">
        <v>991</v>
      </c>
      <c r="H32" t="s">
        <v>992</v>
      </c>
    </row>
    <row r="33" spans="1:8" ht="28.9" customHeight="1" x14ac:dyDescent="0.25">
      <c r="A33" s="81" t="s">
        <v>993</v>
      </c>
      <c r="B33" s="82" t="s">
        <v>994</v>
      </c>
      <c r="C33" s="81" t="s">
        <v>913</v>
      </c>
      <c r="D33" s="82" t="s">
        <v>994</v>
      </c>
      <c r="E33" s="81" t="s">
        <v>995</v>
      </c>
      <c r="F33" s="82" t="s">
        <v>915</v>
      </c>
      <c r="G33" t="s">
        <v>996</v>
      </c>
      <c r="H33" t="s">
        <v>997</v>
      </c>
    </row>
    <row r="34" spans="1:8" ht="28.9" customHeight="1" x14ac:dyDescent="0.25">
      <c r="A34" s="81" t="s">
        <v>998</v>
      </c>
      <c r="B34" s="82" t="s">
        <v>999</v>
      </c>
      <c r="C34" s="81" t="s">
        <v>913</v>
      </c>
      <c r="D34" s="82" t="s">
        <v>999</v>
      </c>
      <c r="E34" s="81" t="s">
        <v>1000</v>
      </c>
      <c r="F34" s="82" t="s">
        <v>915</v>
      </c>
      <c r="G34" t="s">
        <v>1001</v>
      </c>
      <c r="H34" t="s">
        <v>1002</v>
      </c>
    </row>
    <row r="35" spans="1:8" ht="28.9" customHeight="1" x14ac:dyDescent="0.25">
      <c r="A35" s="81" t="s">
        <v>1003</v>
      </c>
      <c r="B35" s="82" t="s">
        <v>1004</v>
      </c>
      <c r="C35" s="81" t="s">
        <v>913</v>
      </c>
      <c r="D35" s="82" t="s">
        <v>1004</v>
      </c>
      <c r="E35" s="81" t="s">
        <v>980</v>
      </c>
      <c r="F35" s="82" t="s">
        <v>915</v>
      </c>
      <c r="G35" t="s">
        <v>1005</v>
      </c>
      <c r="H35" t="s">
        <v>1006</v>
      </c>
    </row>
    <row r="36" spans="1:8" ht="28.9" customHeight="1" x14ac:dyDescent="0.25">
      <c r="A36" s="81" t="s">
        <v>1007</v>
      </c>
      <c r="B36" s="82" t="s">
        <v>1008</v>
      </c>
      <c r="C36" s="81" t="s">
        <v>913</v>
      </c>
      <c r="D36" s="82" t="s">
        <v>1008</v>
      </c>
      <c r="E36" s="81" t="s">
        <v>1009</v>
      </c>
      <c r="F36" s="82" t="s">
        <v>915</v>
      </c>
      <c r="G36" t="s">
        <v>1010</v>
      </c>
      <c r="H36" t="s">
        <v>1011</v>
      </c>
    </row>
    <row r="37" spans="1:8" ht="28.9" customHeight="1" x14ac:dyDescent="0.25">
      <c r="A37" s="81" t="s">
        <v>1012</v>
      </c>
      <c r="B37" s="82" t="s">
        <v>1013</v>
      </c>
      <c r="C37" s="81" t="s">
        <v>913</v>
      </c>
      <c r="D37" s="82" t="s">
        <v>1013</v>
      </c>
      <c r="E37" s="81" t="s">
        <v>971</v>
      </c>
      <c r="F37" s="82" t="s">
        <v>915</v>
      </c>
      <c r="G37" t="s">
        <v>1014</v>
      </c>
      <c r="H37" t="s">
        <v>1015</v>
      </c>
    </row>
    <row r="38" spans="1:8" x14ac:dyDescent="0.25">
      <c r="A38" t="s">
        <v>1016</v>
      </c>
      <c r="B38" t="s">
        <v>1017</v>
      </c>
      <c r="C38" t="s">
        <v>907</v>
      </c>
      <c r="D38" t="s">
        <v>1018</v>
      </c>
      <c r="E38">
        <v>2023</v>
      </c>
      <c r="F38" t="s">
        <v>1019</v>
      </c>
      <c r="G38" t="s">
        <v>1020</v>
      </c>
      <c r="H38" t="s">
        <v>1021</v>
      </c>
    </row>
    <row r="39" spans="1:8" x14ac:dyDescent="0.25">
      <c r="A39" t="s">
        <v>1022</v>
      </c>
      <c r="B39" t="s">
        <v>1023</v>
      </c>
      <c r="C39" t="s">
        <v>1024</v>
      </c>
      <c r="D39" t="s">
        <v>1025</v>
      </c>
      <c r="E39">
        <v>2025</v>
      </c>
      <c r="F39" t="s">
        <v>1026</v>
      </c>
      <c r="G39" t="s">
        <v>1027</v>
      </c>
      <c r="H39" t="s">
        <v>1028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87" t="s">
        <v>1029</v>
      </c>
      <c r="B1" s="87" t="s">
        <v>187</v>
      </c>
      <c r="C1" s="87" t="s">
        <v>203</v>
      </c>
    </row>
    <row r="2" spans="1:3" x14ac:dyDescent="0.25">
      <c r="A2" s="88" t="s">
        <v>1030</v>
      </c>
      <c r="B2" s="88" t="s">
        <v>1031</v>
      </c>
      <c r="C2" s="88"/>
    </row>
    <row r="3" spans="1:3" x14ac:dyDescent="0.25">
      <c r="A3" s="89" t="s">
        <v>1032</v>
      </c>
      <c r="B3" s="89" t="s">
        <v>1033</v>
      </c>
      <c r="C3" s="89"/>
    </row>
    <row r="4" spans="1:3" x14ac:dyDescent="0.25">
      <c r="A4" s="88" t="s">
        <v>1034</v>
      </c>
      <c r="B4" s="88" t="s">
        <v>1035</v>
      </c>
      <c r="C4" s="88"/>
    </row>
    <row r="5" spans="1:3" x14ac:dyDescent="0.25">
      <c r="A5" s="89" t="s">
        <v>1036</v>
      </c>
      <c r="B5" s="89" t="s">
        <v>1037</v>
      </c>
      <c r="C5" s="89"/>
    </row>
    <row r="6" spans="1:3" x14ac:dyDescent="0.25">
      <c r="A6" s="88" t="s">
        <v>1038</v>
      </c>
      <c r="B6" s="88" t="s">
        <v>1039</v>
      </c>
      <c r="C6" s="88"/>
    </row>
    <row r="7" spans="1:3" x14ac:dyDescent="0.25">
      <c r="A7" s="89" t="s">
        <v>1040</v>
      </c>
      <c r="B7" s="89" t="s">
        <v>1041</v>
      </c>
      <c r="C7" s="89"/>
    </row>
    <row r="8" spans="1:3" x14ac:dyDescent="0.25">
      <c r="A8" s="88" t="s">
        <v>1042</v>
      </c>
      <c r="B8" s="88" t="s">
        <v>1043</v>
      </c>
      <c r="C8" s="88"/>
    </row>
    <row r="9" spans="1:3" x14ac:dyDescent="0.25">
      <c r="A9" s="89" t="s">
        <v>1044</v>
      </c>
      <c r="B9" s="89" t="s">
        <v>1045</v>
      </c>
      <c r="C9" s="89"/>
    </row>
    <row r="10" spans="1:3" x14ac:dyDescent="0.25">
      <c r="A10" s="88" t="s">
        <v>1046</v>
      </c>
      <c r="B10" s="88" t="s">
        <v>1047</v>
      </c>
      <c r="C10" s="88"/>
    </row>
    <row r="11" spans="1:3" x14ac:dyDescent="0.25">
      <c r="A11" s="89" t="s">
        <v>1048</v>
      </c>
      <c r="B11" s="89" t="s">
        <v>1049</v>
      </c>
      <c r="C11" s="89"/>
    </row>
    <row r="12" spans="1:3" ht="30" customHeight="1" x14ac:dyDescent="0.25">
      <c r="A12" s="88" t="s">
        <v>1050</v>
      </c>
      <c r="B12" s="88" t="s">
        <v>1051</v>
      </c>
      <c r="C12" s="88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87" t="s">
        <v>1052</v>
      </c>
    </row>
    <row r="2" spans="1:1" x14ac:dyDescent="0.25">
      <c r="A2" s="88" t="s">
        <v>1053</v>
      </c>
    </row>
    <row r="3" spans="1:1" x14ac:dyDescent="0.25">
      <c r="A3" s="89" t="s">
        <v>1054</v>
      </c>
    </row>
    <row r="4" spans="1:1" x14ac:dyDescent="0.25">
      <c r="A4" s="88" t="s">
        <v>1055</v>
      </c>
    </row>
    <row r="5" spans="1:1" x14ac:dyDescent="0.25">
      <c r="A5" s="89" t="s">
        <v>1056</v>
      </c>
    </row>
    <row r="6" spans="1:1" x14ac:dyDescent="0.25">
      <c r="A6" s="88" t="s">
        <v>1057</v>
      </c>
    </row>
    <row r="7" spans="1:1" x14ac:dyDescent="0.25">
      <c r="A7" s="89" t="s">
        <v>1058</v>
      </c>
    </row>
    <row r="8" spans="1:1" x14ac:dyDescent="0.25">
      <c r="A8" s="88" t="s">
        <v>1059</v>
      </c>
    </row>
    <row r="9" spans="1:1" x14ac:dyDescent="0.25">
      <c r="A9" s="89" t="s">
        <v>1060</v>
      </c>
    </row>
    <row r="10" spans="1:1" x14ac:dyDescent="0.25">
      <c r="A10" s="88" t="s">
        <v>1060</v>
      </c>
    </row>
    <row r="11" spans="1:1" x14ac:dyDescent="0.25">
      <c r="A11" s="90" t="s">
        <v>1061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2</vt:i4>
      </vt:variant>
    </vt:vector>
  </HeadingPairs>
  <TitlesOfParts>
    <vt:vector size="16" baseType="lpstr">
      <vt:lpstr>CalcProf</vt:lpstr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2026-08-07T16:53:38Z</dcterms:modified>
</cp:coreProperties>
</file>