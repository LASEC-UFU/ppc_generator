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 Local\ppc_generator\dados\perfis\tecnologo_automacao_2027_1\"/>
    </mc:Choice>
  </mc:AlternateContent>
  <xr:revisionPtr revIDLastSave="0" documentId="13_ncr:1_{71F0788C-56DE-431C-9D5D-0DE93D730A0D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Fluxograma" sheetId="1" r:id="rId1"/>
    <sheet name="Componentes" sheetId="2" r:id="rId2"/>
    <sheet name="Equivalencias" sheetId="3" r:id="rId3"/>
    <sheet name="Nucleos" sheetId="4" r:id="rId4"/>
    <sheet name="Areas" sheetId="5" r:id="rId5"/>
    <sheet name="Temas" sheetId="6" r:id="rId6"/>
    <sheet name="Conteudos" sheetId="7" r:id="rId7"/>
    <sheet name="Competencias" sheetId="9" r:id="rId8"/>
  </sheets>
  <definedNames>
    <definedName name="_xleta.AND" hidden="1" xlm="1">#NAME?</definedName>
    <definedName name="_xlnm.Print_Area" localSheetId="0">Fluxograma!$A$1:$BT$63</definedName>
    <definedName name="Z_03057C24_3972_48DC_9925_6C2B4C888F74_.wvu.PrintArea" localSheetId="0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39" i="1" l="1"/>
  <c r="AL34" i="1"/>
  <c r="AL9" i="1"/>
  <c r="AI42" i="1"/>
  <c r="AO5" i="1"/>
  <c r="AN5" i="1"/>
  <c r="AM5" i="1"/>
  <c r="AL5" i="1"/>
  <c r="AP7" i="1" s="1"/>
  <c r="AP32" i="1"/>
  <c r="C14" i="1"/>
  <c r="C19" i="1" s="1"/>
  <c r="C24" i="1" s="1"/>
  <c r="C29" i="1" s="1"/>
  <c r="C34" i="1" s="1"/>
  <c r="J9" i="1" s="1"/>
  <c r="J14" i="1" s="1"/>
  <c r="J19" i="1" s="1"/>
  <c r="J24" i="1" s="1"/>
  <c r="J29" i="1" l="1"/>
  <c r="J34" i="1" s="1"/>
  <c r="Q9" i="1" s="1"/>
  <c r="AK31" i="1"/>
  <c r="AP5" i="1"/>
  <c r="AP6" i="1"/>
  <c r="BC10" i="1"/>
  <c r="BC9" i="1"/>
  <c r="G12" i="1"/>
  <c r="U12" i="1"/>
  <c r="N32" i="1"/>
  <c r="U32" i="1"/>
  <c r="N27" i="1"/>
  <c r="U27" i="1"/>
  <c r="AB37" i="1"/>
  <c r="AA5" i="1"/>
  <c r="Z5" i="1"/>
  <c r="Y5" i="1"/>
  <c r="X5" i="1"/>
  <c r="Q14" i="1" l="1"/>
  <c r="Q19" i="1" s="1"/>
  <c r="Q24" i="1" s="1"/>
  <c r="Q29" i="1" s="1"/>
  <c r="Q34" i="1" s="1"/>
  <c r="X9" i="1" s="1"/>
  <c r="X14" i="1" s="1"/>
  <c r="AB7" i="1"/>
  <c r="AB5" i="1"/>
  <c r="AB6" i="1"/>
  <c r="AH5" i="1" l="1"/>
  <c r="AG5" i="1"/>
  <c r="AF5" i="1"/>
  <c r="AE5" i="1"/>
  <c r="T5" i="1"/>
  <c r="S5" i="1"/>
  <c r="R5" i="1"/>
  <c r="Q5" i="1"/>
  <c r="M5" i="1"/>
  <c r="L5" i="1"/>
  <c r="K5" i="1"/>
  <c r="J5" i="1"/>
  <c r="AP22" i="1"/>
  <c r="AP27" i="1"/>
  <c r="AP17" i="1"/>
  <c r="AI27" i="1"/>
  <c r="AI22" i="1"/>
  <c r="AI17" i="1"/>
  <c r="U17" i="1"/>
  <c r="N17" i="1"/>
  <c r="N22" i="1"/>
  <c r="U22" i="1"/>
  <c r="AB22" i="1"/>
  <c r="AB17" i="1"/>
  <c r="AI32" i="1"/>
  <c r="AP37" i="1"/>
  <c r="AI37" i="1"/>
  <c r="AB32" i="1"/>
  <c r="AB27" i="1"/>
  <c r="U37" i="1"/>
  <c r="N37" i="1"/>
  <c r="G32" i="1"/>
  <c r="G27" i="1"/>
  <c r="G17" i="1"/>
  <c r="N12" i="1"/>
  <c r="AP12" i="1"/>
  <c r="AB12" i="1"/>
  <c r="AI12" i="1"/>
  <c r="F5" i="1"/>
  <c r="BC11" i="1" l="1"/>
  <c r="N7" i="1"/>
  <c r="U7" i="1"/>
  <c r="AI7" i="1"/>
  <c r="AI5" i="1"/>
  <c r="AI6" i="1"/>
  <c r="U5" i="1"/>
  <c r="U6" i="1"/>
  <c r="N5" i="1"/>
  <c r="N6" i="1"/>
  <c r="AB56" i="1"/>
  <c r="U56" i="1"/>
  <c r="N56" i="1"/>
  <c r="G56" i="1"/>
  <c r="G37" i="1"/>
  <c r="W26" i="1"/>
  <c r="P35" i="1"/>
  <c r="P31" i="1"/>
  <c r="I30" i="1"/>
  <c r="I25" i="1"/>
  <c r="C22" i="1"/>
  <c r="G22" i="1" s="1"/>
  <c r="I21" i="1"/>
  <c r="I16" i="1"/>
  <c r="I11" i="1"/>
  <c r="E5" i="1"/>
  <c r="D5" i="1"/>
  <c r="B36" i="1" l="1"/>
  <c r="C5" i="1"/>
  <c r="G6" i="1" l="1"/>
  <c r="G5" i="1"/>
  <c r="G7" i="1"/>
  <c r="BC8" i="1" l="1"/>
  <c r="BC14" i="1" s="1"/>
  <c r="BX28" i="1" s="1"/>
  <c r="I36" i="1"/>
  <c r="P11" i="1" l="1"/>
  <c r="P26" i="1"/>
  <c r="P16" i="1"/>
  <c r="P21" i="1"/>
  <c r="I20" i="1"/>
  <c r="AD15" i="1"/>
  <c r="AK26" i="1" l="1"/>
  <c r="I15" i="1"/>
  <c r="I31" i="1" l="1"/>
  <c r="W36" i="1" l="1"/>
  <c r="W16" i="1"/>
  <c r="W15" i="1"/>
  <c r="I26" i="1" l="1"/>
  <c r="P36" i="1" l="1"/>
  <c r="W25" i="1"/>
  <c r="AD25" i="1" l="1"/>
  <c r="W31" i="1"/>
  <c r="P20" i="1" l="1"/>
  <c r="AD16" i="1"/>
  <c r="P15" i="1" l="1"/>
  <c r="X19" i="1" l="1"/>
  <c r="X24" i="1" s="1"/>
  <c r="X29" i="1" s="1"/>
  <c r="X34" i="1" s="1"/>
  <c r="AD41" i="1" s="1"/>
  <c r="W21" i="1"/>
  <c r="AD30" i="1" l="1"/>
  <c r="AE9" i="1" l="1"/>
  <c r="AE14" i="1" s="1"/>
  <c r="AE19" i="1" s="1"/>
  <c r="AE24" i="1" s="1"/>
  <c r="AD40" i="1" s="1"/>
  <c r="AD31" i="1"/>
  <c r="AD21" i="1" l="1"/>
  <c r="AE29" i="1"/>
  <c r="AE34" i="1" s="1"/>
  <c r="AE39" i="1" s="1"/>
  <c r="AD36" i="1"/>
  <c r="AD35" i="1" l="1"/>
  <c r="AD26" i="1" l="1"/>
  <c r="AL14" i="1"/>
  <c r="AL19" i="1" s="1"/>
  <c r="AD20" i="1"/>
  <c r="AL24" i="1" l="1"/>
  <c r="AS9" i="1" s="1"/>
  <c r="C53" i="1" s="1"/>
  <c r="J53" i="1" s="1"/>
  <c r="Q53" i="1" s="1"/>
  <c r="X53" i="1" s="1"/>
  <c r="AL29" i="1" l="1"/>
  <c r="AK30" i="1"/>
  <c r="AK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18826EB6-911E-4385-BA07-1C8165845EF1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D5" authorId="0" shapeId="0" xr:uid="{CAE0A5B1-5CA1-4A9F-973B-177F32065C01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E5" authorId="0" shapeId="0" xr:uid="{CBABE889-6F62-4159-9D19-8322FED7C752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F5" authorId="0" shapeId="0" xr:uid="{69A47393-C192-4099-8808-A7456C69A995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G5" authorId="0" shapeId="0" xr:uid="{CE50F437-3EC4-4624-86CE-3AFFAED42896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J5" authorId="0" shapeId="0" xr:uid="{9E96EE53-1874-4157-89F0-173BCA14B965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K5" authorId="0" shapeId="0" xr:uid="{BB0FA4B4-D7F9-4B15-BECE-DE4B5E6F5C6B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L5" authorId="0" shapeId="0" xr:uid="{AD66EE66-4659-412A-8043-A08ED2020103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M5" authorId="0" shapeId="0" xr:uid="{A7CB91D2-E653-420C-B37B-20B20C779AD2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N5" authorId="0" shapeId="0" xr:uid="{D5E2869B-CE83-44B9-8C5C-A969A4B2D5A3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Q5" authorId="0" shapeId="0" xr:uid="{343BC0E7-6C6E-4255-B6EC-5A86AEF48748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R5" authorId="0" shapeId="0" xr:uid="{DD2614D9-E28C-46EA-BDD9-2F0CE7638ABF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S5" authorId="0" shapeId="0" xr:uid="{BE9EF9BB-F2D9-46F5-AB15-2854A8F9E16A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T5" authorId="0" shapeId="0" xr:uid="{F5B78711-FE6B-4E8D-9D93-3DBCB1D9D7E2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U5" authorId="0" shapeId="0" xr:uid="{04945FA9-5FA8-4A3C-8BEB-51A7A607BCA2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X5" authorId="0" shapeId="0" xr:uid="{7E3CBD32-16D7-4D93-B110-6ED97841231C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Y5" authorId="0" shapeId="0" xr:uid="{DBC80C23-D3B8-40F1-81DB-FCBAB68324CA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Z5" authorId="0" shapeId="0" xr:uid="{5ABFA89F-B377-462B-BA17-06D1397994D7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AA5" authorId="0" shapeId="0" xr:uid="{67DF0B96-19E0-4A34-8AFC-EAB84C290213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AB5" authorId="0" shapeId="0" xr:uid="{A09B130E-7F95-4434-8345-3B127D7FDE1B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AE5" authorId="0" shapeId="0" xr:uid="{40F8C0B3-168D-4E11-A8FC-2C8AE89FA842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AF5" authorId="0" shapeId="0" xr:uid="{49C6AB8F-B69C-47F1-8A89-7322136C9297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AG5" authorId="0" shapeId="0" xr:uid="{2FBABBF1-BAF9-478C-9C8F-4E7B06054451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AH5" authorId="0" shapeId="0" xr:uid="{E3BB7BC7-8F6E-4E46-B43F-EB2B8B3701ED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AI5" authorId="0" shapeId="0" xr:uid="{6398BFFF-0F54-4E19-86E6-E6E7E0FFED11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AL5" authorId="0" shapeId="0" xr:uid="{48906976-FD7E-4F4C-82C5-41495B08E196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AM5" authorId="0" shapeId="0" xr:uid="{F954DACF-1502-405F-9BCD-F4726E898073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AN5" authorId="0" shapeId="0" xr:uid="{2B24041B-5E99-44EB-A633-087DE3EB247A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AO5" authorId="0" shapeId="0" xr:uid="{F33D4573-AD0F-47E8-A20F-C7794AA2D4A4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AP5" authorId="0" shapeId="0" xr:uid="{37DD5BD4-DF77-480B-82ED-8EEA5573F813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G6" authorId="0" shapeId="0" xr:uid="{24C42D75-308E-4C62-9C9C-BC7906912E02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N6" authorId="0" shapeId="0" xr:uid="{95046E14-0415-4634-B464-8CD1C14B929F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U6" authorId="0" shapeId="0" xr:uid="{869BA20F-F176-48EF-8243-690128661C8B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AB6" authorId="0" shapeId="0" xr:uid="{7C8498D0-472C-467D-B2E8-4BD5BEFD2792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AI6" authorId="0" shapeId="0" xr:uid="{9ADDFF94-7F40-48F0-B217-C6E7EE14F5F4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AP6" authorId="0" shapeId="0" xr:uid="{65EC4AB3-53BD-421C-9053-0626DA412128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G7" authorId="0" shapeId="0" xr:uid="{EEA9D48A-2ADC-4176-913C-6F7EBA2AA011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N7" authorId="0" shapeId="0" xr:uid="{99117854-BBE9-426C-AB83-F5673B06EDDF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U7" authorId="0" shapeId="0" xr:uid="{2D9E36B9-1476-4184-AA75-33710ED89FBC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AB7" authorId="0" shapeId="0" xr:uid="{A6C671DE-0234-4601-957F-1E37004DDF5A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AI7" authorId="0" shapeId="0" xr:uid="{EBAB5348-C254-4436-B0AD-2A9E5423B843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AP7" authorId="0" shapeId="0" xr:uid="{94089970-D7AF-40C0-B62D-CD5DD653FAEC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C12" authorId="0" shapeId="0" xr:uid="{968E0D54-BDA5-4D98-8DCD-9FC22443C1B4}">
      <text>
        <r>
          <rPr>
            <b/>
            <sz val="9"/>
            <color indexed="81"/>
            <rFont val="Segoe UI"/>
            <family val="2"/>
          </rPr>
          <t>cht</t>
        </r>
      </text>
    </comment>
    <comment ref="D12" authorId="0" shapeId="0" xr:uid="{A488B127-FDA4-45E6-93B8-CE8B6D0F8309}">
      <text>
        <r>
          <rPr>
            <b/>
            <sz val="9"/>
            <color indexed="81"/>
            <rFont val="Segoe UI"/>
            <family val="2"/>
          </rPr>
          <t>chd</t>
        </r>
      </text>
    </comment>
    <comment ref="E12" authorId="0" shapeId="0" xr:uid="{5A9A073C-3A39-45C5-98D8-6293EE96A770}">
      <text>
        <r>
          <rPr>
            <b/>
            <sz val="9"/>
            <color indexed="81"/>
            <rFont val="Segoe UI"/>
            <family val="2"/>
          </rPr>
          <t>chp</t>
        </r>
      </text>
    </comment>
    <comment ref="F12" authorId="0" shapeId="0" xr:uid="{8FCA458F-387A-41FE-813C-C1107120BC68}">
      <text>
        <r>
          <rPr>
            <b/>
            <sz val="9"/>
            <color indexed="81"/>
            <rFont val="Segoe UI"/>
            <family val="2"/>
          </rPr>
          <t>che</t>
        </r>
      </text>
    </comment>
    <comment ref="G12" authorId="0" shapeId="0" xr:uid="{65BA3F92-67E7-4005-9F35-B172062459A5}">
      <text>
        <r>
          <rPr>
            <b/>
            <sz val="9"/>
            <color indexed="81"/>
            <rFont val="Segoe UI"/>
            <family val="2"/>
          </rPr>
          <t>tot</t>
        </r>
      </text>
    </comment>
  </commentList>
</comments>
</file>

<file path=xl/sharedStrings.xml><?xml version="1.0" encoding="utf-8"?>
<sst xmlns="http://schemas.openxmlformats.org/spreadsheetml/2006/main" count="689" uniqueCount="497">
  <si>
    <t>codigo</t>
  </si>
  <si>
    <t>nome</t>
  </si>
  <si>
    <t>tipo</t>
  </si>
  <si>
    <t>periodo</t>
  </si>
  <si>
    <t>ativo</t>
  </si>
  <si>
    <t>obrigatorio</t>
  </si>
  <si>
    <t>cht</t>
  </si>
  <si>
    <t>chp</t>
  </si>
  <si>
    <t>chd</t>
  </si>
  <si>
    <t>che</t>
  </si>
  <si>
    <t>tot</t>
  </si>
  <si>
    <t>nucleo_id</t>
  </si>
  <si>
    <t>observacoes</t>
  </si>
  <si>
    <t>pre_requisitos</t>
  </si>
  <si>
    <t>correquisitos</t>
  </si>
  <si>
    <t>areas</t>
  </si>
  <si>
    <t>temas</t>
  </si>
  <si>
    <t>conteudos</t>
  </si>
  <si>
    <t>competencias</t>
  </si>
  <si>
    <t>FAGEN39901</t>
  </si>
  <si>
    <t>BASICO</t>
  </si>
  <si>
    <t>FACOM31201</t>
  </si>
  <si>
    <t>FACOM31303</t>
  </si>
  <si>
    <t>FEELT!AA</t>
  </si>
  <si>
    <t>TECNOLOGICO</t>
  </si>
  <si>
    <t>FEELT!ED</t>
  </si>
  <si>
    <t>GBC056</t>
  </si>
  <si>
    <t>GBC066</t>
  </si>
  <si>
    <t>COMPLEMENTAR</t>
  </si>
  <si>
    <t>HUMANISTICO</t>
  </si>
  <si>
    <t>FEELT!BD</t>
  </si>
  <si>
    <t>IERI39001</t>
  </si>
  <si>
    <t>IEUFU39901</t>
  </si>
  <si>
    <t>FEELT!FIA</t>
  </si>
  <si>
    <t>FAGEN39401</t>
  </si>
  <si>
    <t>IERI39601</t>
  </si>
  <si>
    <t>FAGEN32502</t>
  </si>
  <si>
    <t>FACOM39050</t>
  </si>
  <si>
    <t>GBC063</t>
  </si>
  <si>
    <t>LIBRAS</t>
  </si>
  <si>
    <t>GBC044</t>
  </si>
  <si>
    <t>FEELT!PF</t>
  </si>
  <si>
    <t>GBC033</t>
  </si>
  <si>
    <t>FEELT31724</t>
  </si>
  <si>
    <t>FEELT!SO</t>
  </si>
  <si>
    <t>FEELT31831</t>
  </si>
  <si>
    <t>FEELT31713</t>
  </si>
  <si>
    <t>FEELT32801</t>
  </si>
  <si>
    <t>GBC043</t>
  </si>
  <si>
    <t>FEELT!SD</t>
  </si>
  <si>
    <t>GBC074</t>
  </si>
  <si>
    <t>FACOM32606</t>
  </si>
  <si>
    <t>GBC045</t>
  </si>
  <si>
    <t>FEELT!TCOMP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</si>
  <si>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</si>
  <si>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</si>
  <si>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</si>
  <si>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</si>
  <si>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</si>
  <si>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</si>
  <si>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</si>
  <si>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AC</t>
  </si>
  <si>
    <t>Estag</t>
  </si>
  <si>
    <t>6:10 - 7:10</t>
  </si>
  <si>
    <t>ACE</t>
  </si>
  <si>
    <t>7:00 - 7:50</t>
  </si>
  <si>
    <t xml:space="preserve">Toral </t>
  </si>
  <si>
    <t>7:50 - 8:40</t>
  </si>
  <si>
    <t>8:40 - 9:30</t>
  </si>
  <si>
    <t>9:30 - 10:20</t>
  </si>
  <si>
    <t>TSE</t>
  </si>
  <si>
    <t>1800 horas</t>
  </si>
  <si>
    <t>Legenda</t>
  </si>
  <si>
    <t>Pré-requisito</t>
  </si>
  <si>
    <t>Co-requisito</t>
  </si>
  <si>
    <t>COMPONENTES CURRICULARES OPTATIVOS ***</t>
  </si>
  <si>
    <t>1000 horas</t>
  </si>
  <si>
    <t>codigo_origem</t>
  </si>
  <si>
    <t>codigo_destino</t>
  </si>
  <si>
    <t>observacao</t>
  </si>
  <si>
    <t>Administração -&gt; Empreendorismo e Inovação Tecnológica</t>
  </si>
  <si>
    <t>Algoritmos e Estrutura de Dados I -&gt; Estrutura de Dados</t>
  </si>
  <si>
    <t>Algoritmos e Estruturas de Dados II -&gt; Análise de Algoritmos</t>
  </si>
  <si>
    <t>Arquitetura de Redes TCP/IP -&gt; Redes de Comunicações II</t>
  </si>
  <si>
    <t>Arquitetura de Redes de Computadores -&gt; Redes de Comunicações I</t>
  </si>
  <si>
    <t>Ciências Econômicas -&gt; Engenharia Econômica</t>
  </si>
  <si>
    <t>Gerenciamento de Projetos -&gt; Empreendorismo e Inovação Tecnológica</t>
  </si>
  <si>
    <t>Inteligência Artificial -&gt; Fundamentos da Inteligência Artificial</t>
  </si>
  <si>
    <t>Linguagens Formais e Autômatos -&gt; Teoria da Computação</t>
  </si>
  <si>
    <t>Programação Funcional -&gt; Programação Funcional</t>
  </si>
  <si>
    <t>Redes Industriais para Controle e Automação I -&gt; Redes de Comunicações I</t>
  </si>
  <si>
    <t>Redes Industriais para Controle e Automação II -&gt; Redes de Comunicações II</t>
  </si>
  <si>
    <t>Sistemas Distribuídos -&gt; Sistemas Distribuídos</t>
  </si>
  <si>
    <t>Sistemas Operacionais -&gt; Sistemas Operacionais</t>
  </si>
  <si>
    <t>Sistemas de Banco de Dados -&gt; Banco de Dados</t>
  </si>
  <si>
    <t>id</t>
  </si>
  <si>
    <t>descricao</t>
  </si>
  <si>
    <t>fonte_normativa</t>
  </si>
  <si>
    <t>status</t>
  </si>
  <si>
    <t>RELACOES_ETNICO_RACIAIS</t>
  </si>
  <si>
    <t>Educação das Relações Étnico-Raciais</t>
  </si>
  <si>
    <t>DIREITOS_HUMANOS</t>
  </si>
  <si>
    <t>Educação em Direitos Humanos</t>
  </si>
  <si>
    <t>EDUCACAO_AMBIENTAL</t>
  </si>
  <si>
    <t>fonte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</si>
  <si>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</si>
  <si>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</si>
  <si>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</si>
  <si>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</si>
  <si>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</si>
  <si>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</si>
  <si>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</si>
  <si>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</si>
  <si>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</si>
  <si>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Formação Complementar e Optativa</t>
  </si>
  <si>
    <t>Núcleo destinado a optativas, atividades acadêmicas complementares e percursos flexíveis definidos no PPC.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</si>
  <si>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</si>
  <si>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</si>
  <si>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</si>
  <si>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MATEMATICA_MODELAGEM</t>
  </si>
  <si>
    <t>Matemática e Modelagem</t>
  </si>
  <si>
    <t>Fundamentos matemáticos, modelagem, métodos numéricos, probabilidade e estatística aplicados à automação.</t>
  </si>
  <si>
    <t>FISICA_FUNDAMENTOS</t>
  </si>
  <si>
    <t>Física e Fundamentos Científicos</t>
  </si>
  <si>
    <t>Fenômenos físicos e bases científicas necessários à compreensão de sistemas industriais.</t>
  </si>
  <si>
    <t>ELETRICIDADE_INSTALACOES</t>
  </si>
  <si>
    <t>Eletricidade e Instalações Elétricas</t>
  </si>
  <si>
    <t>Circuitos, grandezas elétricas, instalações, proteção e segurança elétrica.</t>
  </si>
  <si>
    <t>ELETRONICA_INDUSTRIAL</t>
  </si>
  <si>
    <t>Eletrônica Industrial</t>
  </si>
  <si>
    <t>Eletrônica analógica, digital, de potência e interfaces eletrônicas para processos industriais.</t>
  </si>
  <si>
    <t>SISTEMAS_DIGITAIS_EMBARCADOS</t>
  </si>
  <si>
    <t>Sistemas Digitais e Embarcados</t>
  </si>
  <si>
    <t>Arquiteturas digitais, microcontroladores, sistemas embarcados e sistemas de tempo real.</t>
  </si>
  <si>
    <t>COMPUTACAO_PROGRAMACAO</t>
  </si>
  <si>
    <t>Computação e Programação Aplicadas</t>
  </si>
  <si>
    <t>Algoritmos, programação, software e ferramentas computacionais aplicadas à automação.</t>
  </si>
  <si>
    <t>INSTRUMENTACAO_METROLOGIA</t>
  </si>
  <si>
    <t>Instrumentação e Metrologia</t>
  </si>
  <si>
    <t>Medição, calibração, sensores, transdutores, condicionamento e aquisição de sinais.</t>
  </si>
  <si>
    <t>SINAIS_CONTROLE_PROCESSOS</t>
  </si>
  <si>
    <t>Sinais, Controle e Processos</t>
  </si>
  <si>
    <t>Sinais e sistemas, modelagem dinâmica, controle contínuo e digital e controle de processos.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</si>
  <si>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</si>
  <si>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</si>
  <si>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</si>
  <si>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REDES_INDUSTRIAIS_IIOT</t>
  </si>
  <si>
    <t>Redes Industriais e IIoT</t>
  </si>
  <si>
    <t>Comunicação industrial, protocolos, integração de dados, Internet Industrial das Coisas e conectividade de plantas.</t>
  </si>
  <si>
    <t>ACIONAMENTOS_MAQUINAS_ELETRICAS</t>
  </si>
  <si>
    <t>Máquinas e Acionamentos Elétricos</t>
  </si>
  <si>
    <t>Máquinas elétricas, conversores, acionamentos e controle de movimento.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</si>
  <si>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</si>
  <si>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</si>
  <si>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</si>
  <si>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</si>
  <si>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</si>
  <si>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</si>
  <si>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ROBOTICA_MANUFATURA_AVANCADA</t>
  </si>
  <si>
    <t>Robótica e Manufatura Avançada</t>
  </si>
  <si>
    <t>Robótica industrial, células automatizadas, integração e manufatura digital.</t>
  </si>
  <si>
    <t>IA_DADOS_AUTOMACAO</t>
  </si>
  <si>
    <t>Inteligência Artificial e Dados para Automação</t>
  </si>
  <si>
    <t>IA, aprendizado de máquina, análise de dados e aplicações em sistemas industriais.</t>
  </si>
  <si>
    <t>CIBERSEGURANCA_INDUSTRIAL</t>
  </si>
  <si>
    <t>Cibersegurança Industrial</t>
  </si>
  <si>
    <t>Segurança de redes e sistemas de tecnologia operacional, proteção de dados e continuidade.</t>
  </si>
  <si>
    <t>GESTAO_INOVACAO</t>
  </si>
  <si>
    <t>Gestão, Economia, Empreendedorismo e Inovação</t>
  </si>
  <si>
    <t>Gestão de projetos, viabilidade técnico-econômica, empreendedorismo e inovação.</t>
  </si>
  <si>
    <t>GESTAO_QUALIDADE_PRODUCAO</t>
  </si>
  <si>
    <t>Gestão da Qualidade e Produção</t>
  </si>
  <si>
    <t>Qualidade, produtividade, melhoria contínua e gestão de processos industriais.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</si>
  <si>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</si>
  <si>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</si>
  <si>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</si>
  <si>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</si>
  <si>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</si>
  <si>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</si>
  <si>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</si>
  <si>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</si>
  <si>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</si>
  <si>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FORMACAO_COMPLEMENTAR</t>
  </si>
  <si>
    <t>Percursos flexíveis, optativas e atividades acadêmicas complementares.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</si>
  <si>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</si>
  <si>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</si>
  <si>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</si>
  <si>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</si>
  <si>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</si>
  <si>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</si>
  <si>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</si>
  <si>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</si>
  <si>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</si>
  <si>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</si>
  <si>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</si>
  <si>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</si>
  <si>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</si>
  <si>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</si>
  <si>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</si>
  <si>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</si>
  <si>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</si>
  <si>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</si>
  <si>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</si>
  <si>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</si>
  <si>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</si>
  <si>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</si>
  <si>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</si>
  <si>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</si>
  <si>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</si>
  <si>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</si>
  <si>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</si>
  <si>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</si>
  <si>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</si>
  <si>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</si>
  <si>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</si>
  <si>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</si>
  <si>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</si>
  <si>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</si>
  <si>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</si>
  <si>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</si>
  <si>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</si>
  <si>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</si>
  <si>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</si>
  <si>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</si>
  <si>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</si>
  <si>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</si>
  <si>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</si>
  <si>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</si>
  <si>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</si>
  <si>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</si>
  <si>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</si>
  <si>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</si>
  <si>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</si>
  <si>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</si>
  <si>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</si>
  <si>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</si>
  <si>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</si>
  <si>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</si>
  <si>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</si>
  <si>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</si>
  <si>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</si>
  <si>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</si>
  <si>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</si>
  <si>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</si>
  <si>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</si>
  <si>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</si>
  <si>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FUND_CALCULO_EQUACOES_DIFERENCIAIS</t>
  </si>
  <si>
    <t>Cálculo diferencial e integral, equações diferenciais e transformadas aplicadas a sistemas físicos.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</si>
  <si>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</si>
  <si>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</si>
  <si>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</si>
  <si>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</si>
  <si>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</si>
  <si>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</si>
  <si>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</si>
  <si>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</si>
  <si>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</si>
  <si>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</si>
  <si>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</si>
  <si>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</si>
  <si>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</si>
  <si>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</si>
  <si>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</si>
  <si>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</si>
  <si>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</si>
  <si>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</si>
  <si>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TEC_INSTALACOES_ELETRICAS</t>
  </si>
  <si>
    <t>Instalações elétricas industriais, proteção, aterramento, dimensionamento e segurança.</t>
  </si>
  <si>
    <t>TEC_ELETRONICA_ANALOGICA</t>
  </si>
  <si>
    <t>Dispositivos e circuitos eletrônicos analógicos, amplificação e condicionamento.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</si>
  <si>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</si>
  <si>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</si>
  <si>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</si>
  <si>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</si>
  <si>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TEC_SISTEMAS_EMBARCADOS_MICROCONTROLADORES</t>
  </si>
  <si>
    <t>Microcontroladores, periféricos, firmware e sistemas embarcados aplicados.</t>
  </si>
  <si>
    <t>TEC_SENSORES_ATUADORES_TRANSDUTORES</t>
  </si>
  <si>
    <t>Princípios, seleção, especificação e integração de sensores, atuadores e transdutores.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</si>
  <si>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</si>
  <si>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</si>
  <si>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</si>
  <si>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</si>
  <si>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</si>
  <si>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</si>
  <si>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</si>
  <si>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</si>
  <si>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TEC_CONTROLE_DIGITAL</t>
  </si>
  <si>
    <t>Amostragem, discretização e projeto de controladores digitais.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</si>
  <si>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</si>
  <si>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</si>
  <si>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</si>
  <si>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</si>
  <si>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</si>
  <si>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</si>
  <si>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</si>
  <si>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</si>
  <si>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TEC_IIOT_INTEGRACAO_DADOS</t>
  </si>
  <si>
    <t>IIoT, integração vertical e horizontal, interoperabilidade e dados industriais.</t>
  </si>
  <si>
    <t>TEC_BANCOS_DADOS_HISTORIADORES</t>
  </si>
  <si>
    <t>Bancos de dados, historiadores de processo e gestão de dados industriais.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</si>
  <si>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</si>
  <si>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</si>
  <si>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</si>
  <si>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</si>
  <si>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</si>
  <si>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</si>
  <si>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</si>
  <si>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</si>
  <si>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</si>
  <si>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</si>
  <si>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</si>
  <si>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</si>
  <si>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</si>
  <si>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</si>
  <si>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</si>
  <si>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</si>
  <si>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</si>
  <si>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</si>
  <si>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</si>
  <si>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</si>
  <si>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</si>
  <si>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</si>
  <si>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</si>
  <si>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</si>
  <si>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</si>
  <si>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</si>
  <si>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</si>
  <si>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</si>
  <si>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</si>
  <si>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</si>
  <si>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</si>
  <si>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</si>
  <si>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</si>
  <si>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</si>
  <si>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</si>
  <si>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</si>
  <si>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</si>
  <si>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</si>
  <si>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</si>
  <si>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</si>
  <si>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</si>
  <si>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</si>
  <si>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</si>
  <si>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</si>
  <si>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</si>
  <si>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</si>
  <si>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</si>
  <si>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</si>
  <si>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</si>
  <si>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</si>
  <si>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</si>
  <si>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</si>
  <si>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</si>
  <si>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</si>
  <si>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</si>
  <si>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</si>
  <si>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</si>
  <si>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</si>
  <si>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</si>
  <si>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</si>
  <si>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</si>
  <si>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</si>
  <si>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</si>
  <si>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</si>
  <si>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</si>
  <si>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AV_CONTROLE_AVANCADO</t>
  </si>
  <si>
    <t>Controle multivariável, preditivo, robusto, adaptativo e não linear.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</si>
  <si>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</si>
  <si>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</si>
  <si>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</si>
  <si>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</si>
  <si>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</si>
  <si>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</si>
  <si>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Universidade Federal de Uberlândia - Curso Superior de Tecnologia em Automação, Robótica e IA</t>
  </si>
  <si>
    <t>PROJETAR_SISTEMAS_CONTROLE</t>
  </si>
  <si>
    <t>PROGRAMAR_CLP_SUPERVISORIO</t>
  </si>
  <si>
    <t>ESPECIFICAR_INSTRUMENTACAO</t>
  </si>
  <si>
    <t>PROJETAR_ACIONAMENTOS</t>
  </si>
  <si>
    <t>INTEGRAR_REDES_INDUSTRIAIS</t>
  </si>
  <si>
    <t>DESENVOLVER_SISTEMAS_EMBARCADOS</t>
  </si>
  <si>
    <t>APLICAR_SEGURANCA_INDUSTRIAL</t>
  </si>
  <si>
    <t>GERIR_PROJETOS_AUTOMACAO</t>
  </si>
  <si>
    <t>ATUAR_ETICA_SUSTENTABILIDADE</t>
  </si>
  <si>
    <t>Projetar, especificar e sintonizar sistemas de controle analógico e digital para processos industriais.</t>
  </si>
  <si>
    <t>MEC_CATALOGO_CST</t>
  </si>
  <si>
    <t>Programar controladores lógicos programáveis (CLPs) e sistemas supervisórios (SCADA/IHM) para automação de processos.</t>
  </si>
  <si>
    <t>Especificar, instalar e calibrar sensores, transdutores e atuadores utilizados em instrumentação industrial.</t>
  </si>
  <si>
    <t>Projetar e dimensionar sistemas de acionamento elétrico de máquinas e processos industriais.</t>
  </si>
  <si>
    <t>Integrar dispositivos e sistemas por meio de redes de comunicação industrial e protocolos de automação.</t>
  </si>
  <si>
    <t>Desenvolver soluções com sistemas embarcados aplicados ao controle e à automação de processos.</t>
  </si>
  <si>
    <t>Aplicar normas de segurança do trabalho e de sistemas instrumentados de segurança em ambientes industriais automatizados.</t>
  </si>
  <si>
    <t>Planejar e gerir projetos de automação industrial, incluindo aspectos de custo, prazo e qualidade.</t>
  </si>
  <si>
    <t>Atuar profissionalmente com responsabilidade ética, social e ambiental.</t>
  </si>
  <si>
    <t>1 
FAMAT31011
Cálculo Diferencial e Integral I</t>
  </si>
  <si>
    <t>FAMAT31011</t>
  </si>
  <si>
    <t>Cálculo Diferencial e Integral I</t>
  </si>
  <si>
    <t>disciplina</t>
  </si>
  <si>
    <t>FEELT!CDM</t>
  </si>
  <si>
    <t>Ciência de dados aplicada a Metrologia</t>
  </si>
  <si>
    <t>FEMEC39101</t>
  </si>
  <si>
    <t>Expressão Gráfica</t>
  </si>
  <si>
    <t>FEELT!IFAP</t>
  </si>
  <si>
    <t>Introdução à Formação Acadêmica e Profissional</t>
  </si>
  <si>
    <t>FEELT!DCA</t>
  </si>
  <si>
    <t>Dispositivos Ciberfísicos para Automação Industrial, IoT E IIoT</t>
  </si>
  <si>
    <t>FEELT31409</t>
  </si>
  <si>
    <t>Sistemas Digitais</t>
  </si>
  <si>
    <t>FAMAT31012</t>
  </si>
  <si>
    <t>Cálculo Diferencial e Integral II</t>
  </si>
  <si>
    <t>FEELT!CEE1</t>
  </si>
  <si>
    <t>Circuitos Eletro-Eletrônicos I</t>
  </si>
  <si>
    <t>FEELT!ECEE1</t>
  </si>
  <si>
    <t>Experimental de Circuitos Eletro-Eletrônicos I</t>
  </si>
  <si>
    <t>INFIS39032</t>
  </si>
  <si>
    <t>Experimental de Física Básica: Mecânica</t>
  </si>
  <si>
    <t>INFIS39031</t>
  </si>
  <si>
    <t>Física Básica: Mecânica</t>
  </si>
  <si>
    <t>FEELT!ASSE</t>
  </si>
  <si>
    <t>Arquitetura de software em Sistemas Embarcados</t>
  </si>
  <si>
    <t>FEELT!SS1</t>
  </si>
  <si>
    <t>Sinais e Sistemas I</t>
  </si>
  <si>
    <t>FEELT!CEE2</t>
  </si>
  <si>
    <t>Circuitos Eletro-Eletrônicos II</t>
  </si>
  <si>
    <t>FEELT!ECEE2</t>
  </si>
  <si>
    <t>Experimental de Circuitos Eletro-Eletrônicos II</t>
  </si>
  <si>
    <t>FEELT!MECT</t>
  </si>
  <si>
    <t>Materias Elétricos e Circuitos Trifásicos</t>
  </si>
  <si>
    <t>FEQUI39401</t>
  </si>
  <si>
    <t>Fenômenos de Transporte</t>
  </si>
  <si>
    <t>FEELT32301</t>
  </si>
  <si>
    <t>Informática Industrial I</t>
  </si>
  <si>
    <t>FEELT!ACE1</t>
  </si>
  <si>
    <t>Atividades Curriculares de Extensão I</t>
  </si>
  <si>
    <t>extensao</t>
  </si>
  <si>
    <t>FEELT!IDI</t>
  </si>
  <si>
    <t>Instrumentação e Dispositivos Inteligentes</t>
  </si>
  <si>
    <t>FEELT32401</t>
  </si>
  <si>
    <t>Informática Industrial II</t>
  </si>
  <si>
    <t>FEELT!RICAI</t>
  </si>
  <si>
    <t>Redes Industriais para Controle e Automação I</t>
  </si>
  <si>
    <t>FEELT!SS2</t>
  </si>
  <si>
    <t>Sinais e Sistemas II</t>
  </si>
  <si>
    <t>FEMEC41080</t>
  </si>
  <si>
    <t>Sistemas de Controle Hidráulicos e Pneumáticos</t>
  </si>
  <si>
    <t>FEELT!ACE2</t>
  </si>
  <si>
    <t>Atividades Curriculares de Extensão II</t>
  </si>
  <si>
    <t>FEELT!CVRM</t>
  </si>
  <si>
    <t>Conversão de Energia e Maquinas</t>
  </si>
  <si>
    <t>FEELT!ECVRM</t>
  </si>
  <si>
    <t>Experimental de Sistemas de Controle Realimentado</t>
  </si>
  <si>
    <t>FEELT!MRII</t>
  </si>
  <si>
    <t>Manipuladores Robóticos Industriais e Inteligentes</t>
  </si>
  <si>
    <t>FEELT!RICAII</t>
  </si>
  <si>
    <t>Redes Industriais para Controle e Automação II</t>
  </si>
  <si>
    <t>FEELT32603</t>
  </si>
  <si>
    <t>Sistemas de Controle Realimentado</t>
  </si>
  <si>
    <t>FEELT32601</t>
  </si>
  <si>
    <t>FEELT!ACE3</t>
  </si>
  <si>
    <t>Atividades Curriculares de Extensão III</t>
  </si>
  <si>
    <t>FEELT!PAI</t>
  </si>
  <si>
    <t>Proteção e Acionamentos Industriais</t>
  </si>
  <si>
    <t>FEELT!PI</t>
  </si>
  <si>
    <t>Projeto Interdisciplinar</t>
  </si>
  <si>
    <t>FEELT31603</t>
  </si>
  <si>
    <t>Instalações Elétricas</t>
  </si>
  <si>
    <t>FEELT31604</t>
  </si>
  <si>
    <t>Experimental de Instalações Elétricas</t>
  </si>
  <si>
    <t>FAGEN32411</t>
  </si>
  <si>
    <t>Empreendedorismo e Inovação</t>
  </si>
  <si>
    <t>FEELT32002</t>
  </si>
  <si>
    <t>Estágio Supervisionado Obrigatório</t>
  </si>
  <si>
    <t>estagio</t>
  </si>
  <si>
    <t>FEELT!AC</t>
  </si>
  <si>
    <t>Atividades Complementares</t>
  </si>
  <si>
    <t>atividade_complementar</t>
  </si>
  <si>
    <t>FEELT!TE1</t>
  </si>
  <si>
    <t>Tópicos Especiais I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</si>
  <si>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</si>
  <si>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</si>
  <si>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</si>
  <si>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</si>
  <si>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</si>
  <si>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</si>
  <si>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FAMAT31011|FEELT!ECEE1</t>
  </si>
  <si>
    <t>FAMAT31011|FEELT!CEE1</t>
  </si>
  <si>
    <t>FEELT!CEE1|FEELT!ECEE2</t>
  </si>
  <si>
    <t>FEELT!CEE1|FEELT!CEE2</t>
  </si>
  <si>
    <t>FEQUI39401|INFIS39031</t>
  </si>
  <si>
    <t>FEELT!SS2|FEELT32603</t>
  </si>
  <si>
    <t>FEELT!CEE2|FEELT32603</t>
  </si>
  <si>
    <t>FEELT!RICAI|FEELT32401</t>
  </si>
  <si>
    <t>FEELT!ECVRM|FEELT!SS2</t>
  </si>
  <si>
    <t>FEELT!MRII|FEMEC41080</t>
  </si>
  <si>
    <t>FEELT!ECEE1|FEELT!PI</t>
  </si>
  <si>
    <t>FEELT31603|INFIS39032</t>
  </si>
  <si>
    <t>componentes</t>
  </si>
  <si>
    <t>obrigatoria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</si>
</sst>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8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0" fontId="13" fillId="0" borderId="0" xfId="0" applyFont="1" applyAlignment="1">
      <alignment horizontal="center"/>
    </xf>
    <xf numFmtId="0" fontId="0" fillId="0" borderId="0" xfId="0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2" borderId="10" xfId="0" quotePrefix="1" applyFont="1" applyFill="1" applyBorder="1" applyAlignment="1">
      <alignment horizontal="center" vertical="center"/>
    </xf>
    <xf numFmtId="0" fontId="5" fillId="2" borderId="26" xfId="0" quotePrefix="1" applyFont="1" applyFill="1" applyBorder="1" applyAlignment="1">
      <alignment horizontal="center" vertical="center"/>
    </xf>
    <xf numFmtId="0" fontId="0" fillId="0" borderId="26" xfId="0" applyBorder="1"/>
    <xf numFmtId="0" fontId="3" fillId="5" borderId="10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7" borderId="10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0" fontId="5" fillId="2" borderId="29" xfId="0" quotePrefix="1" applyFont="1" applyFill="1" applyBorder="1" applyAlignment="1">
      <alignment horizontal="center" vertical="center"/>
    </xf>
    <xf numFmtId="0" fontId="5" fillId="2" borderId="30" xfId="0" quotePrefix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textRotation="90"/>
    </xf>
    <xf numFmtId="0" fontId="10" fillId="2" borderId="10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0" fillId="0" borderId="0" xfId="0"/>
    <xf numFmtId="0" fontId="3" fillId="2" borderId="28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18" xfId="0" applyFont="1" applyFill="1" applyBorder="1" applyAlignment="1">
      <alignment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</xdr:row>
          <xdr:rowOff>68580</xdr:rowOff>
        </xdr:from>
        <xdr:to>
          <xdr:col>16</xdr:col>
          <xdr:colOff>129540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925FF6-AB0C-4506-B4FD-FF840B72E30B}">
  <we:reference id="wa200009404" version="1.0.0.8" store="pt-BR" storeType="OMEX"/>
  <we:alternateReferences>
    <we:reference id="WA200009404" version="1.0.0.8" store="" storeType="OMEX"/>
  </we:alternateReferences>
  <we:properties>
    <we:property name="claude.fileId" value="&quot;161c143e-788a-426b-87fd-ea14d91c44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AK34" sqref="AK34:AK36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7773437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7773437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77734375" style="1" bestFit="1" customWidth="1"/>
    <col min="29" max="29" width="1.33203125" style="1" customWidth="1"/>
    <col min="30" max="30" width="2.6640625" style="1" customWidth="1"/>
    <col min="31" max="31" width="3.7773437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21875" style="1" customWidth="1"/>
    <col min="39" max="39" width="4.109375" style="1" customWidth="1"/>
    <col min="40" max="40" width="3.77734375" style="1" customWidth="1"/>
    <col min="41" max="41" width="2.7773437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7773437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74" width="9.109375" style="1" customWidth="1"/>
    <col min="75" max="16384" width="9.109375" style="1"/>
  </cols>
  <sheetData>
    <row r="1" spans="1:78" ht="3.75" customHeight="1" thickBot="1" x14ac:dyDescent="0.35"/>
    <row r="2" spans="1:78" s="3" customFormat="1" ht="27.6" customHeight="1" thickBot="1" x14ac:dyDescent="0.25">
      <c r="B2" s="134" t="s">
        <v>373</v>
      </c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6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87" t="s">
        <v>54</v>
      </c>
      <c r="D4" s="88"/>
      <c r="E4" s="88"/>
      <c r="F4" s="88"/>
      <c r="G4" s="89"/>
      <c r="H4" s="12"/>
      <c r="I4" s="12"/>
      <c r="J4" s="87" t="s">
        <v>55</v>
      </c>
      <c r="K4" s="88"/>
      <c r="L4" s="88"/>
      <c r="M4" s="88"/>
      <c r="N4" s="89"/>
      <c r="O4" s="12"/>
      <c r="P4" s="12"/>
      <c r="Q4" s="87" t="s">
        <v>56</v>
      </c>
      <c r="R4" s="88"/>
      <c r="S4" s="88"/>
      <c r="T4" s="88"/>
      <c r="U4" s="89"/>
      <c r="V4" s="12"/>
      <c r="W4" s="12"/>
      <c r="X4" s="87" t="s">
        <v>57</v>
      </c>
      <c r="Y4" s="88"/>
      <c r="Z4" s="88"/>
      <c r="AA4" s="88"/>
      <c r="AB4" s="89"/>
      <c r="AC4" s="12"/>
      <c r="AD4" s="12"/>
      <c r="AE4" s="87" t="s">
        <v>58</v>
      </c>
      <c r="AF4" s="88"/>
      <c r="AG4" s="88"/>
      <c r="AH4" s="88"/>
      <c r="AI4" s="89"/>
      <c r="AJ4" s="12"/>
      <c r="AK4" s="12"/>
      <c r="AL4" s="87" t="s">
        <v>59</v>
      </c>
      <c r="AM4" s="88"/>
      <c r="AN4" s="88"/>
      <c r="AO4" s="88"/>
      <c r="AP4" s="89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16">
        <f>SUM(C12,C17,C22,C27,C32,C37,C42,C47,)</f>
        <v>210</v>
      </c>
      <c r="D5" s="99">
        <f>SUM(D12,D17,D22,D27,D32,D37,D42,D47,)</f>
        <v>75</v>
      </c>
      <c r="E5" s="99">
        <f>SUM(E12,E17,E22,E27,E32,E37,E42,E47)</f>
        <v>90</v>
      </c>
      <c r="F5" s="99">
        <f>SUM(F12,F17,F22,F27,F32,F37,F42,F47)</f>
        <v>0</v>
      </c>
      <c r="G5" s="82">
        <f>SUM(C5:F7)</f>
        <v>375</v>
      </c>
      <c r="H5" s="12"/>
      <c r="I5" s="12"/>
      <c r="J5" s="116">
        <f>SUM(J12,J17,J22,J27,J32,J37,J42,J47,)</f>
        <v>225</v>
      </c>
      <c r="K5" s="99">
        <f>SUM(K12,K17,K22,K27,K32,K37,K42,K47,)</f>
        <v>45</v>
      </c>
      <c r="L5" s="99">
        <f>SUM(L12,L17,L22,L27,L32,L37,L42,L47)</f>
        <v>75</v>
      </c>
      <c r="M5" s="99">
        <f>SUM(M12,M17,M22,M27,M32,M37,M42,M47)</f>
        <v>0</v>
      </c>
      <c r="N5" s="82">
        <f>SUM(J5:M7)</f>
        <v>345</v>
      </c>
      <c r="O5" s="12"/>
      <c r="P5" s="12"/>
      <c r="Q5" s="116">
        <f>SUM(Q12,Q17,Q22,Q27,Q32,Q37,Q42,Q47,)</f>
        <v>240</v>
      </c>
      <c r="R5" s="99">
        <f>SUM(R12,R17,R22,R27,R32,R37,R42,R47,)</f>
        <v>45</v>
      </c>
      <c r="S5" s="99">
        <f>SUM(S12,S17,S22,S27,S32,S37,S42,S47)</f>
        <v>60</v>
      </c>
      <c r="T5" s="99">
        <f>SUM(T12,T17,T22,T27,T32,T37,T42,T47)</f>
        <v>0</v>
      </c>
      <c r="U5" s="82">
        <f>SUM(Q5:T7)</f>
        <v>345</v>
      </c>
      <c r="V5" s="12"/>
      <c r="W5" s="12"/>
      <c r="X5" s="116">
        <f>SUM(X12,X17,X22,X27,X32,X37,X42,X47,)</f>
        <v>195</v>
      </c>
      <c r="Y5" s="99">
        <f>SUM(Y12,Y17,Y22,Y27,Y32,Y37,Y42,Y47,)</f>
        <v>30</v>
      </c>
      <c r="Z5" s="99">
        <f>SUM(Z12,Z17,Z22,Z27,Z32,Z37,Z42,Z47)</f>
        <v>105</v>
      </c>
      <c r="AA5" s="99">
        <f>SUM(AA12,AA17,AA22,AA27,AA32,AA37,AA42,AA47)</f>
        <v>90</v>
      </c>
      <c r="AB5" s="82">
        <f>SUM(X5:AA7)</f>
        <v>420</v>
      </c>
      <c r="AC5" s="12"/>
      <c r="AD5" s="12"/>
      <c r="AE5" s="116">
        <f>SUM(AE12,AE17,AE22,AE27,AE32,AE37,AE42,AE47,)</f>
        <v>180</v>
      </c>
      <c r="AF5" s="99">
        <f>SUM(AF12,AF17,AF22,AF27,AF32,AF37,AF42,AF47,)</f>
        <v>30</v>
      </c>
      <c r="AG5" s="99">
        <f>SUM(AG12,AG17,AG22,AG27,AG32,AG37,AG42,AG47)</f>
        <v>120</v>
      </c>
      <c r="AH5" s="99">
        <f>SUM(AH12,AH17,AH22,AH27,AH32,AH37,AH42,AH47)</f>
        <v>90</v>
      </c>
      <c r="AI5" s="82">
        <f>SUM(AE5:AH7)</f>
        <v>420</v>
      </c>
      <c r="AJ5" s="12"/>
      <c r="AK5" s="12"/>
      <c r="AL5" s="116">
        <f>SUM(AL12,AL17,AL22,AL27,AL32,AL37,AL42,AL47,)</f>
        <v>150</v>
      </c>
      <c r="AM5" s="99">
        <f>SUM(AM12,AM17,AM22,AM27,AM32,AM37,AM42,AM47,)</f>
        <v>0</v>
      </c>
      <c r="AN5" s="99">
        <f>SUM(AN12,AN17,AN22,AN27,AN32,AN37,AN42,AN47)</f>
        <v>45</v>
      </c>
      <c r="AO5" s="99">
        <f>SUM(AO12,AO17,AO22,AO27,AO32,AO37,AO42,AO47)</f>
        <v>60</v>
      </c>
      <c r="AP5" s="82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8" customHeight="1" x14ac:dyDescent="0.3">
      <c r="B6" s="11"/>
      <c r="C6" s="117"/>
      <c r="D6" s="100"/>
      <c r="E6" s="100"/>
      <c r="F6" s="100"/>
      <c r="G6" s="82">
        <f>SUM(C5:E7)</f>
        <v>375</v>
      </c>
      <c r="H6" s="12"/>
      <c r="I6" s="12"/>
      <c r="J6" s="117"/>
      <c r="K6" s="100"/>
      <c r="L6" s="100"/>
      <c r="M6" s="100"/>
      <c r="N6" s="82">
        <f>SUM(J5:L7)</f>
        <v>345</v>
      </c>
      <c r="O6" s="12"/>
      <c r="P6" s="12"/>
      <c r="Q6" s="117"/>
      <c r="R6" s="100"/>
      <c r="S6" s="100"/>
      <c r="T6" s="100"/>
      <c r="U6" s="82">
        <f>SUM(Q5:S7)</f>
        <v>345</v>
      </c>
      <c r="V6" s="12"/>
      <c r="W6" s="12"/>
      <c r="X6" s="117"/>
      <c r="Y6" s="100"/>
      <c r="Z6" s="100"/>
      <c r="AA6" s="100"/>
      <c r="AB6" s="82">
        <f>SUM(X5:Z7)</f>
        <v>330</v>
      </c>
      <c r="AC6" s="12"/>
      <c r="AD6" s="12"/>
      <c r="AE6" s="117"/>
      <c r="AF6" s="100"/>
      <c r="AG6" s="100"/>
      <c r="AH6" s="100"/>
      <c r="AI6" s="82">
        <f>SUM(AE5:AG7)</f>
        <v>330</v>
      </c>
      <c r="AJ6" s="12"/>
      <c r="AK6" s="12"/>
      <c r="AL6" s="117"/>
      <c r="AM6" s="100"/>
      <c r="AN6" s="100"/>
      <c r="AO6" s="100"/>
      <c r="AP6" s="82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00"/>
      <c r="D7" s="101"/>
      <c r="E7" s="101"/>
      <c r="F7" s="101"/>
      <c r="G7" s="82">
        <f>SUM(C5+E5)</f>
        <v>300</v>
      </c>
      <c r="H7" s="12"/>
      <c r="I7" s="12"/>
      <c r="J7" s="100"/>
      <c r="K7" s="101"/>
      <c r="L7" s="101"/>
      <c r="M7" s="101"/>
      <c r="N7" s="82">
        <f>SUM(J5+L5)</f>
        <v>300</v>
      </c>
      <c r="O7" s="12"/>
      <c r="P7" s="12"/>
      <c r="Q7" s="100"/>
      <c r="R7" s="101"/>
      <c r="S7" s="101"/>
      <c r="T7" s="101"/>
      <c r="U7" s="82">
        <f>SUM(Q5+S5)</f>
        <v>300</v>
      </c>
      <c r="V7" s="12"/>
      <c r="W7" s="12"/>
      <c r="X7" s="100"/>
      <c r="Y7" s="101"/>
      <c r="Z7" s="101"/>
      <c r="AA7" s="101"/>
      <c r="AB7" s="82">
        <f>SUM(X5+Z5)</f>
        <v>300</v>
      </c>
      <c r="AC7" s="12"/>
      <c r="AD7" s="12"/>
      <c r="AE7" s="100"/>
      <c r="AF7" s="101"/>
      <c r="AG7" s="101"/>
      <c r="AH7" s="101"/>
      <c r="AI7" s="82">
        <f>SUM(AE5+AG5)</f>
        <v>300</v>
      </c>
      <c r="AJ7" s="12"/>
      <c r="AK7" s="12"/>
      <c r="AL7" s="100"/>
      <c r="AM7" s="101"/>
      <c r="AN7" s="101"/>
      <c r="AO7" s="101"/>
      <c r="AP7" s="82">
        <f>SUM(AL5+AN5)</f>
        <v>195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60</v>
      </c>
      <c r="BC8" s="21">
        <f>SUM(G6,N6,U6,AB6,AI6,AP6)</f>
        <v>1920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33" t="s">
        <v>393</v>
      </c>
      <c r="D9" s="91"/>
      <c r="E9" s="91"/>
      <c r="F9" s="91"/>
      <c r="G9" s="92"/>
      <c r="H9" s="18"/>
      <c r="I9" s="18"/>
      <c r="J9" s="133" t="str">
        <f>TEXT(INT(LEFT(C34,2))+1,"0") &amp; " 
FAMAT31012
Cálculo Diferencial e Integral II"</f>
        <v>7 
FAMAT31012
Cálculo Diferencial e Integral II</v>
      </c>
      <c r="K9" s="91"/>
      <c r="L9" s="91"/>
      <c r="M9" s="91"/>
      <c r="N9" s="92"/>
      <c r="O9" s="18"/>
      <c r="P9" s="22"/>
      <c r="Q9" s="90" t="str">
        <f>TEXT(INT(LEFT(J34,2))+1,"0") &amp; " 
FEELT!SS1
Sinais e Sistemas I"</f>
        <v>13 
FEELT!SS1
Sinais e Sistemas I</v>
      </c>
      <c r="R9" s="91"/>
      <c r="S9" s="91"/>
      <c r="T9" s="91"/>
      <c r="U9" s="92"/>
      <c r="V9" s="18"/>
      <c r="W9" s="18"/>
      <c r="X9" s="119" t="str">
        <f>TEXT(INT(LEFT(Q34,2))+1,"0") &amp; " 
FEELT!ACE1
Atividades Curriculares de Extensão I"</f>
        <v>19 
FEELT!ACE1
Atividades Curriculares de Extensão I</v>
      </c>
      <c r="Y9" s="91"/>
      <c r="Z9" s="91"/>
      <c r="AA9" s="91"/>
      <c r="AB9" s="92"/>
      <c r="AC9" s="18"/>
      <c r="AD9" s="18"/>
      <c r="AE9" s="119" t="str">
        <f>TEXT(INT(LEFT(X34,2))+1,"0") &amp; " 
FEELT!ACE2
Atividades Curriculares de Extensão II"</f>
        <v>25 
FEELT!ACE2
Atividades Curriculares de Extensão II</v>
      </c>
      <c r="AF9" s="91"/>
      <c r="AG9" s="91"/>
      <c r="AH9" s="91"/>
      <c r="AI9" s="92"/>
      <c r="AJ9" s="18"/>
      <c r="AK9" s="8"/>
      <c r="AL9" s="119" t="str">
        <f>TEXT(INT(LEFT(AE39,2))+1,"0") &amp; " 
FEELT!ACE3
Atividades Curriculares de Extensão III"</f>
        <v>32 
FEELT!ACE3
Atividades Curriculares de Extensão III</v>
      </c>
      <c r="AM9" s="91"/>
      <c r="AN9" s="91"/>
      <c r="AO9" s="91"/>
      <c r="AP9" s="92"/>
      <c r="AQ9" s="18"/>
      <c r="AR9" s="8"/>
      <c r="AS9" s="124" t="str">
        <f>TEXT(INT(LEFT(AL39,2))+1,"0") &amp; " 
FEELT!AC
Atividades Complementares"</f>
        <v>39 
FEELT!AC
Atividades Complementares</v>
      </c>
      <c r="AT9" s="125"/>
      <c r="AU9" s="125"/>
      <c r="AV9" s="125"/>
      <c r="AW9" s="126"/>
      <c r="AX9" s="8"/>
      <c r="AY9" s="18"/>
      <c r="AZ9" s="8"/>
      <c r="BA9" s="8"/>
      <c r="BB9" s="20" t="s">
        <v>61</v>
      </c>
      <c r="BC9" s="21">
        <f>AW12</f>
        <v>80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93"/>
      <c r="D10" s="94"/>
      <c r="E10" s="94"/>
      <c r="F10" s="94"/>
      <c r="G10" s="95"/>
      <c r="H10" s="18"/>
      <c r="I10" s="18"/>
      <c r="J10" s="93"/>
      <c r="K10" s="94"/>
      <c r="L10" s="94"/>
      <c r="M10" s="94"/>
      <c r="N10" s="95"/>
      <c r="O10" s="18"/>
      <c r="P10" s="22"/>
      <c r="Q10" s="93"/>
      <c r="R10" s="94"/>
      <c r="S10" s="94"/>
      <c r="T10" s="94"/>
      <c r="U10" s="95"/>
      <c r="V10" s="18"/>
      <c r="W10" s="18"/>
      <c r="X10" s="93"/>
      <c r="Y10" s="94"/>
      <c r="Z10" s="94"/>
      <c r="AA10" s="94"/>
      <c r="AB10" s="95"/>
      <c r="AC10" s="18"/>
      <c r="AD10" s="18"/>
      <c r="AE10" s="93"/>
      <c r="AF10" s="94"/>
      <c r="AG10" s="94"/>
      <c r="AH10" s="94"/>
      <c r="AI10" s="95"/>
      <c r="AJ10" s="18"/>
      <c r="AK10" s="8"/>
      <c r="AL10" s="93"/>
      <c r="AM10" s="94"/>
      <c r="AN10" s="94"/>
      <c r="AO10" s="94"/>
      <c r="AP10" s="95"/>
      <c r="AQ10" s="18"/>
      <c r="AR10" s="8"/>
      <c r="AS10" s="127"/>
      <c r="AT10" s="128"/>
      <c r="AU10" s="128"/>
      <c r="AV10" s="128"/>
      <c r="AW10" s="129"/>
      <c r="AX10" s="8"/>
      <c r="AY10" s="18"/>
      <c r="AZ10" s="8"/>
      <c r="BA10" s="8"/>
      <c r="BB10" s="20" t="s">
        <v>62</v>
      </c>
      <c r="BC10" s="21">
        <f>AP42</f>
        <v>160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96"/>
      <c r="D11" s="97"/>
      <c r="E11" s="97"/>
      <c r="F11" s="97"/>
      <c r="G11" s="98"/>
      <c r="H11" s="18"/>
      <c r="I11" s="23" t="str">
        <f>LEFT(C9,2)</f>
        <v xml:space="preserve">1 </v>
      </c>
      <c r="J11" s="96"/>
      <c r="K11" s="97"/>
      <c r="L11" s="97"/>
      <c r="M11" s="97"/>
      <c r="N11" s="98"/>
      <c r="O11" s="18"/>
      <c r="P11" s="23" t="str">
        <f>LEFT(J9,2)</f>
        <v xml:space="preserve">7 </v>
      </c>
      <c r="Q11" s="96"/>
      <c r="R11" s="97"/>
      <c r="S11" s="97"/>
      <c r="T11" s="97"/>
      <c r="U11" s="98"/>
      <c r="V11" s="18"/>
      <c r="W11" s="18"/>
      <c r="X11" s="96"/>
      <c r="Y11" s="97"/>
      <c r="Z11" s="97"/>
      <c r="AA11" s="97"/>
      <c r="AB11" s="98"/>
      <c r="AC11" s="18"/>
      <c r="AD11" s="18"/>
      <c r="AE11" s="96"/>
      <c r="AF11" s="97"/>
      <c r="AG11" s="97"/>
      <c r="AH11" s="97"/>
      <c r="AI11" s="98"/>
      <c r="AJ11" s="18"/>
      <c r="AK11" s="8"/>
      <c r="AL11" s="96"/>
      <c r="AM11" s="97"/>
      <c r="AN11" s="97"/>
      <c r="AO11" s="97"/>
      <c r="AP11" s="98"/>
      <c r="AQ11" s="18"/>
      <c r="AR11" s="8"/>
      <c r="AS11" s="130"/>
      <c r="AT11" s="131"/>
      <c r="AU11" s="131"/>
      <c r="AV11" s="131"/>
      <c r="AW11" s="132"/>
      <c r="AX11" s="8"/>
      <c r="AY11" s="18"/>
      <c r="AZ11" s="8"/>
      <c r="BA11" s="8"/>
      <c r="BB11" s="20" t="s">
        <v>64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63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80</v>
      </c>
      <c r="AX12" s="8"/>
      <c r="AY12" s="18"/>
      <c r="AZ12" s="8"/>
      <c r="BA12" s="8"/>
      <c r="BB12" s="20"/>
      <c r="BC12" s="21"/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65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90" t="str">
        <f>TEXT(INT(LEFT(C9,2))+1,"0") &amp; " 
FEELT!CDM
Ciência de dados aplicada a Metrologia"</f>
        <v>2 
FEELT!CDM
Ciência de dados aplicada a Metrologia</v>
      </c>
      <c r="D14" s="91"/>
      <c r="E14" s="91"/>
      <c r="F14" s="91"/>
      <c r="G14" s="92"/>
      <c r="H14" s="18"/>
      <c r="I14" s="22"/>
      <c r="J14" s="102" t="str">
        <f>TEXT(INT(LEFT(J9,2))+1,"0") &amp; " 
FEELT!CEE1
Circuitos Eletro-Eletrônicos I"</f>
        <v>8 
FEELT!CEE1
Circuitos Eletro-Eletrônicos I</v>
      </c>
      <c r="K14" s="91"/>
      <c r="L14" s="91"/>
      <c r="M14" s="91"/>
      <c r="N14" s="92"/>
      <c r="O14" s="18"/>
      <c r="Q14" s="102" t="str">
        <f>TEXT(INT(LEFT(Q9,2))+1,"0") &amp; "
FEELT!CEE2
Circuitos Eletro-Eletrônicos II"</f>
        <v>14
FEELT!CEE2
Circuitos Eletro-Eletrônicos II</v>
      </c>
      <c r="R14" s="91"/>
      <c r="S14" s="91"/>
      <c r="T14" s="91"/>
      <c r="U14" s="92"/>
      <c r="V14" s="18"/>
      <c r="W14" s="35"/>
      <c r="X14" s="107" t="str">
        <f>TEXT(INT(LEFT(X9,2))+1,"0") &amp; " 
FEELT!IDI
Instrumentação e Dispositivos Inteligentes"</f>
        <v>20 
FEELT!IDI
Instrumentação e Dispositivos Inteligentes</v>
      </c>
      <c r="Y14" s="108"/>
      <c r="Z14" s="108"/>
      <c r="AA14" s="108"/>
      <c r="AB14" s="109"/>
      <c r="AC14" s="18"/>
      <c r="AD14" s="22"/>
      <c r="AE14" s="102" t="str">
        <f>TEXT(INT(LEFT(AE9,2))+1,"0") &amp; " 
FEELT!CVRM
Conversão de Energia e Maquinas"</f>
        <v>26 
FEELT!CVRM
Conversão de Energia e Maquinas</v>
      </c>
      <c r="AF14" s="91"/>
      <c r="AG14" s="91"/>
      <c r="AH14" s="91"/>
      <c r="AI14" s="92"/>
      <c r="AJ14" s="18"/>
      <c r="AK14" s="18"/>
      <c r="AL14" s="102" t="str">
        <f>TEXT(INT(LEFT(AL9,2))+1,"0") &amp; " 
FEELT!PAI
Proteção e Acionamentos Industriais"</f>
        <v>33 
FEELT!PAI
Proteção e Acionamentos Industriais</v>
      </c>
      <c r="AM14" s="91"/>
      <c r="AN14" s="91"/>
      <c r="AO14" s="91"/>
      <c r="AP14" s="92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67</v>
      </c>
      <c r="BX14" s="8"/>
      <c r="BY14" s="8"/>
      <c r="BZ14" s="8"/>
    </row>
    <row r="15" spans="1:78" ht="16.5" customHeight="1" thickBot="1" x14ac:dyDescent="0.35">
      <c r="B15" s="28"/>
      <c r="C15" s="93"/>
      <c r="D15" s="94"/>
      <c r="E15" s="94"/>
      <c r="F15" s="94"/>
      <c r="G15" s="95"/>
      <c r="H15" s="18"/>
      <c r="I15" s="29" t="str">
        <f>LEFT(J19,2)</f>
        <v xml:space="preserve">9 </v>
      </c>
      <c r="J15" s="93"/>
      <c r="K15" s="94"/>
      <c r="L15" s="94"/>
      <c r="M15" s="94"/>
      <c r="N15" s="95"/>
      <c r="O15" s="18"/>
      <c r="P15" s="29" t="str">
        <f>LEFT(Q19,2)</f>
        <v>15</v>
      </c>
      <c r="Q15" s="93"/>
      <c r="R15" s="94"/>
      <c r="S15" s="94"/>
      <c r="T15" s="94"/>
      <c r="U15" s="95"/>
      <c r="V15" s="18"/>
      <c r="W15" s="36" t="str">
        <f>LEFT(Q29,2)</f>
        <v>17</v>
      </c>
      <c r="X15" s="110"/>
      <c r="Y15" s="111"/>
      <c r="Z15" s="111"/>
      <c r="AA15" s="111"/>
      <c r="AB15" s="112"/>
      <c r="AC15" s="18"/>
      <c r="AD15" s="23" t="str">
        <f>LEFT(J14,2)</f>
        <v xml:space="preserve">8 </v>
      </c>
      <c r="AE15" s="93"/>
      <c r="AF15" s="94"/>
      <c r="AG15" s="94"/>
      <c r="AH15" s="94"/>
      <c r="AI15" s="95"/>
      <c r="AJ15" s="18"/>
      <c r="AK15" s="18"/>
      <c r="AL15" s="93"/>
      <c r="AM15" s="94"/>
      <c r="AN15" s="94"/>
      <c r="AO15" s="94"/>
      <c r="AP15" s="95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68</v>
      </c>
      <c r="BX15" s="8"/>
      <c r="BY15" s="8"/>
      <c r="BZ15" s="8"/>
    </row>
    <row r="16" spans="1:78" ht="14.25" customHeight="1" thickTop="1" x14ac:dyDescent="0.3">
      <c r="B16" s="28"/>
      <c r="C16" s="96"/>
      <c r="D16" s="97"/>
      <c r="E16" s="97"/>
      <c r="F16" s="97"/>
      <c r="G16" s="98"/>
      <c r="H16" s="18"/>
      <c r="I16" s="30" t="str">
        <f>LEFT(C9,2)</f>
        <v xml:space="preserve">1 </v>
      </c>
      <c r="J16" s="96"/>
      <c r="K16" s="97"/>
      <c r="L16" s="97"/>
      <c r="M16" s="97"/>
      <c r="N16" s="98"/>
      <c r="O16" s="18"/>
      <c r="P16" s="23" t="str">
        <f>LEFT(J14,2)</f>
        <v xml:space="preserve">8 </v>
      </c>
      <c r="Q16" s="96"/>
      <c r="R16" s="97"/>
      <c r="S16" s="97"/>
      <c r="T16" s="97"/>
      <c r="U16" s="98"/>
      <c r="V16" s="18"/>
      <c r="W16" s="38" t="str">
        <f>LEFT(J29,2)</f>
        <v>11</v>
      </c>
      <c r="X16" s="113"/>
      <c r="Y16" s="114"/>
      <c r="Z16" s="114"/>
      <c r="AA16" s="114"/>
      <c r="AB16" s="115"/>
      <c r="AC16" s="18"/>
      <c r="AD16" s="23" t="str">
        <f>LEFT(Q14,2)</f>
        <v>14</v>
      </c>
      <c r="AE16" s="96"/>
      <c r="AF16" s="97"/>
      <c r="AG16" s="97"/>
      <c r="AH16" s="97"/>
      <c r="AI16" s="98"/>
      <c r="AJ16" s="18"/>
      <c r="AK16" s="18"/>
      <c r="AL16" s="96"/>
      <c r="AM16" s="97"/>
      <c r="AN16" s="97"/>
      <c r="AO16" s="97"/>
      <c r="AP16" s="98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69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18" t="str">
        <f>TEXT(INT(LEFT(C14,2))+1,"0") &amp; " 
 FEMEC39101
Expressão Gráfica"</f>
        <v>3 
 FEMEC39101
Expressão Gráfica</v>
      </c>
      <c r="D19" s="91"/>
      <c r="E19" s="91"/>
      <c r="F19" s="91"/>
      <c r="G19" s="92"/>
      <c r="H19" s="18"/>
      <c r="J19" s="102" t="str">
        <f>TEXT(INT(LEFT(J14,2))+1,"0") &amp; " 
FEELT!ECEE1
Experimental  de Circuitos Eletro-Eletrônicos I"</f>
        <v>9 
FEELT!ECEE1
Experimental  de Circuitos Eletro-Eletrônicos I</v>
      </c>
      <c r="K19" s="91"/>
      <c r="L19" s="91"/>
      <c r="M19" s="91"/>
      <c r="N19" s="92"/>
      <c r="O19" s="18"/>
      <c r="Q19" s="102" t="str">
        <f>TEXT(INT(LEFT(Q14,2))+1,"0") &amp; "
FEELT!ECEE2
Experimental de Circuitos Eletro-Eletrônicos II"</f>
        <v>15
FEELT!ECEE2
Experimental de Circuitos Eletro-Eletrônicos II</v>
      </c>
      <c r="R19" s="91"/>
      <c r="S19" s="91"/>
      <c r="T19" s="91"/>
      <c r="U19" s="92"/>
      <c r="V19" s="18"/>
      <c r="W19" s="22"/>
      <c r="X19" s="124" t="str">
        <f>TEXT(INT(LEFT(X14,2))+1,"0") &amp; " 
FEELT32401
Informática Industrial II"</f>
        <v>21 
FEELT32401
Informática Industrial II</v>
      </c>
      <c r="Y19" s="125"/>
      <c r="Z19" s="125"/>
      <c r="AA19" s="125"/>
      <c r="AB19" s="126"/>
      <c r="AC19" s="18"/>
      <c r="AD19" s="22"/>
      <c r="AE19" s="90" t="str">
        <f>TEXT(INT(LEFT(AE14,2))+1,"0") &amp; " 
FEELT!ECVRM
Experimental de Sistemas de Controle Realimentado"</f>
        <v>27 
FEELT!ECVRM
Experimental de Sistemas de Controle Realimentado</v>
      </c>
      <c r="AF19" s="91"/>
      <c r="AG19" s="91"/>
      <c r="AH19" s="91"/>
      <c r="AI19" s="92"/>
      <c r="AJ19" s="18"/>
      <c r="AK19" s="8"/>
      <c r="AL19" s="102" t="str">
        <f>TEXT(INT(LEFT(AL14,2))+1,"0") &amp; " 
FEELT!PI
Projeto Interdisciplinar"</f>
        <v>34 
FEELT!PI
Projeto Interdisciplinar</v>
      </c>
      <c r="AM19" s="91"/>
      <c r="AN19" s="91"/>
      <c r="AO19" s="91"/>
      <c r="AP19" s="92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93"/>
      <c r="D20" s="94"/>
      <c r="E20" s="94"/>
      <c r="F20" s="94"/>
      <c r="G20" s="95"/>
      <c r="H20" s="18"/>
      <c r="I20" s="29" t="str">
        <f>LEFT(J14,2)</f>
        <v xml:space="preserve">8 </v>
      </c>
      <c r="J20" s="93"/>
      <c r="K20" s="94"/>
      <c r="L20" s="94"/>
      <c r="M20" s="94"/>
      <c r="N20" s="95"/>
      <c r="O20" s="18"/>
      <c r="P20" s="29" t="str">
        <f>LEFT(Q14,2)</f>
        <v>14</v>
      </c>
      <c r="Q20" s="93"/>
      <c r="R20" s="94"/>
      <c r="S20" s="94"/>
      <c r="T20" s="94"/>
      <c r="U20" s="95"/>
      <c r="V20" s="18"/>
      <c r="W20" s="22"/>
      <c r="X20" s="127"/>
      <c r="Y20" s="128"/>
      <c r="Z20" s="128"/>
      <c r="AA20" s="128"/>
      <c r="AB20" s="129"/>
      <c r="AC20" s="18"/>
      <c r="AD20" s="29" t="str">
        <f>LEFT(AE34,2)</f>
        <v>30</v>
      </c>
      <c r="AE20" s="93"/>
      <c r="AF20" s="94"/>
      <c r="AG20" s="94"/>
      <c r="AH20" s="94"/>
      <c r="AI20" s="95"/>
      <c r="AJ20" s="18"/>
      <c r="AK20" s="8"/>
      <c r="AL20" s="93"/>
      <c r="AM20" s="94"/>
      <c r="AN20" s="94"/>
      <c r="AO20" s="94"/>
      <c r="AP20" s="95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96"/>
      <c r="D21" s="97"/>
      <c r="E21" s="97"/>
      <c r="F21" s="97"/>
      <c r="G21" s="98"/>
      <c r="H21" s="18"/>
      <c r="I21" s="23" t="str">
        <f>LEFT(C9,2)</f>
        <v xml:space="preserve">1 </v>
      </c>
      <c r="J21" s="96"/>
      <c r="K21" s="97"/>
      <c r="L21" s="97"/>
      <c r="M21" s="97"/>
      <c r="N21" s="98"/>
      <c r="O21" s="18"/>
      <c r="P21" s="23" t="str">
        <f>LEFT(J14,2)</f>
        <v xml:space="preserve">8 </v>
      </c>
      <c r="Q21" s="96"/>
      <c r="R21" s="97"/>
      <c r="S21" s="97"/>
      <c r="T21" s="97"/>
      <c r="U21" s="98"/>
      <c r="V21" s="18"/>
      <c r="W21" s="23" t="str">
        <f>LEFT(Q34,2)</f>
        <v>18</v>
      </c>
      <c r="X21" s="130"/>
      <c r="Y21" s="131"/>
      <c r="Z21" s="131"/>
      <c r="AA21" s="131"/>
      <c r="AB21" s="132"/>
      <c r="AC21" s="18"/>
      <c r="AD21" s="23" t="str">
        <f>LEFT(X29,2)</f>
        <v>23</v>
      </c>
      <c r="AE21" s="96"/>
      <c r="AF21" s="97"/>
      <c r="AG21" s="97"/>
      <c r="AH21" s="97"/>
      <c r="AI21" s="98"/>
      <c r="AJ21" s="18"/>
      <c r="AK21" s="8"/>
      <c r="AL21" s="96"/>
      <c r="AM21" s="97"/>
      <c r="AN21" s="97"/>
      <c r="AO21" s="97"/>
      <c r="AP21" s="98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90" t="str">
        <f>TEXT(INT(LEFT(C19,2))+1,"0") &amp; " 
FEELT!IFAP
Introdução à Formação Acadêmica e Profissional "</f>
        <v xml:space="preserve">4 
FEELT!IFAP
Introdução à Formação Acadêmica e Profissional </v>
      </c>
      <c r="D24" s="91"/>
      <c r="E24" s="91"/>
      <c r="F24" s="91"/>
      <c r="G24" s="92"/>
      <c r="H24" s="18"/>
      <c r="I24" s="18"/>
      <c r="J24" s="106" t="str">
        <f>TEXT(INT(LEFT(J19,2))+1,"0") &amp; " 
INFIS39032
Experimental de Física Básica: Mecânica"</f>
        <v>10 
INFIS39032
Experimental de Física Básica: Mecânica</v>
      </c>
      <c r="K24" s="91"/>
      <c r="L24" s="91"/>
      <c r="M24" s="91"/>
      <c r="N24" s="92"/>
      <c r="O24" s="18"/>
      <c r="P24" s="8"/>
      <c r="Q24" s="102" t="str">
        <f>TEXT(INT(LEFT(Q19,2))+1,"0") &amp; " 
FEELT!MECT
Materias Elétricos e Circuitos Trifásicos"</f>
        <v>16 
FEELT!MECT
Materias Elétricos e Circuitos Trifásicos</v>
      </c>
      <c r="R24" s="91"/>
      <c r="S24" s="91"/>
      <c r="T24" s="91"/>
      <c r="U24" s="92"/>
      <c r="V24" s="18"/>
      <c r="W24" s="22"/>
      <c r="X24" s="90" t="str">
        <f>TEXT(INT(LEFT(X19,2))+1,"0") &amp; " 
FEELT!RICAI
Redes Industriais para Controle e Automação I"</f>
        <v>22 
FEELT!RICAI
Redes Industriais para Controle e Automação I</v>
      </c>
      <c r="Y24" s="91"/>
      <c r="Z24" s="91"/>
      <c r="AA24" s="91"/>
      <c r="AB24" s="92"/>
      <c r="AC24" s="18"/>
      <c r="AD24" s="22"/>
      <c r="AE24" s="90" t="str">
        <f>TEXT(INT(LEFT(AE19,2))+1,"0") &amp; " 
FEELT!MRII
Manipuladores Robóticos Industriais e Inteligentes"</f>
        <v>28 
FEELT!MRII
Manipuladores Robóticos Industriais e Inteligentes</v>
      </c>
      <c r="AF24" s="91"/>
      <c r="AG24" s="91"/>
      <c r="AH24" s="91"/>
      <c r="AI24" s="92"/>
      <c r="AJ24" s="18"/>
      <c r="AL24" s="102" t="str">
        <f>TEXT(INT(LEFT(AL19,2))+1,"0") &amp; " 
FEELT31603
Instalações Elétricas"</f>
        <v>35 
FEELT31603
Instalações Elétricas</v>
      </c>
      <c r="AM24" s="91"/>
      <c r="AN24" s="91"/>
      <c r="AO24" s="91"/>
      <c r="AP24" s="92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93"/>
      <c r="D25" s="94"/>
      <c r="E25" s="94"/>
      <c r="F25" s="94"/>
      <c r="G25" s="95"/>
      <c r="H25" s="18"/>
      <c r="I25" s="23" t="str">
        <f>LEFT(C9,2)</f>
        <v xml:space="preserve">1 </v>
      </c>
      <c r="J25" s="93"/>
      <c r="K25" s="94"/>
      <c r="L25" s="94"/>
      <c r="M25" s="94"/>
      <c r="N25" s="95"/>
      <c r="O25" s="18"/>
      <c r="P25" s="8"/>
      <c r="Q25" s="93"/>
      <c r="R25" s="94"/>
      <c r="S25" s="94"/>
      <c r="T25" s="94"/>
      <c r="U25" s="95"/>
      <c r="V25" s="18"/>
      <c r="W25" s="30" t="str">
        <f>LEFT(J34,2)</f>
        <v>12</v>
      </c>
      <c r="X25" s="93"/>
      <c r="Y25" s="94"/>
      <c r="Z25" s="94"/>
      <c r="AA25" s="94"/>
      <c r="AB25" s="95"/>
      <c r="AC25" s="18"/>
      <c r="AD25" s="30" t="str">
        <f>LEFT(Q14,2)</f>
        <v>14</v>
      </c>
      <c r="AE25" s="93"/>
      <c r="AF25" s="94"/>
      <c r="AG25" s="94"/>
      <c r="AH25" s="94"/>
      <c r="AI25" s="95"/>
      <c r="AJ25" s="18"/>
      <c r="AK25" s="29" t="str">
        <f>LEFT(AL19,2)</f>
        <v>34</v>
      </c>
      <c r="AL25" s="93"/>
      <c r="AM25" s="94"/>
      <c r="AN25" s="94"/>
      <c r="AO25" s="94"/>
      <c r="AP25" s="95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96"/>
      <c r="D26" s="97"/>
      <c r="E26" s="97"/>
      <c r="F26" s="97"/>
      <c r="G26" s="98"/>
      <c r="H26" s="18"/>
      <c r="I26" s="29" t="str">
        <f>LEFT(J29,2)</f>
        <v>11</v>
      </c>
      <c r="J26" s="96"/>
      <c r="K26" s="97"/>
      <c r="L26" s="97"/>
      <c r="M26" s="97"/>
      <c r="N26" s="98"/>
      <c r="O26" s="18"/>
      <c r="P26" s="23" t="str">
        <f>LEFT(J9,2)</f>
        <v xml:space="preserve">7 </v>
      </c>
      <c r="Q26" s="96"/>
      <c r="R26" s="97"/>
      <c r="S26" s="97"/>
      <c r="T26" s="97"/>
      <c r="U26" s="98"/>
      <c r="V26" s="18"/>
      <c r="W26" s="30" t="str">
        <f>LEFT(Q39,2)</f>
        <v/>
      </c>
      <c r="X26" s="96"/>
      <c r="Y26" s="97"/>
      <c r="Z26" s="97"/>
      <c r="AA26" s="97"/>
      <c r="AB26" s="98"/>
      <c r="AC26" s="18"/>
      <c r="AD26" s="30" t="str">
        <f>LEFT(AE34,2)</f>
        <v>30</v>
      </c>
      <c r="AE26" s="96"/>
      <c r="AF26" s="97"/>
      <c r="AG26" s="97"/>
      <c r="AH26" s="97"/>
      <c r="AI26" s="98"/>
      <c r="AJ26" s="18"/>
      <c r="AK26" s="23" t="str">
        <f>LEFT(J19,2)</f>
        <v xml:space="preserve">9 </v>
      </c>
      <c r="AL26" s="96"/>
      <c r="AM26" s="97"/>
      <c r="AN26" s="97"/>
      <c r="AO26" s="97"/>
      <c r="AP26" s="9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60</v>
      </c>
      <c r="Y27" s="25">
        <v>0</v>
      </c>
      <c r="Z27" s="25">
        <v>30</v>
      </c>
      <c r="AA27" s="25">
        <v>0</v>
      </c>
      <c r="AB27" s="25">
        <f>SUM(X27:AA27)</f>
        <v>90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70</v>
      </c>
      <c r="BX28" s="21">
        <f>SUM(BU8:BU15)</f>
        <v>0</v>
      </c>
    </row>
    <row r="29" spans="1:90" ht="11.25" customHeight="1" thickBot="1" x14ac:dyDescent="0.35">
      <c r="B29" s="17"/>
      <c r="C29" s="102" t="str">
        <f>TEXT(INT(LEFT(C24,2))+1,"0") &amp; " 
FEELT!DCA
Dispositivos Ciberfísicos para Automação Industrial, IoT E IIoT"</f>
        <v>5 
FEELT!DCA
Dispositivos Ciberfísicos para Automação Industrial, IoT E IIoT</v>
      </c>
      <c r="D29" s="91"/>
      <c r="E29" s="91"/>
      <c r="F29" s="91"/>
      <c r="G29" s="92"/>
      <c r="H29" s="18"/>
      <c r="I29" s="18"/>
      <c r="J29" s="106" t="str">
        <f>TEXT(INT(LEFT(J24,2))+1,"0") &amp; " 
INFIS39031
Física Básica: Mecânica"</f>
        <v>11 
INFIS39031
Física Básica: Mecânica</v>
      </c>
      <c r="K29" s="91"/>
      <c r="L29" s="91"/>
      <c r="M29" s="91"/>
      <c r="N29" s="92"/>
      <c r="O29" s="18"/>
      <c r="P29" s="22"/>
      <c r="Q29" s="118" t="str">
        <f>TEXT(INT(LEFT(Q24,2))+1,"0") &amp; " 
FEQUI39401
Fenômenos de Transporte"</f>
        <v>17 
FEQUI39401
Fenômenos de Transporte</v>
      </c>
      <c r="R29" s="91"/>
      <c r="S29" s="91"/>
      <c r="T29" s="91"/>
      <c r="U29" s="92"/>
      <c r="V29" s="18"/>
      <c r="W29" s="22"/>
      <c r="X29" s="90" t="str">
        <f>TEXT(INT(LEFT(X24,2))+1,"0") &amp; " 
FEELT!SS2
Sinais e Sistemas II"</f>
        <v>23 
FEELT!SS2
Sinais e Sistemas II</v>
      </c>
      <c r="Y29" s="91"/>
      <c r="Z29" s="91"/>
      <c r="AA29" s="91"/>
      <c r="AB29" s="92"/>
      <c r="AC29" s="18"/>
      <c r="AD29" s="22"/>
      <c r="AE29" s="90" t="str">
        <f>TEXT(INT(LEFT(AE24,2))+1,"0") &amp; " 
FEELT!RICAII
Redes Industriais para Controle e Automação II"</f>
        <v>29 
FEELT!RICAII
Redes Industriais para Controle e Automação II</v>
      </c>
      <c r="AF29" s="91"/>
      <c r="AG29" s="91"/>
      <c r="AH29" s="91"/>
      <c r="AI29" s="92"/>
      <c r="AJ29" s="18"/>
      <c r="AL29" s="102" t="str">
        <f>TEXT(INT(LEFT(AL24,2))+1,"0") &amp; " 
FEELT31604
Experimental de
Instalações
Elétricas"</f>
        <v>36 
FEELT31604
Experimental de
Instalações
Elétricas</v>
      </c>
      <c r="AM29" s="91"/>
      <c r="AN29" s="91"/>
      <c r="AO29" s="91"/>
      <c r="AP29" s="92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93"/>
      <c r="D30" s="94"/>
      <c r="E30" s="94"/>
      <c r="F30" s="94"/>
      <c r="G30" s="95"/>
      <c r="H30" s="18"/>
      <c r="I30" s="23" t="str">
        <f>LEFT(C9,2)</f>
        <v xml:space="preserve">1 </v>
      </c>
      <c r="J30" s="93"/>
      <c r="K30" s="94"/>
      <c r="L30" s="94"/>
      <c r="M30" s="94"/>
      <c r="N30" s="95"/>
      <c r="O30" s="18"/>
      <c r="P30" s="22"/>
      <c r="Q30" s="93"/>
      <c r="R30" s="94"/>
      <c r="S30" s="94"/>
      <c r="T30" s="94"/>
      <c r="U30" s="95"/>
      <c r="V30" s="18"/>
      <c r="W30" s="22"/>
      <c r="X30" s="93"/>
      <c r="Y30" s="94"/>
      <c r="Z30" s="94"/>
      <c r="AA30" s="94"/>
      <c r="AB30" s="95"/>
      <c r="AC30" s="18"/>
      <c r="AD30" s="23" t="str">
        <f>LEFT(X19,2)</f>
        <v>21</v>
      </c>
      <c r="AE30" s="93"/>
      <c r="AF30" s="94"/>
      <c r="AG30" s="94"/>
      <c r="AH30" s="94"/>
      <c r="AI30" s="95"/>
      <c r="AJ30" s="18"/>
      <c r="AK30" s="29" t="str">
        <f>LEFT(AL24,2)</f>
        <v>35</v>
      </c>
      <c r="AL30" s="93"/>
      <c r="AM30" s="94"/>
      <c r="AN30" s="94"/>
      <c r="AO30" s="94"/>
      <c r="AP30" s="95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72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96"/>
      <c r="D31" s="97"/>
      <c r="E31" s="97"/>
      <c r="F31" s="97"/>
      <c r="G31" s="98"/>
      <c r="H31" s="18"/>
      <c r="I31" s="29" t="str">
        <f>LEFT(J24,2)</f>
        <v>10</v>
      </c>
      <c r="J31" s="96"/>
      <c r="K31" s="97"/>
      <c r="L31" s="97"/>
      <c r="M31" s="97"/>
      <c r="N31" s="98"/>
      <c r="O31" s="18"/>
      <c r="P31" s="23" t="str">
        <f>LEFT(C9,2)</f>
        <v xml:space="preserve">1 </v>
      </c>
      <c r="Q31" s="96"/>
      <c r="R31" s="97"/>
      <c r="S31" s="97"/>
      <c r="T31" s="97"/>
      <c r="U31" s="98"/>
      <c r="V31" s="18"/>
      <c r="W31" s="23" t="str">
        <f>LEFT(Q9,2)</f>
        <v>13</v>
      </c>
      <c r="X31" s="96"/>
      <c r="Y31" s="97"/>
      <c r="Z31" s="97"/>
      <c r="AA31" s="97"/>
      <c r="AB31" s="98"/>
      <c r="AC31" s="18"/>
      <c r="AD31" s="23" t="str">
        <f>LEFT(X24,2)</f>
        <v>22</v>
      </c>
      <c r="AE31" s="96"/>
      <c r="AF31" s="97"/>
      <c r="AG31" s="97"/>
      <c r="AH31" s="97"/>
      <c r="AI31" s="98"/>
      <c r="AJ31" s="18"/>
      <c r="AK31" s="23" t="str">
        <f>LEFT(J24,2)</f>
        <v>10</v>
      </c>
      <c r="AL31" s="96"/>
      <c r="AM31" s="97"/>
      <c r="AN31" s="97"/>
      <c r="AO31" s="97"/>
      <c r="AP31" s="98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3"/>
      <c r="BG31" s="81"/>
      <c r="BH31" s="51" t="s">
        <v>73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60</v>
      </c>
      <c r="Y32" s="25">
        <v>0</v>
      </c>
      <c r="Z32" s="25">
        <v>0</v>
      </c>
      <c r="AA32" s="25">
        <v>0</v>
      </c>
      <c r="AB32" s="25">
        <f>SUM(X32:AA32)</f>
        <v>60</v>
      </c>
      <c r="AC32" s="18"/>
      <c r="AD32" s="22"/>
      <c r="AE32" s="25">
        <v>30</v>
      </c>
      <c r="AF32" s="25">
        <v>15</v>
      </c>
      <c r="AG32" s="25">
        <v>30</v>
      </c>
      <c r="AH32" s="25">
        <v>0</v>
      </c>
      <c r="AI32" s="25">
        <f>SUM(AE32:AH32)</f>
        <v>75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4"/>
      <c r="BG32" s="53"/>
      <c r="BH32" s="51" t="s">
        <v>74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02" t="str">
        <f>TEXT(INT(LEFT(C29,2))+1,"0") &amp; " 
FEELT31409
Sistemas Digitais"</f>
        <v>6 
FEELT31409
Sistemas Digitais</v>
      </c>
      <c r="D34" s="91"/>
      <c r="E34" s="91"/>
      <c r="F34" s="91"/>
      <c r="G34" s="92"/>
      <c r="H34" s="18"/>
      <c r="I34" s="18"/>
      <c r="J34" s="102" t="str">
        <f>TEXT(INT(LEFT(J29,2))+1,"0") &amp; " 
FEELT!ASSE
Arquitetura de software em Sistemas Embarcados"</f>
        <v>12 
FEELT!ASSE
Arquitetura de software em Sistemas Embarcados</v>
      </c>
      <c r="K34" s="91"/>
      <c r="L34" s="91"/>
      <c r="M34" s="91"/>
      <c r="N34" s="92"/>
      <c r="O34" s="18"/>
      <c r="P34" s="18"/>
      <c r="Q34" s="90" t="str">
        <f>TEXT(INT(LEFT(Q29,2))+1,"0") &amp; " 
FEELT32301
Informática Industrial I"</f>
        <v>18 
FEELT32301
Informática Industrial I</v>
      </c>
      <c r="R34" s="91"/>
      <c r="S34" s="91"/>
      <c r="T34" s="91"/>
      <c r="U34" s="92"/>
      <c r="V34" s="18"/>
      <c r="W34" s="22"/>
      <c r="X34" s="90" t="str">
        <f>TEXT(INT(LEFT(X29,2))+1,"0") &amp; " 
FEMEC41080
Sistemas de Controle Hidráulicos e Pneumáticos"</f>
        <v>24 
FEMEC41080
Sistemas de Controle Hidráulicos e Pneumáticos</v>
      </c>
      <c r="Y34" s="91"/>
      <c r="Z34" s="91"/>
      <c r="AA34" s="91"/>
      <c r="AB34" s="92"/>
      <c r="AC34" s="18"/>
      <c r="AD34" s="22"/>
      <c r="AE34" s="90" t="str">
        <f>TEXT(INT(LEFT(AE29,2))+1,"0") &amp; " 
FEELT32603
Sistemas de Controle Realimentado"</f>
        <v>30 
FEELT32603
Sistemas de Controle Realimentado</v>
      </c>
      <c r="AF34" s="91"/>
      <c r="AG34" s="91"/>
      <c r="AH34" s="91"/>
      <c r="AI34" s="92"/>
      <c r="AJ34" s="18"/>
      <c r="AK34" s="137" t="s">
        <v>76</v>
      </c>
      <c r="AL34" s="90" t="str">
        <f>TEXT(INT(LEFT(AL29,2))+1,"0") &amp; " 
FAGEN32411
Empreendedorismo e Inovação"</f>
        <v>37 
FAGEN32411
Empreendedorismo e Inovação</v>
      </c>
      <c r="AM34" s="91"/>
      <c r="AN34" s="91"/>
      <c r="AO34" s="91"/>
      <c r="AP34" s="92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93"/>
      <c r="D35" s="94"/>
      <c r="E35" s="94"/>
      <c r="F35" s="94"/>
      <c r="G35" s="95"/>
      <c r="H35" s="18"/>
      <c r="I35" s="18"/>
      <c r="J35" s="93"/>
      <c r="K35" s="94"/>
      <c r="L35" s="94"/>
      <c r="M35" s="94"/>
      <c r="N35" s="95"/>
      <c r="O35" s="18"/>
      <c r="P35" s="23" t="str">
        <f>LEFT(C44,2)</f>
        <v/>
      </c>
      <c r="Q35" s="93"/>
      <c r="R35" s="94"/>
      <c r="S35" s="94"/>
      <c r="T35" s="94"/>
      <c r="U35" s="95"/>
      <c r="V35" s="18"/>
      <c r="W35" s="22"/>
      <c r="X35" s="93"/>
      <c r="Y35" s="94"/>
      <c r="Z35" s="94"/>
      <c r="AA35" s="94"/>
      <c r="AB35" s="95"/>
      <c r="AC35" s="18"/>
      <c r="AD35" s="29" t="str">
        <f>LEFT(AE19,2)</f>
        <v>27</v>
      </c>
      <c r="AE35" s="93"/>
      <c r="AF35" s="94"/>
      <c r="AG35" s="94"/>
      <c r="AH35" s="94"/>
      <c r="AI35" s="95"/>
      <c r="AJ35" s="18"/>
      <c r="AK35" s="95"/>
      <c r="AL35" s="93"/>
      <c r="AM35" s="94"/>
      <c r="AN35" s="94"/>
      <c r="AO35" s="94"/>
      <c r="AP35" s="95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96"/>
      <c r="D36" s="97"/>
      <c r="E36" s="97"/>
      <c r="F36" s="97"/>
      <c r="G36" s="98"/>
      <c r="H36" s="18"/>
      <c r="I36" s="23" t="str">
        <f>LEFT(C34,2)</f>
        <v xml:space="preserve">6 </v>
      </c>
      <c r="J36" s="96"/>
      <c r="K36" s="97"/>
      <c r="L36" s="97"/>
      <c r="M36" s="97"/>
      <c r="N36" s="98"/>
      <c r="O36" s="18"/>
      <c r="P36" s="23" t="str">
        <f>LEFT(J34,2)</f>
        <v>12</v>
      </c>
      <c r="Q36" s="96"/>
      <c r="R36" s="97"/>
      <c r="S36" s="97"/>
      <c r="T36" s="97"/>
      <c r="U36" s="98"/>
      <c r="V36" s="18"/>
      <c r="W36" s="23" t="str">
        <f>LEFT(Q29,2)</f>
        <v>17</v>
      </c>
      <c r="X36" s="96"/>
      <c r="Y36" s="97"/>
      <c r="Z36" s="97"/>
      <c r="AA36" s="97"/>
      <c r="AB36" s="98"/>
      <c r="AC36" s="18"/>
      <c r="AD36" s="23" t="str">
        <f>LEFT(X29,2)</f>
        <v>23</v>
      </c>
      <c r="AE36" s="96"/>
      <c r="AF36" s="97"/>
      <c r="AG36" s="97"/>
      <c r="AH36" s="97"/>
      <c r="AI36" s="98"/>
      <c r="AJ36" s="18"/>
      <c r="AK36" s="98"/>
      <c r="AL36" s="96"/>
      <c r="AM36" s="97"/>
      <c r="AN36" s="97"/>
      <c r="AO36" s="97"/>
      <c r="AP36" s="98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0</v>
      </c>
      <c r="AG37" s="25">
        <v>0</v>
      </c>
      <c r="AH37" s="25">
        <v>0</v>
      </c>
      <c r="AI37" s="25">
        <f>SUM(AE37:AH37)</f>
        <v>60</v>
      </c>
      <c r="AJ37" s="18"/>
      <c r="AK37" s="18"/>
      <c r="AL37" s="25">
        <v>30</v>
      </c>
      <c r="AM37" s="25">
        <v>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90" t="str">
        <f>TEXT(INT(LEFT(AE34,2))+1,"0") &amp; " 
FEELT32601
Experimental de
Sistemas de Controle Realimentado"</f>
        <v>31 
FEELT32601
Experimental de
Sistemas de Controle Realimentado</v>
      </c>
      <c r="AF39" s="91"/>
      <c r="AG39" s="91"/>
      <c r="AH39" s="91"/>
      <c r="AI39" s="92"/>
      <c r="AJ39" s="8"/>
      <c r="AK39" s="137" t="s">
        <v>71</v>
      </c>
      <c r="AL39" s="90" t="str">
        <f>TEXT(INT(LEFT(AL34,2))+1,"0") &amp; " 
FEELT32002
Estágio Supervisionado Obrigatório"</f>
        <v>38 
FEELT32002
Estágio Supervisionado Obrigatório</v>
      </c>
      <c r="AM39" s="91"/>
      <c r="AN39" s="91"/>
      <c r="AO39" s="91"/>
      <c r="AP39" s="92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93"/>
      <c r="AF40" s="94"/>
      <c r="AG40" s="94"/>
      <c r="AH40" s="94"/>
      <c r="AI40" s="95"/>
      <c r="AJ40" s="8"/>
      <c r="AK40" s="95"/>
      <c r="AL40" s="93"/>
      <c r="AM40" s="94"/>
      <c r="AN40" s="94"/>
      <c r="AO40" s="94"/>
      <c r="AP40" s="95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8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96"/>
      <c r="AF41" s="97"/>
      <c r="AG41" s="97"/>
      <c r="AH41" s="97"/>
      <c r="AI41" s="98"/>
      <c r="AJ41" s="8"/>
      <c r="AK41" s="98"/>
      <c r="AL41" s="96"/>
      <c r="AM41" s="97"/>
      <c r="AN41" s="97"/>
      <c r="AO41" s="97"/>
      <c r="AP41" s="98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8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160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11"/>
      <c r="K44" s="94"/>
      <c r="L44" s="94"/>
      <c r="M44" s="94"/>
      <c r="N44" s="94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8"/>
      <c r="AL44" s="18"/>
      <c r="AM44" s="18"/>
      <c r="AN44" s="18"/>
      <c r="AO44" s="18"/>
      <c r="AP44" s="18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94"/>
      <c r="K45" s="94"/>
      <c r="L45" s="94"/>
      <c r="M45" s="94"/>
      <c r="N45" s="94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94"/>
      <c r="K46" s="94"/>
      <c r="L46" s="94"/>
      <c r="M46" s="94"/>
      <c r="N46" s="94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03" t="s">
        <v>75</v>
      </c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5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20" t="s">
        <v>76</v>
      </c>
      <c r="C53" s="121" t="str">
        <f>TEXT(INT(LEFT(AS9,2))+1,"0") &amp; " 
FEELT!TE1
Tópicos Especiais I"</f>
        <v>40 
FEELT!TE1
Tópicos Especiais I</v>
      </c>
      <c r="D53" s="91"/>
      <c r="E53" s="91"/>
      <c r="F53" s="91"/>
      <c r="G53" s="92"/>
      <c r="H53" s="18"/>
      <c r="I53" s="120" t="s">
        <v>76</v>
      </c>
      <c r="J53" s="121" t="str">
        <f>TEXT(INT(LEFT(C53,2))+1,"0") &amp; " 
FEELT!TE2
Tópicos Especiais II"</f>
        <v>41 
FEELT!TE2
Tópicos Especiais II</v>
      </c>
      <c r="K53" s="122"/>
      <c r="L53" s="91"/>
      <c r="M53" s="91"/>
      <c r="N53" s="92"/>
      <c r="O53" s="18"/>
      <c r="P53" s="120" t="s">
        <v>76</v>
      </c>
      <c r="Q53" s="121" t="str">
        <f>TEXT(INT(LEFT(J53,2))+1,"0") &amp; " 
FEELT!TE3
Tópicos Especiais  III"</f>
        <v>42 
FEELT!TE3
Tópicos Especiais  III</v>
      </c>
      <c r="R53" s="122"/>
      <c r="S53" s="91"/>
      <c r="T53" s="91"/>
      <c r="U53" s="92"/>
      <c r="V53" s="70"/>
      <c r="W53" s="120" t="s">
        <v>76</v>
      </c>
      <c r="X53" s="121" t="str">
        <f>TEXT(INT(LEFT(Q53,2))+1,"0") &amp; " 
FEELT!TE4
 Tópicos Especiais IV"</f>
        <v>43 
FEELT!TE4
 Tópicos Especiais IV</v>
      </c>
      <c r="Y53" s="122"/>
      <c r="Z53" s="91"/>
      <c r="AA53" s="91"/>
      <c r="AB53" s="92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95"/>
      <c r="C54" s="93"/>
      <c r="D54" s="94"/>
      <c r="E54" s="94"/>
      <c r="F54" s="94"/>
      <c r="G54" s="95"/>
      <c r="H54" s="18"/>
      <c r="I54" s="95"/>
      <c r="J54" s="93"/>
      <c r="K54" s="123"/>
      <c r="L54" s="94"/>
      <c r="M54" s="94"/>
      <c r="N54" s="95"/>
      <c r="O54" s="18"/>
      <c r="P54" s="95"/>
      <c r="Q54" s="93"/>
      <c r="R54" s="123"/>
      <c r="S54" s="94"/>
      <c r="T54" s="94"/>
      <c r="U54" s="95"/>
      <c r="V54" s="70"/>
      <c r="W54" s="95"/>
      <c r="X54" s="93"/>
      <c r="Y54" s="123"/>
      <c r="Z54" s="94"/>
      <c r="AA54" s="94"/>
      <c r="AB54" s="95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98"/>
      <c r="C55" s="96"/>
      <c r="D55" s="97"/>
      <c r="E55" s="97"/>
      <c r="F55" s="97"/>
      <c r="G55" s="98"/>
      <c r="H55" s="18"/>
      <c r="I55" s="98"/>
      <c r="J55" s="96"/>
      <c r="K55" s="97"/>
      <c r="L55" s="97"/>
      <c r="M55" s="97"/>
      <c r="N55" s="98"/>
      <c r="O55" s="18"/>
      <c r="P55" s="98"/>
      <c r="Q55" s="96"/>
      <c r="R55" s="97"/>
      <c r="S55" s="97"/>
      <c r="T55" s="97"/>
      <c r="U55" s="98"/>
      <c r="V55" s="70"/>
      <c r="W55" s="98"/>
      <c r="X55" s="96"/>
      <c r="Y55" s="97"/>
      <c r="Z55" s="97"/>
      <c r="AA55" s="97"/>
      <c r="AB55" s="98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2">
    <mergeCell ref="B2:BS2"/>
    <mergeCell ref="Q24:U26"/>
    <mergeCell ref="AG5:AG7"/>
    <mergeCell ref="AE24:AI26"/>
    <mergeCell ref="B53:B55"/>
    <mergeCell ref="Q5:Q7"/>
    <mergeCell ref="C9:G11"/>
    <mergeCell ref="AE4:AI4"/>
    <mergeCell ref="Q29:U31"/>
    <mergeCell ref="Q53:U55"/>
    <mergeCell ref="D5:D7"/>
    <mergeCell ref="K5:K7"/>
    <mergeCell ref="X34:AB36"/>
    <mergeCell ref="AL39:AP41"/>
    <mergeCell ref="AS9:AW11"/>
    <mergeCell ref="AK39:AK41"/>
    <mergeCell ref="C53:G55"/>
    <mergeCell ref="J44:N46"/>
    <mergeCell ref="J34:N36"/>
    <mergeCell ref="S5:S7"/>
    <mergeCell ref="X19:AB21"/>
    <mergeCell ref="J53:N55"/>
    <mergeCell ref="Y5:Y7"/>
    <mergeCell ref="Q14:U16"/>
    <mergeCell ref="E5:E7"/>
    <mergeCell ref="J9:N11"/>
    <mergeCell ref="P53:P55"/>
    <mergeCell ref="I53:I55"/>
    <mergeCell ref="W53:W55"/>
    <mergeCell ref="AE9:AI11"/>
    <mergeCell ref="AF5:AF7"/>
    <mergeCell ref="X53:AB55"/>
    <mergeCell ref="AN5:AN7"/>
    <mergeCell ref="AL24:AP26"/>
    <mergeCell ref="AE29:AI31"/>
    <mergeCell ref="AL9:AP11"/>
    <mergeCell ref="AE19:AI21"/>
    <mergeCell ref="AE34:AI36"/>
    <mergeCell ref="AE14:AI16"/>
    <mergeCell ref="AK34:AK36"/>
    <mergeCell ref="C4:G4"/>
    <mergeCell ref="C14:G16"/>
    <mergeCell ref="C29:G31"/>
    <mergeCell ref="C24:G26"/>
    <mergeCell ref="X9:AB11"/>
    <mergeCell ref="Q4:U4"/>
    <mergeCell ref="J5:J7"/>
    <mergeCell ref="L5:L7"/>
    <mergeCell ref="C5:C7"/>
    <mergeCell ref="C19:G21"/>
    <mergeCell ref="C34:G36"/>
    <mergeCell ref="X24:AB26"/>
    <mergeCell ref="Q19:U21"/>
    <mergeCell ref="Q9:U11"/>
    <mergeCell ref="Q34:U36"/>
    <mergeCell ref="J4:N4"/>
    <mergeCell ref="R5:R7"/>
    <mergeCell ref="J14:N16"/>
    <mergeCell ref="J29:N31"/>
    <mergeCell ref="X29:AB31"/>
    <mergeCell ref="X14:AB16"/>
    <mergeCell ref="J19:N21"/>
    <mergeCell ref="X5:X7"/>
    <mergeCell ref="J24:N26"/>
    <mergeCell ref="Z5:Z7"/>
    <mergeCell ref="X4:AB4"/>
    <mergeCell ref="F5:F7"/>
    <mergeCell ref="M5:M7"/>
    <mergeCell ref="T5:T7"/>
    <mergeCell ref="AA5:AA7"/>
    <mergeCell ref="AH5:AH7"/>
    <mergeCell ref="AE5:AE7"/>
    <mergeCell ref="AL4:AP4"/>
    <mergeCell ref="AL34:AP36"/>
    <mergeCell ref="AM5:AM7"/>
    <mergeCell ref="AL14:AP16"/>
    <mergeCell ref="X51:AW51"/>
    <mergeCell ref="AL29:AP31"/>
    <mergeCell ref="AE39:AI41"/>
    <mergeCell ref="AL19:AP21"/>
    <mergeCell ref="AO5:AO7"/>
    <mergeCell ref="AL5:AL7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15240</xdr:colOff>
                    <xdr:row>1</xdr:row>
                    <xdr:rowOff>68580</xdr:rowOff>
                  </from>
                  <to>
                    <xdr:col>16</xdr:col>
                    <xdr:colOff>129540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T44"/>
  <sheetViews>
    <sheetView tabSelected="1" workbookViewId="0">
      <selection activeCell="I34" sqref="I34"/>
    </sheetView>
  </sheetViews>
  <sheetFormatPr defaultColWidth="9.109375" defaultRowHeight="14.4" x14ac:dyDescent="0.3"/>
  <cols>
    <col min="1" max="1" width="12.44140625" style="75" bestFit="1" customWidth="1"/>
    <col min="2" max="2" width="54.6640625" style="75" bestFit="1" customWidth="1"/>
    <col min="3" max="3" width="10.109375" style="75" bestFit="1" customWidth="1"/>
    <col min="4" max="4" width="3.6640625" style="75" bestFit="1" customWidth="1"/>
    <col min="5" max="5" width="4.109375" style="75" customWidth="1"/>
    <col min="6" max="7" width="4.109375" style="75" bestFit="1" customWidth="1"/>
    <col min="8" max="8" width="4" style="75" bestFit="1" customWidth="1"/>
    <col min="9" max="9" width="23" style="75" customWidth="1"/>
    <col min="10" max="10" width="12.109375" style="75" bestFit="1" customWidth="1"/>
    <col min="11" max="11" width="21.88671875" style="75" bestFit="1" customWidth="1"/>
    <col min="12" max="12" width="23.77734375" style="75" bestFit="1" customWidth="1"/>
    <col min="13" max="13" width="14.44140625" style="75" customWidth="1"/>
    <col min="14" max="14" width="11.21875" style="75" customWidth="1"/>
    <col min="15" max="15" width="9.88671875" style="75" customWidth="1"/>
    <col min="16" max="16" width="17.44140625" style="75" customWidth="1"/>
    <col min="17" max="17" width="13.6640625" style="75" customWidth="1"/>
    <col min="18" max="18" width="12.109375" style="75" bestFit="1" customWidth="1"/>
    <col min="19" max="20" width="28.44140625" style="75" customWidth="1"/>
    <col min="21" max="16384" width="9.109375" style="75"/>
  </cols>
  <sheetData>
    <row r="1" spans="1:20" s="76" customFormat="1" x14ac:dyDescent="0.3">
      <c r="A1" s="77" t="s">
        <v>0</v>
      </c>
      <c r="B1" s="77" t="s">
        <v>1</v>
      </c>
      <c r="C1" s="77" t="s">
        <v>3</v>
      </c>
      <c r="D1" s="77" t="s">
        <v>6</v>
      </c>
      <c r="E1" s="77" t="s">
        <v>7</v>
      </c>
      <c r="F1" s="77" t="s">
        <v>8</v>
      </c>
      <c r="G1" s="77" t="s">
        <v>9</v>
      </c>
      <c r="H1" s="77" t="s">
        <v>10</v>
      </c>
      <c r="I1" s="77" t="s">
        <v>2</v>
      </c>
      <c r="J1" s="77" t="s">
        <v>5</v>
      </c>
      <c r="K1" s="77" t="s">
        <v>13</v>
      </c>
      <c r="L1" s="77" t="s">
        <v>14</v>
      </c>
      <c r="M1" s="77" t="s">
        <v>11</v>
      </c>
      <c r="N1" s="77" t="s">
        <v>15</v>
      </c>
      <c r="O1" s="77" t="s">
        <v>16</v>
      </c>
      <c r="P1" s="77" t="s">
        <v>18</v>
      </c>
      <c r="Q1" s="77" t="s">
        <v>17</v>
      </c>
      <c r="R1" s="77" t="s">
        <v>4</v>
      </c>
      <c r="S1" s="77" t="s">
        <v>12</v>
      </c>
      <c r="T1"/>
    </row>
    <row r="2" spans="1:20" x14ac:dyDescent="0.3">
      <c r="A2" s="75" t="s">
        <v>467</v>
      </c>
      <c r="B2" s="75" t="s">
        <v>468</v>
      </c>
      <c r="C2" s="75" t="s">
        <v>59</v>
      </c>
      <c r="D2" s="75">
        <v>30</v>
      </c>
      <c r="H2" s="75">
        <v>30</v>
      </c>
      <c r="I2" s="75" t="s">
        <v>396</v>
      </c>
      <c r="J2" s="75" t="b">
        <v>1</v>
      </c>
      <c r="K2" s="75" t="s">
        <v>76</v>
      </c>
      <c r="R2" s="75" t="b">
        <v>1</v>
      </c>
      <c r="T2"/>
    </row>
    <row r="3" spans="1:20" ht="14.4" customHeight="1" x14ac:dyDescent="0.3">
      <c r="A3" s="75" t="s">
        <v>394</v>
      </c>
      <c r="B3" s="75" t="s">
        <v>395</v>
      </c>
      <c r="C3" s="75" t="s">
        <v>54</v>
      </c>
      <c r="D3" s="75">
        <v>90</v>
      </c>
      <c r="H3" s="75">
        <v>90</v>
      </c>
      <c r="I3" s="75" t="s">
        <v>396</v>
      </c>
      <c r="J3" s="75" t="b">
        <v>1</v>
      </c>
      <c r="R3" s="75" t="b">
        <v>1</v>
      </c>
      <c r="T3"/>
    </row>
    <row r="4" spans="1:20" ht="14.4" customHeight="1" x14ac:dyDescent="0.3">
      <c r="A4" s="75" t="s">
        <v>407</v>
      </c>
      <c r="B4" s="75" t="s">
        <v>408</v>
      </c>
      <c r="C4" s="75" t="s">
        <v>55</v>
      </c>
      <c r="D4" s="75">
        <v>90</v>
      </c>
      <c r="H4" s="75">
        <v>90</v>
      </c>
      <c r="I4" s="75" t="s">
        <v>396</v>
      </c>
      <c r="J4" s="75" t="b">
        <v>1</v>
      </c>
      <c r="K4" s="75" t="s">
        <v>394</v>
      </c>
      <c r="R4" s="75" t="b">
        <v>1</v>
      </c>
      <c r="T4"/>
    </row>
    <row r="5" spans="1:20" ht="14.4" customHeight="1" x14ac:dyDescent="0.3">
      <c r="A5" s="75" t="s">
        <v>472</v>
      </c>
      <c r="B5" s="75" t="s">
        <v>473</v>
      </c>
      <c r="H5" s="75">
        <v>80</v>
      </c>
      <c r="I5" s="75" t="s">
        <v>474</v>
      </c>
      <c r="J5" s="75" t="b">
        <v>1</v>
      </c>
      <c r="R5" s="75" t="b">
        <v>1</v>
      </c>
      <c r="T5"/>
    </row>
    <row r="6" spans="1:20" ht="14.4" customHeight="1" x14ac:dyDescent="0.3">
      <c r="A6" s="75" t="s">
        <v>431</v>
      </c>
      <c r="B6" s="75" t="s">
        <v>432</v>
      </c>
      <c r="C6" s="75" t="s">
        <v>57</v>
      </c>
      <c r="G6" s="75">
        <v>90</v>
      </c>
      <c r="H6" s="75">
        <v>90</v>
      </c>
      <c r="I6" s="75" t="s">
        <v>433</v>
      </c>
      <c r="J6" s="75" t="b">
        <v>1</v>
      </c>
      <c r="R6" s="75" t="b">
        <v>1</v>
      </c>
      <c r="T6"/>
    </row>
    <row r="7" spans="1:20" ht="14.4" customHeight="1" x14ac:dyDescent="0.3">
      <c r="A7" s="75" t="s">
        <v>444</v>
      </c>
      <c r="B7" s="75" t="s">
        <v>445</v>
      </c>
      <c r="C7" s="75" t="s">
        <v>58</v>
      </c>
      <c r="G7" s="75">
        <v>90</v>
      </c>
      <c r="H7" s="75">
        <v>90</v>
      </c>
      <c r="I7" s="75" t="s">
        <v>433</v>
      </c>
      <c r="J7" s="75" t="b">
        <v>1</v>
      </c>
      <c r="R7" s="75" t="b">
        <v>1</v>
      </c>
      <c r="T7"/>
    </row>
    <row r="8" spans="1:20" ht="14.4" customHeight="1" x14ac:dyDescent="0.3">
      <c r="A8" s="75" t="s">
        <v>457</v>
      </c>
      <c r="B8" s="75" t="s">
        <v>458</v>
      </c>
      <c r="C8" s="75" t="s">
        <v>59</v>
      </c>
      <c r="G8" s="75">
        <v>60</v>
      </c>
      <c r="H8" s="75">
        <v>60</v>
      </c>
      <c r="I8" s="75" t="s">
        <v>433</v>
      </c>
      <c r="J8" s="75" t="b">
        <v>1</v>
      </c>
      <c r="R8" s="75" t="b">
        <v>1</v>
      </c>
      <c r="T8"/>
    </row>
    <row r="9" spans="1:20" ht="14.4" customHeight="1" x14ac:dyDescent="0.3">
      <c r="A9" s="75" t="s">
        <v>417</v>
      </c>
      <c r="B9" s="75" t="s">
        <v>418</v>
      </c>
      <c r="C9" s="75" t="s">
        <v>55</v>
      </c>
      <c r="D9" s="75">
        <v>15</v>
      </c>
      <c r="E9" s="75">
        <v>30</v>
      </c>
      <c r="F9" s="75">
        <v>30</v>
      </c>
      <c r="H9" s="75">
        <v>75</v>
      </c>
      <c r="I9" s="75" t="s">
        <v>396</v>
      </c>
      <c r="J9" s="75" t="b">
        <v>1</v>
      </c>
      <c r="K9" s="75" t="s">
        <v>405</v>
      </c>
      <c r="R9" s="75" t="b">
        <v>1</v>
      </c>
      <c r="T9"/>
    </row>
    <row r="10" spans="1:20" ht="14.4" customHeight="1" x14ac:dyDescent="0.3">
      <c r="A10" s="75" t="s">
        <v>397</v>
      </c>
      <c r="B10" s="75" t="s">
        <v>398</v>
      </c>
      <c r="C10" s="75" t="s">
        <v>54</v>
      </c>
      <c r="E10" s="75">
        <v>30</v>
      </c>
      <c r="F10" s="75">
        <v>30</v>
      </c>
      <c r="H10" s="75">
        <v>60</v>
      </c>
      <c r="I10" s="75" t="s">
        <v>396</v>
      </c>
      <c r="J10" s="75" t="b">
        <v>1</v>
      </c>
      <c r="R10" s="75" t="b">
        <v>1</v>
      </c>
      <c r="T10"/>
    </row>
    <row r="11" spans="1:20" ht="14.4" customHeight="1" x14ac:dyDescent="0.3">
      <c r="A11" s="75" t="s">
        <v>409</v>
      </c>
      <c r="B11" s="75" t="s">
        <v>410</v>
      </c>
      <c r="C11" s="75" t="s">
        <v>55</v>
      </c>
      <c r="D11" s="75">
        <v>60</v>
      </c>
      <c r="F11" s="75">
        <v>15</v>
      </c>
      <c r="H11" s="75">
        <v>75</v>
      </c>
      <c r="I11" s="75" t="s">
        <v>396</v>
      </c>
      <c r="J11" s="75" t="b">
        <v>1</v>
      </c>
      <c r="L11" s="75" t="s">
        <v>483</v>
      </c>
      <c r="R11" s="75" t="b">
        <v>1</v>
      </c>
      <c r="T11"/>
    </row>
    <row r="12" spans="1:20" ht="14.4" customHeight="1" x14ac:dyDescent="0.3">
      <c r="A12" s="75" t="s">
        <v>421</v>
      </c>
      <c r="B12" s="75" t="s">
        <v>422</v>
      </c>
      <c r="C12" s="75" t="s">
        <v>56</v>
      </c>
      <c r="D12" s="75">
        <v>60</v>
      </c>
      <c r="F12" s="75">
        <v>15</v>
      </c>
      <c r="H12" s="75">
        <v>75</v>
      </c>
      <c r="I12" s="75" t="s">
        <v>396</v>
      </c>
      <c r="J12" s="75" t="b">
        <v>1</v>
      </c>
      <c r="L12" s="75" t="s">
        <v>485</v>
      </c>
      <c r="R12" s="75" t="b">
        <v>1</v>
      </c>
      <c r="T12"/>
    </row>
    <row r="13" spans="1:20" ht="14.4" customHeight="1" x14ac:dyDescent="0.3">
      <c r="A13" s="75" t="s">
        <v>446</v>
      </c>
      <c r="B13" s="75" t="s">
        <v>447</v>
      </c>
      <c r="C13" s="75" t="s">
        <v>58</v>
      </c>
      <c r="D13" s="75">
        <v>60</v>
      </c>
      <c r="E13" s="75">
        <v>15</v>
      </c>
      <c r="H13" s="75">
        <v>75</v>
      </c>
      <c r="I13" s="75" t="s">
        <v>396</v>
      </c>
      <c r="J13" s="75" t="b">
        <v>1</v>
      </c>
      <c r="K13" s="75" t="s">
        <v>486</v>
      </c>
      <c r="R13" s="75" t="b">
        <v>1</v>
      </c>
      <c r="T13"/>
    </row>
    <row r="14" spans="1:20" ht="14.4" customHeight="1" x14ac:dyDescent="0.3">
      <c r="A14" s="75" t="s">
        <v>403</v>
      </c>
      <c r="B14" s="75" t="s">
        <v>404</v>
      </c>
      <c r="C14" s="75" t="s">
        <v>54</v>
      </c>
      <c r="E14" s="75">
        <v>30</v>
      </c>
      <c r="F14" s="75">
        <v>45</v>
      </c>
      <c r="H14" s="75">
        <v>75</v>
      </c>
      <c r="I14" s="75" t="s">
        <v>396</v>
      </c>
      <c r="J14" s="75" t="b">
        <v>1</v>
      </c>
      <c r="R14" s="75" t="b">
        <v>1</v>
      </c>
      <c r="T14"/>
    </row>
    <row r="15" spans="1:20" ht="14.4" customHeight="1" x14ac:dyDescent="0.3">
      <c r="A15" s="75" t="s">
        <v>411</v>
      </c>
      <c r="B15" s="75" t="s">
        <v>412</v>
      </c>
      <c r="C15" s="75" t="s">
        <v>55</v>
      </c>
      <c r="E15" s="75">
        <v>15</v>
      </c>
      <c r="H15" s="75">
        <v>15</v>
      </c>
      <c r="I15" s="75" t="s">
        <v>396</v>
      </c>
      <c r="J15" s="75" t="b">
        <v>1</v>
      </c>
      <c r="L15" s="75" t="s">
        <v>484</v>
      </c>
      <c r="R15" s="75" t="b">
        <v>1</v>
      </c>
      <c r="T15"/>
    </row>
    <row r="16" spans="1:20" ht="14.4" customHeight="1" x14ac:dyDescent="0.3">
      <c r="A16" s="75" t="s">
        <v>423</v>
      </c>
      <c r="B16" s="75" t="s">
        <v>424</v>
      </c>
      <c r="C16" s="75" t="s">
        <v>56</v>
      </c>
      <c r="E16" s="75">
        <v>15</v>
      </c>
      <c r="H16" s="75">
        <v>15</v>
      </c>
      <c r="I16" s="75" t="s">
        <v>396</v>
      </c>
      <c r="J16" s="75" t="b">
        <v>1</v>
      </c>
      <c r="L16" s="75" t="s">
        <v>486</v>
      </c>
      <c r="R16" s="75" t="b">
        <v>1</v>
      </c>
      <c r="T16"/>
    </row>
    <row r="17" spans="1:20" ht="14.4" customHeight="1" x14ac:dyDescent="0.3">
      <c r="A17" s="75" t="s">
        <v>448</v>
      </c>
      <c r="B17" s="75" t="s">
        <v>449</v>
      </c>
      <c r="C17" s="75" t="s">
        <v>58</v>
      </c>
      <c r="E17" s="75">
        <v>30</v>
      </c>
      <c r="H17" s="75">
        <v>30</v>
      </c>
      <c r="I17" s="75" t="s">
        <v>396</v>
      </c>
      <c r="J17" s="75" t="b">
        <v>1</v>
      </c>
      <c r="L17" s="75" t="s">
        <v>488</v>
      </c>
      <c r="R17" s="75" t="b">
        <v>1</v>
      </c>
      <c r="T17"/>
    </row>
    <row r="18" spans="1:20" ht="14.4" customHeight="1" x14ac:dyDescent="0.3">
      <c r="A18" s="75" t="s">
        <v>434</v>
      </c>
      <c r="B18" s="75" t="s">
        <v>435</v>
      </c>
      <c r="C18" s="75" t="s">
        <v>57</v>
      </c>
      <c r="E18" s="75">
        <v>30</v>
      </c>
      <c r="F18" s="75">
        <v>30</v>
      </c>
      <c r="H18" s="75">
        <v>60</v>
      </c>
      <c r="I18" s="75" t="s">
        <v>396</v>
      </c>
      <c r="J18" s="75" t="b">
        <v>1</v>
      </c>
      <c r="K18" s="75" t="s">
        <v>487</v>
      </c>
      <c r="R18" s="75" t="b">
        <v>1</v>
      </c>
      <c r="T18"/>
    </row>
    <row r="19" spans="1:20" ht="14.4" customHeight="1" x14ac:dyDescent="0.3">
      <c r="A19" s="75" t="s">
        <v>401</v>
      </c>
      <c r="B19" s="75" t="s">
        <v>402</v>
      </c>
      <c r="C19" s="75" t="s">
        <v>54</v>
      </c>
      <c r="D19" s="75">
        <v>30</v>
      </c>
      <c r="H19" s="75">
        <v>30</v>
      </c>
      <c r="I19" s="75" t="s">
        <v>396</v>
      </c>
      <c r="J19" s="75" t="b">
        <v>1</v>
      </c>
      <c r="R19" s="75" t="b">
        <v>1</v>
      </c>
      <c r="T19"/>
    </row>
    <row r="20" spans="1:20" ht="14.4" customHeight="1" x14ac:dyDescent="0.3">
      <c r="A20" s="75" t="s">
        <v>425</v>
      </c>
      <c r="B20" s="75" t="s">
        <v>426</v>
      </c>
      <c r="C20" s="75" t="s">
        <v>56</v>
      </c>
      <c r="D20" s="75">
        <v>30</v>
      </c>
      <c r="E20" s="75">
        <v>15</v>
      </c>
      <c r="H20" s="75">
        <v>45</v>
      </c>
      <c r="I20" s="75" t="s">
        <v>396</v>
      </c>
      <c r="J20" s="75" t="b">
        <v>1</v>
      </c>
      <c r="K20" s="75" t="s">
        <v>407</v>
      </c>
      <c r="R20" s="75" t="b">
        <v>1</v>
      </c>
      <c r="T20"/>
    </row>
    <row r="21" spans="1:20" ht="14.4" customHeight="1" x14ac:dyDescent="0.3">
      <c r="A21" s="75" t="s">
        <v>450</v>
      </c>
      <c r="B21" s="75" t="s">
        <v>451</v>
      </c>
      <c r="C21" s="75" t="s">
        <v>58</v>
      </c>
      <c r="D21" s="75">
        <v>30</v>
      </c>
      <c r="E21" s="75">
        <v>15</v>
      </c>
      <c r="F21" s="75">
        <v>15</v>
      </c>
      <c r="H21" s="75">
        <v>60</v>
      </c>
      <c r="I21" s="75" t="s">
        <v>396</v>
      </c>
      <c r="J21" s="75" t="b">
        <v>1</v>
      </c>
      <c r="K21" s="75" t="s">
        <v>489</v>
      </c>
      <c r="R21" s="75" t="b">
        <v>1</v>
      </c>
      <c r="T21"/>
    </row>
    <row r="22" spans="1:20" ht="14.4" customHeight="1" x14ac:dyDescent="0.3">
      <c r="A22" s="75" t="s">
        <v>459</v>
      </c>
      <c r="B22" s="75" t="s">
        <v>460</v>
      </c>
      <c r="C22" s="75" t="s">
        <v>59</v>
      </c>
      <c r="D22" s="75">
        <v>60</v>
      </c>
      <c r="E22" s="75">
        <v>15</v>
      </c>
      <c r="H22" s="75">
        <v>75</v>
      </c>
      <c r="I22" s="75" t="s">
        <v>396</v>
      </c>
      <c r="J22" s="75" t="b">
        <v>1</v>
      </c>
      <c r="R22" s="75" t="b">
        <v>1</v>
      </c>
      <c r="T22"/>
    </row>
    <row r="23" spans="1:20" ht="14.4" customHeight="1" x14ac:dyDescent="0.3">
      <c r="A23" s="75" t="s">
        <v>461</v>
      </c>
      <c r="B23" s="75" t="s">
        <v>462</v>
      </c>
      <c r="C23" s="75" t="s">
        <v>59</v>
      </c>
      <c r="D23" s="75">
        <v>30</v>
      </c>
      <c r="H23" s="75">
        <v>30</v>
      </c>
      <c r="I23" s="75" t="s">
        <v>396</v>
      </c>
      <c r="J23" s="75" t="b">
        <v>1</v>
      </c>
      <c r="R23" s="75" t="b">
        <v>1</v>
      </c>
      <c r="T23"/>
    </row>
    <row r="24" spans="1:20" ht="14.4" customHeight="1" x14ac:dyDescent="0.3">
      <c r="A24" s="75" t="s">
        <v>438</v>
      </c>
      <c r="B24" s="75" t="s">
        <v>439</v>
      </c>
      <c r="C24" s="75" t="s">
        <v>57</v>
      </c>
      <c r="D24" s="75">
        <v>60</v>
      </c>
      <c r="E24" s="75">
        <v>30</v>
      </c>
      <c r="H24" s="75">
        <v>90</v>
      </c>
      <c r="I24" s="75" t="s">
        <v>396</v>
      </c>
      <c r="J24" s="75" t="b">
        <v>1</v>
      </c>
      <c r="K24" s="75" t="s">
        <v>417</v>
      </c>
      <c r="R24" s="75" t="b">
        <v>1</v>
      </c>
      <c r="T24"/>
    </row>
    <row r="25" spans="1:20" ht="14.4" customHeight="1" x14ac:dyDescent="0.3">
      <c r="A25" s="75" t="s">
        <v>452</v>
      </c>
      <c r="B25" s="75" t="s">
        <v>453</v>
      </c>
      <c r="C25" s="75" t="s">
        <v>58</v>
      </c>
      <c r="D25" s="75">
        <v>30</v>
      </c>
      <c r="E25" s="75">
        <v>30</v>
      </c>
      <c r="F25" s="75">
        <v>15</v>
      </c>
      <c r="H25" s="75">
        <v>75</v>
      </c>
      <c r="I25" s="75" t="s">
        <v>396</v>
      </c>
      <c r="J25" s="75" t="b">
        <v>1</v>
      </c>
      <c r="K25" s="75" t="s">
        <v>490</v>
      </c>
      <c r="R25" s="75" t="b">
        <v>1</v>
      </c>
      <c r="T25"/>
    </row>
    <row r="26" spans="1:20" ht="14.4" customHeight="1" x14ac:dyDescent="0.3">
      <c r="A26" s="75" t="s">
        <v>419</v>
      </c>
      <c r="B26" s="75" t="s">
        <v>420</v>
      </c>
      <c r="C26" s="75" t="s">
        <v>56</v>
      </c>
      <c r="D26" s="75">
        <v>60</v>
      </c>
      <c r="F26" s="75">
        <v>30</v>
      </c>
      <c r="H26" s="75">
        <v>90</v>
      </c>
      <c r="I26" s="75" t="s">
        <v>396</v>
      </c>
      <c r="J26" s="75" t="b">
        <v>1</v>
      </c>
      <c r="K26" s="75" t="s">
        <v>407</v>
      </c>
      <c r="R26" s="75" t="b">
        <v>1</v>
      </c>
      <c r="T26"/>
    </row>
    <row r="27" spans="1:20" ht="14.4" customHeight="1" x14ac:dyDescent="0.3">
      <c r="A27" s="75" t="s">
        <v>440</v>
      </c>
      <c r="B27" s="75" t="s">
        <v>441</v>
      </c>
      <c r="C27" s="75" t="s">
        <v>57</v>
      </c>
      <c r="D27" s="75">
        <v>60</v>
      </c>
      <c r="H27" s="75">
        <v>60</v>
      </c>
      <c r="I27" s="75" t="s">
        <v>396</v>
      </c>
      <c r="J27" s="75" t="b">
        <v>1</v>
      </c>
      <c r="K27" s="75" t="s">
        <v>419</v>
      </c>
      <c r="R27" s="75" t="b">
        <v>1</v>
      </c>
      <c r="T27"/>
    </row>
    <row r="28" spans="1:20" ht="14.4" customHeight="1" x14ac:dyDescent="0.3">
      <c r="A28" s="75" t="s">
        <v>475</v>
      </c>
      <c r="B28" s="75" t="s">
        <v>476</v>
      </c>
      <c r="D28" s="75">
        <v>60</v>
      </c>
      <c r="H28" s="75">
        <v>60</v>
      </c>
      <c r="I28" s="75" t="s">
        <v>396</v>
      </c>
      <c r="J28" s="75" t="b">
        <v>0</v>
      </c>
      <c r="K28" s="75" t="s">
        <v>76</v>
      </c>
      <c r="R28" s="75" t="b">
        <v>1</v>
      </c>
      <c r="T28"/>
    </row>
    <row r="29" spans="1:20" ht="14.4" customHeight="1" x14ac:dyDescent="0.3">
      <c r="A29" s="75" t="s">
        <v>477</v>
      </c>
      <c r="B29" s="75" t="s">
        <v>478</v>
      </c>
      <c r="D29" s="75">
        <v>60</v>
      </c>
      <c r="H29" s="75">
        <v>60</v>
      </c>
      <c r="I29" s="75" t="s">
        <v>396</v>
      </c>
      <c r="J29" s="75" t="b">
        <v>0</v>
      </c>
      <c r="K29" s="75" t="s">
        <v>76</v>
      </c>
      <c r="R29" s="75" t="b">
        <v>1</v>
      </c>
      <c r="T29"/>
    </row>
    <row r="30" spans="1:20" ht="14.4" customHeight="1" x14ac:dyDescent="0.3">
      <c r="A30" s="75" t="s">
        <v>479</v>
      </c>
      <c r="B30" s="75" t="s">
        <v>480</v>
      </c>
      <c r="D30" s="75">
        <v>60</v>
      </c>
      <c r="H30" s="75">
        <v>60</v>
      </c>
      <c r="I30" s="75" t="s">
        <v>396</v>
      </c>
      <c r="J30" s="75" t="b">
        <v>0</v>
      </c>
      <c r="K30" s="75" t="s">
        <v>76</v>
      </c>
      <c r="R30" s="75" t="b">
        <v>1</v>
      </c>
      <c r="T30"/>
    </row>
    <row r="31" spans="1:20" ht="14.4" customHeight="1" x14ac:dyDescent="0.3">
      <c r="A31" s="75" t="s">
        <v>481</v>
      </c>
      <c r="B31" s="75" t="s">
        <v>482</v>
      </c>
      <c r="D31" s="75">
        <v>60</v>
      </c>
      <c r="H31" s="75">
        <v>60</v>
      </c>
      <c r="I31" s="75" t="s">
        <v>396</v>
      </c>
      <c r="J31" s="75" t="b">
        <v>0</v>
      </c>
      <c r="K31" s="75" t="s">
        <v>76</v>
      </c>
      <c r="R31" s="75" t="b">
        <v>1</v>
      </c>
      <c r="T31"/>
    </row>
    <row r="32" spans="1:20" ht="14.4" customHeight="1" x14ac:dyDescent="0.3">
      <c r="A32" s="75" t="s">
        <v>405</v>
      </c>
      <c r="B32" s="75" t="s">
        <v>406</v>
      </c>
      <c r="C32" s="75" t="s">
        <v>54</v>
      </c>
      <c r="D32" s="75">
        <v>30</v>
      </c>
      <c r="E32" s="75">
        <v>30</v>
      </c>
      <c r="H32" s="75">
        <v>60</v>
      </c>
      <c r="I32" s="75" t="s">
        <v>396</v>
      </c>
      <c r="J32" s="75" t="b">
        <v>1</v>
      </c>
      <c r="L32" s="75" t="s">
        <v>397</v>
      </c>
      <c r="R32" s="75" t="b">
        <v>1</v>
      </c>
      <c r="T32"/>
    </row>
    <row r="33" spans="1:20" ht="14.4" customHeight="1" x14ac:dyDescent="0.3">
      <c r="A33" s="75" t="s">
        <v>463</v>
      </c>
      <c r="B33" s="75" t="s">
        <v>464</v>
      </c>
      <c r="C33" s="75" t="s">
        <v>59</v>
      </c>
      <c r="D33" s="75">
        <v>30</v>
      </c>
      <c r="H33" s="75">
        <v>30</v>
      </c>
      <c r="I33" s="75" t="s">
        <v>396</v>
      </c>
      <c r="J33" s="75" t="b">
        <v>1</v>
      </c>
      <c r="L33" s="75" t="s">
        <v>493</v>
      </c>
      <c r="R33" s="75" t="b">
        <v>1</v>
      </c>
      <c r="T33"/>
    </row>
    <row r="34" spans="1:20" ht="14.4" customHeight="1" x14ac:dyDescent="0.3">
      <c r="A34" s="75" t="s">
        <v>465</v>
      </c>
      <c r="B34" s="75" t="s">
        <v>466</v>
      </c>
      <c r="C34" s="75" t="s">
        <v>59</v>
      </c>
      <c r="E34" s="75">
        <v>30</v>
      </c>
      <c r="H34" s="75">
        <v>30</v>
      </c>
      <c r="I34" s="75" t="s">
        <v>396</v>
      </c>
      <c r="J34" s="75" t="b">
        <v>1</v>
      </c>
      <c r="L34" s="75" t="s">
        <v>494</v>
      </c>
      <c r="R34" s="75" t="b">
        <v>1</v>
      </c>
      <c r="T34"/>
    </row>
    <row r="35" spans="1:20" ht="14.4" customHeight="1" x14ac:dyDescent="0.3">
      <c r="A35" s="75" t="s">
        <v>469</v>
      </c>
      <c r="B35" s="75" t="s">
        <v>470</v>
      </c>
      <c r="C35" s="75" t="s">
        <v>59</v>
      </c>
      <c r="H35" s="75">
        <v>160</v>
      </c>
      <c r="I35" s="75" t="s">
        <v>471</v>
      </c>
      <c r="J35" s="75" t="b">
        <v>1</v>
      </c>
      <c r="K35" s="75" t="s">
        <v>71</v>
      </c>
      <c r="R35" s="75" t="b">
        <v>1</v>
      </c>
      <c r="T35"/>
    </row>
    <row r="36" spans="1:20" ht="14.4" customHeight="1" x14ac:dyDescent="0.3">
      <c r="A36" s="75" t="s">
        <v>429</v>
      </c>
      <c r="B36" s="75" t="s">
        <v>430</v>
      </c>
      <c r="C36" s="75" t="s">
        <v>56</v>
      </c>
      <c r="D36" s="75">
        <v>30</v>
      </c>
      <c r="E36" s="75">
        <v>30</v>
      </c>
      <c r="H36" s="75">
        <v>60</v>
      </c>
      <c r="I36" s="75" t="s">
        <v>396</v>
      </c>
      <c r="J36" s="75" t="b">
        <v>1</v>
      </c>
      <c r="K36" s="75" t="s">
        <v>417</v>
      </c>
      <c r="R36" s="75" t="b">
        <v>1</v>
      </c>
      <c r="T36"/>
    </row>
    <row r="37" spans="1:20" ht="14.4" customHeight="1" x14ac:dyDescent="0.3">
      <c r="A37" s="75" t="s">
        <v>436</v>
      </c>
      <c r="B37" s="75" t="s">
        <v>437</v>
      </c>
      <c r="C37" s="75" t="s">
        <v>57</v>
      </c>
      <c r="D37" s="75">
        <v>30</v>
      </c>
      <c r="E37" s="75">
        <v>30</v>
      </c>
      <c r="H37" s="75">
        <v>60</v>
      </c>
      <c r="I37" s="75" t="s">
        <v>396</v>
      </c>
      <c r="J37" s="75" t="b">
        <v>1</v>
      </c>
      <c r="K37" s="75" t="s">
        <v>429</v>
      </c>
      <c r="R37" s="75" t="b">
        <v>1</v>
      </c>
      <c r="T37"/>
    </row>
    <row r="38" spans="1:20" ht="14.4" customHeight="1" x14ac:dyDescent="0.3">
      <c r="A38" s="75" t="s">
        <v>456</v>
      </c>
      <c r="B38" s="75" t="s">
        <v>449</v>
      </c>
      <c r="C38" s="75" t="s">
        <v>58</v>
      </c>
      <c r="E38" s="75">
        <v>30</v>
      </c>
      <c r="H38" s="75">
        <v>30</v>
      </c>
      <c r="I38" s="75" t="s">
        <v>396</v>
      </c>
      <c r="J38" s="75" t="b">
        <v>1</v>
      </c>
      <c r="L38" s="75" t="s">
        <v>492</v>
      </c>
      <c r="R38" s="75" t="b">
        <v>1</v>
      </c>
      <c r="T38"/>
    </row>
    <row r="39" spans="1:20" ht="14.4" customHeight="1" x14ac:dyDescent="0.3">
      <c r="A39" s="75" t="s">
        <v>454</v>
      </c>
      <c r="B39" s="75" t="s">
        <v>455</v>
      </c>
      <c r="C39" s="75" t="s">
        <v>58</v>
      </c>
      <c r="D39" s="75">
        <v>60</v>
      </c>
      <c r="H39" s="75">
        <v>60</v>
      </c>
      <c r="I39" s="75" t="s">
        <v>396</v>
      </c>
      <c r="J39" s="75" t="b">
        <v>1</v>
      </c>
      <c r="L39" s="75" t="s">
        <v>491</v>
      </c>
      <c r="R39" s="75" t="b">
        <v>1</v>
      </c>
      <c r="T39"/>
    </row>
    <row r="40" spans="1:20" ht="14.4" customHeight="1" x14ac:dyDescent="0.3">
      <c r="A40" s="75" t="s">
        <v>399</v>
      </c>
      <c r="B40" s="75" t="s">
        <v>400</v>
      </c>
      <c r="C40" s="75" t="s">
        <v>54</v>
      </c>
      <c r="D40" s="75">
        <v>60</v>
      </c>
      <c r="H40" s="75">
        <v>60</v>
      </c>
      <c r="I40" s="75" t="s">
        <v>396</v>
      </c>
      <c r="J40" s="75" t="b">
        <v>1</v>
      </c>
      <c r="R40" s="75" t="b">
        <v>1</v>
      </c>
      <c r="T40"/>
    </row>
    <row r="41" spans="1:20" ht="14.4" customHeight="1" x14ac:dyDescent="0.3">
      <c r="A41" s="75" t="s">
        <v>442</v>
      </c>
      <c r="B41" s="75" t="s">
        <v>443</v>
      </c>
      <c r="C41" s="75" t="s">
        <v>57</v>
      </c>
      <c r="D41" s="75">
        <v>45</v>
      </c>
      <c r="E41" s="75">
        <v>15</v>
      </c>
      <c r="H41" s="75">
        <v>60</v>
      </c>
      <c r="I41" s="75" t="s">
        <v>396</v>
      </c>
      <c r="J41" s="75" t="b">
        <v>1</v>
      </c>
      <c r="K41" s="75" t="s">
        <v>427</v>
      </c>
      <c r="R41" s="75" t="b">
        <v>1</v>
      </c>
      <c r="T41"/>
    </row>
    <row r="42" spans="1:20" ht="14.4" customHeight="1" x14ac:dyDescent="0.3">
      <c r="A42" s="75" t="s">
        <v>427</v>
      </c>
      <c r="B42" s="75" t="s">
        <v>428</v>
      </c>
      <c r="C42" s="75" t="s">
        <v>56</v>
      </c>
      <c r="D42" s="75">
        <v>60</v>
      </c>
      <c r="H42" s="75">
        <v>60</v>
      </c>
      <c r="I42" s="75" t="s">
        <v>396</v>
      </c>
      <c r="J42" s="75" t="b">
        <v>1</v>
      </c>
      <c r="K42" s="75" t="s">
        <v>394</v>
      </c>
      <c r="R42" s="75" t="b">
        <v>1</v>
      </c>
      <c r="T42"/>
    </row>
    <row r="43" spans="1:20" ht="14.4" customHeight="1" x14ac:dyDescent="0.3">
      <c r="A43" s="75" t="s">
        <v>415</v>
      </c>
      <c r="B43" s="75" t="s">
        <v>416</v>
      </c>
      <c r="C43" s="75" t="s">
        <v>55</v>
      </c>
      <c r="D43" s="75">
        <v>60</v>
      </c>
      <c r="H43" s="75">
        <v>60</v>
      </c>
      <c r="I43" s="75" t="s">
        <v>396</v>
      </c>
      <c r="J43" s="75" t="b">
        <v>1</v>
      </c>
      <c r="K43" s="75" t="s">
        <v>394</v>
      </c>
      <c r="L43" s="75" t="s">
        <v>413</v>
      </c>
      <c r="R43" s="75" t="b">
        <v>1</v>
      </c>
      <c r="T43"/>
    </row>
    <row r="44" spans="1:20" ht="14.4" customHeight="1" x14ac:dyDescent="0.3">
      <c r="A44" s="75" t="s">
        <v>413</v>
      </c>
      <c r="B44" s="75" t="s">
        <v>414</v>
      </c>
      <c r="C44" s="75" t="s">
        <v>55</v>
      </c>
      <c r="E44" s="75">
        <v>30</v>
      </c>
      <c r="H44" s="75">
        <v>30</v>
      </c>
      <c r="I44" s="75" t="s">
        <v>396</v>
      </c>
      <c r="J44" s="75" t="b">
        <v>1</v>
      </c>
      <c r="K44" s="75" t="s">
        <v>394</v>
      </c>
      <c r="L44" s="75" t="s">
        <v>415</v>
      </c>
      <c r="R44" s="75" t="b">
        <v>1</v>
      </c>
      <c r="T44"/>
    </row>
  </sheetData>
  <sortState xmlns:xlrd2="http://schemas.microsoft.com/office/spreadsheetml/2017/richdata2" ref="A2:T44">
    <sortCondition ref="T2:T44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C19"/>
  <sheetViews>
    <sheetView workbookViewId="0"/>
  </sheetViews>
  <sheetFormatPr defaultRowHeight="14.4" x14ac:dyDescent="0.3"/>
  <cols>
    <col min="1" max="1" width="14.33203125" bestFit="1" customWidth="1"/>
    <col min="2" max="2" width="14.6640625" bestFit="1" customWidth="1"/>
    <col min="3" max="3" width="69.5546875" bestFit="1" customWidth="1"/>
  </cols>
  <sheetData>
    <row r="1" spans="1:3" x14ac:dyDescent="0.3">
      <c r="A1" t="s">
        <v>77</v>
      </c>
      <c r="B1" t="s">
        <v>78</v>
      </c>
      <c r="C1" t="s">
        <v>79</v>
      </c>
    </row>
    <row r="2" spans="1:3" x14ac:dyDescent="0.3">
      <c r="A2" t="s">
        <v>19</v>
      </c>
      <c r="B2" t="s">
        <v>34</v>
      </c>
      <c r="C2" t="s">
        <v>80</v>
      </c>
    </row>
    <row r="3" spans="1:3" x14ac:dyDescent="0.3">
      <c r="A3" t="s">
        <v>21</v>
      </c>
      <c r="B3" t="s">
        <v>25</v>
      </c>
      <c r="C3" t="s">
        <v>81</v>
      </c>
    </row>
    <row r="4" spans="1:3" x14ac:dyDescent="0.3">
      <c r="A4" t="s">
        <v>22</v>
      </c>
      <c r="B4" t="s">
        <v>23</v>
      </c>
      <c r="C4" t="s">
        <v>82</v>
      </c>
    </row>
    <row r="5" spans="1:3" x14ac:dyDescent="0.3">
      <c r="A5" t="s">
        <v>27</v>
      </c>
      <c r="B5" t="s">
        <v>45</v>
      </c>
      <c r="C5" t="s">
        <v>83</v>
      </c>
    </row>
    <row r="6" spans="1:3" x14ac:dyDescent="0.3">
      <c r="A6" t="s">
        <v>26</v>
      </c>
      <c r="B6" t="s">
        <v>43</v>
      </c>
      <c r="C6" t="s">
        <v>84</v>
      </c>
    </row>
    <row r="7" spans="1:3" x14ac:dyDescent="0.3">
      <c r="A7" t="s">
        <v>32</v>
      </c>
      <c r="B7" t="s">
        <v>35</v>
      </c>
      <c r="C7" t="s">
        <v>85</v>
      </c>
    </row>
    <row r="8" spans="1:3" x14ac:dyDescent="0.3">
      <c r="A8" t="s">
        <v>31</v>
      </c>
      <c r="B8" t="s">
        <v>35</v>
      </c>
      <c r="C8" t="s">
        <v>85</v>
      </c>
    </row>
    <row r="9" spans="1:3" x14ac:dyDescent="0.3">
      <c r="A9" t="s">
        <v>36</v>
      </c>
      <c r="B9" t="s">
        <v>34</v>
      </c>
      <c r="C9" t="s">
        <v>86</v>
      </c>
    </row>
    <row r="10" spans="1:3" x14ac:dyDescent="0.3">
      <c r="A10" t="s">
        <v>38</v>
      </c>
      <c r="B10" t="s">
        <v>33</v>
      </c>
      <c r="C10" t="s">
        <v>87</v>
      </c>
    </row>
    <row r="11" spans="1:3" x14ac:dyDescent="0.3">
      <c r="A11" t="s">
        <v>37</v>
      </c>
      <c r="B11" t="s">
        <v>33</v>
      </c>
      <c r="C11" t="s">
        <v>87</v>
      </c>
    </row>
    <row r="12" spans="1:3" x14ac:dyDescent="0.3">
      <c r="A12" t="s">
        <v>40</v>
      </c>
      <c r="B12" t="s">
        <v>53</v>
      </c>
      <c r="C12" t="s">
        <v>88</v>
      </c>
    </row>
    <row r="13" spans="1:3" x14ac:dyDescent="0.3">
      <c r="A13" t="s">
        <v>42</v>
      </c>
      <c r="B13" t="s">
        <v>41</v>
      </c>
      <c r="C13" t="s">
        <v>89</v>
      </c>
    </row>
    <row r="14" spans="1:3" x14ac:dyDescent="0.3">
      <c r="A14" t="s">
        <v>46</v>
      </c>
      <c r="B14" t="s">
        <v>43</v>
      </c>
      <c r="C14" t="s">
        <v>90</v>
      </c>
    </row>
    <row r="15" spans="1:3" x14ac:dyDescent="0.3">
      <c r="A15" t="s">
        <v>47</v>
      </c>
      <c r="B15" t="s">
        <v>45</v>
      </c>
      <c r="C15" t="s">
        <v>91</v>
      </c>
    </row>
    <row r="16" spans="1:3" x14ac:dyDescent="0.3">
      <c r="A16" t="s">
        <v>51</v>
      </c>
      <c r="B16" t="s">
        <v>49</v>
      </c>
      <c r="C16" t="s">
        <v>92</v>
      </c>
    </row>
    <row r="17" spans="1:3" x14ac:dyDescent="0.3">
      <c r="A17" t="s">
        <v>50</v>
      </c>
      <c r="B17" t="s">
        <v>49</v>
      </c>
      <c r="C17" t="s">
        <v>92</v>
      </c>
    </row>
    <row r="18" spans="1:3" x14ac:dyDescent="0.3">
      <c r="A18" t="s">
        <v>52</v>
      </c>
      <c r="B18" t="s">
        <v>44</v>
      </c>
      <c r="C18" t="s">
        <v>93</v>
      </c>
    </row>
    <row r="19" spans="1:3" x14ac:dyDescent="0.3">
      <c r="A19" t="s">
        <v>48</v>
      </c>
      <c r="B19" t="s">
        <v>30</v>
      </c>
      <c r="C19" t="s">
        <v>94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D6"/>
  <sheetViews>
    <sheetView workbookViewId="0">
      <selection activeCell="F4" sqref="F4"/>
    </sheetView>
  </sheetViews>
  <sheetFormatPr defaultRowHeight="14.4" x14ac:dyDescent="0.3"/>
  <cols>
    <col min="1" max="1" width="16" bestFit="1" customWidth="1"/>
    <col min="2" max="2" width="34.33203125" bestFit="1" customWidth="1"/>
    <col min="3" max="3" width="71.33203125" customWidth="1"/>
    <col min="4" max="4" width="24" customWidth="1"/>
  </cols>
  <sheetData>
    <row r="1" spans="1:4" x14ac:dyDescent="0.3">
      <c r="A1" s="77" t="s">
        <v>95</v>
      </c>
      <c r="B1" s="77" t="s">
        <v>1</v>
      </c>
      <c r="C1" s="77" t="s">
        <v>96</v>
      </c>
      <c r="D1" s="77" t="s">
        <v>495</v>
      </c>
    </row>
    <row r="2" spans="1:4" ht="72" x14ac:dyDescent="0.3">
      <c r="A2" s="78" t="s">
        <v>20</v>
      </c>
      <c r="B2" s="78" t="s">
        <v>105</v>
      </c>
      <c r="C2" s="78" t="s">
        <v>106</v>
      </c>
      <c r="D2" s="78"/>
    </row>
    <row r="3" spans="1:4" ht="57.6" x14ac:dyDescent="0.3">
      <c r="A3" s="78" t="s">
        <v>24</v>
      </c>
      <c r="B3" s="78" t="s">
        <v>107</v>
      </c>
      <c r="C3" s="78" t="s">
        <v>108</v>
      </c>
      <c r="D3" s="78"/>
    </row>
    <row r="4" spans="1:4" ht="57.6" x14ac:dyDescent="0.3">
      <c r="A4" s="78" t="s">
        <v>29</v>
      </c>
      <c r="B4" s="78" t="s">
        <v>109</v>
      </c>
      <c r="C4" s="78" t="s">
        <v>110</v>
      </c>
      <c r="D4" s="78"/>
    </row>
    <row r="5" spans="1:4" ht="100.8" x14ac:dyDescent="0.3">
      <c r="A5" s="78" t="s">
        <v>111</v>
      </c>
      <c r="B5" s="78" t="s">
        <v>112</v>
      </c>
      <c r="C5" s="78" t="s">
        <v>113</v>
      </c>
      <c r="D5" s="78"/>
    </row>
    <row r="6" spans="1:4" ht="28.8" x14ac:dyDescent="0.3">
      <c r="A6" s="78" t="s">
        <v>28</v>
      </c>
      <c r="B6" s="78" t="s">
        <v>114</v>
      </c>
      <c r="C6" s="78" t="s">
        <v>115</v>
      </c>
      <c r="D6" s="78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D25"/>
  <sheetViews>
    <sheetView workbookViewId="0">
      <selection activeCell="D2" sqref="D2:D8"/>
    </sheetView>
  </sheetViews>
  <sheetFormatPr defaultRowHeight="14.4" x14ac:dyDescent="0.3"/>
  <cols>
    <col min="1" max="1" width="32" customWidth="1"/>
    <col min="2" max="2" width="31.5546875" customWidth="1"/>
    <col min="3" max="3" width="56.21875" customWidth="1"/>
    <col min="4" max="4" width="41.88671875" customWidth="1"/>
  </cols>
  <sheetData>
    <row r="1" spans="1:4" x14ac:dyDescent="0.3">
      <c r="A1" s="77" t="s">
        <v>95</v>
      </c>
      <c r="B1" s="77" t="s">
        <v>1</v>
      </c>
      <c r="C1" s="77" t="s">
        <v>96</v>
      </c>
      <c r="D1" s="77" t="s">
        <v>495</v>
      </c>
    </row>
    <row r="2" spans="1:4" ht="28.8" x14ac:dyDescent="0.3">
      <c r="A2" s="78" t="s">
        <v>116</v>
      </c>
      <c r="B2" s="78" t="s">
        <v>117</v>
      </c>
      <c r="C2" s="78" t="s">
        <v>118</v>
      </c>
      <c r="D2" s="78"/>
    </row>
    <row r="3" spans="1:4" x14ac:dyDescent="0.3">
      <c r="A3" s="78" t="s">
        <v>119</v>
      </c>
      <c r="B3" s="78" t="s">
        <v>120</v>
      </c>
      <c r="C3" s="78" t="s">
        <v>121</v>
      </c>
      <c r="D3" s="78"/>
    </row>
    <row r="4" spans="1:4" x14ac:dyDescent="0.3">
      <c r="A4" s="78" t="s">
        <v>122</v>
      </c>
      <c r="B4" s="78" t="s">
        <v>123</v>
      </c>
      <c r="C4" s="78" t="s">
        <v>124</v>
      </c>
      <c r="D4" s="78"/>
    </row>
    <row r="5" spans="1:4" x14ac:dyDescent="0.3">
      <c r="A5" s="78" t="s">
        <v>125</v>
      </c>
      <c r="B5" s="78" t="s">
        <v>126</v>
      </c>
      <c r="C5" s="78" t="s">
        <v>127</v>
      </c>
      <c r="D5" s="78"/>
    </row>
    <row r="6" spans="1:4" x14ac:dyDescent="0.3">
      <c r="A6" s="78" t="s">
        <v>128</v>
      </c>
      <c r="B6" s="78" t="s">
        <v>129</v>
      </c>
      <c r="C6" s="78" t="s">
        <v>130</v>
      </c>
      <c r="D6" s="78"/>
    </row>
    <row r="7" spans="1:4" x14ac:dyDescent="0.3">
      <c r="A7" s="78" t="s">
        <v>131</v>
      </c>
      <c r="B7" s="78" t="s">
        <v>132</v>
      </c>
      <c r="C7" s="78" t="s">
        <v>133</v>
      </c>
    </row>
    <row r="8" spans="1:4" x14ac:dyDescent="0.3">
      <c r="A8" s="78" t="s">
        <v>134</v>
      </c>
      <c r="B8" s="78" t="s">
        <v>135</v>
      </c>
      <c r="C8" s="78" t="s">
        <v>136</v>
      </c>
    </row>
    <row r="9" spans="1:4" x14ac:dyDescent="0.3">
      <c r="A9" s="78" t="s">
        <v>137</v>
      </c>
      <c r="B9" s="78" t="s">
        <v>138</v>
      </c>
      <c r="C9" s="78" t="s">
        <v>139</v>
      </c>
    </row>
    <row r="10" spans="1:4" x14ac:dyDescent="0.3">
      <c r="A10" s="78" t="s">
        <v>140</v>
      </c>
      <c r="B10" s="78" t="s">
        <v>141</v>
      </c>
      <c r="C10" s="78" t="s">
        <v>142</v>
      </c>
    </row>
    <row r="11" spans="1:4" x14ac:dyDescent="0.3">
      <c r="A11" s="78" t="s">
        <v>143</v>
      </c>
      <c r="B11" s="78" t="s">
        <v>144</v>
      </c>
      <c r="C11" s="78" t="s">
        <v>145</v>
      </c>
    </row>
    <row r="12" spans="1:4" x14ac:dyDescent="0.3">
      <c r="A12" s="78" t="s">
        <v>146</v>
      </c>
      <c r="B12" s="78" t="s">
        <v>147</v>
      </c>
      <c r="C12" s="78" t="s">
        <v>148</v>
      </c>
    </row>
    <row r="13" spans="1:4" x14ac:dyDescent="0.3">
      <c r="A13" s="78" t="s">
        <v>149</v>
      </c>
      <c r="B13" s="78" t="s">
        <v>150</v>
      </c>
      <c r="C13" s="78" t="s">
        <v>151</v>
      </c>
    </row>
    <row r="14" spans="1:4" x14ac:dyDescent="0.3">
      <c r="A14" s="78" t="s">
        <v>152</v>
      </c>
      <c r="B14" s="78" t="s">
        <v>153</v>
      </c>
      <c r="C14" s="78" t="s">
        <v>154</v>
      </c>
    </row>
    <row r="15" spans="1:4" x14ac:dyDescent="0.3">
      <c r="A15" s="78" t="s">
        <v>155</v>
      </c>
      <c r="B15" s="78" t="s">
        <v>156</v>
      </c>
      <c r="C15" s="78" t="s">
        <v>157</v>
      </c>
    </row>
    <row r="16" spans="1:4" x14ac:dyDescent="0.3">
      <c r="A16" s="78" t="s">
        <v>158</v>
      </c>
      <c r="B16" s="78" t="s">
        <v>159</v>
      </c>
      <c r="C16" s="78" t="s">
        <v>160</v>
      </c>
    </row>
    <row r="17" spans="1:3" x14ac:dyDescent="0.3">
      <c r="A17" s="78" t="s">
        <v>161</v>
      </c>
      <c r="B17" s="78" t="s">
        <v>162</v>
      </c>
      <c r="C17" s="78" t="s">
        <v>163</v>
      </c>
    </row>
    <row r="18" spans="1:3" x14ac:dyDescent="0.3">
      <c r="A18" s="78" t="s">
        <v>164</v>
      </c>
      <c r="B18" s="78" t="s">
        <v>165</v>
      </c>
      <c r="C18" s="78" t="s">
        <v>166</v>
      </c>
    </row>
    <row r="19" spans="1:3" ht="28.8" x14ac:dyDescent="0.3">
      <c r="A19" s="78" t="s">
        <v>167</v>
      </c>
      <c r="B19" s="78" t="s">
        <v>168</v>
      </c>
      <c r="C19" s="78" t="s">
        <v>169</v>
      </c>
    </row>
    <row r="20" spans="1:3" x14ac:dyDescent="0.3">
      <c r="A20" s="78" t="s">
        <v>170</v>
      </c>
      <c r="B20" s="78" t="s">
        <v>171</v>
      </c>
      <c r="C20" s="78" t="s">
        <v>172</v>
      </c>
    </row>
    <row r="21" spans="1:3" x14ac:dyDescent="0.3">
      <c r="A21" s="78" t="s">
        <v>173</v>
      </c>
      <c r="B21" s="78" t="s">
        <v>174</v>
      </c>
      <c r="C21" s="78" t="s">
        <v>175</v>
      </c>
    </row>
    <row r="22" spans="1:3" x14ac:dyDescent="0.3">
      <c r="A22" s="78" t="s">
        <v>176</v>
      </c>
      <c r="B22" s="78" t="s">
        <v>177</v>
      </c>
      <c r="C22" s="78" t="s">
        <v>178</v>
      </c>
    </row>
    <row r="23" spans="1:3" x14ac:dyDescent="0.3">
      <c r="A23" s="78" t="s">
        <v>179</v>
      </c>
      <c r="B23" s="78" t="s">
        <v>180</v>
      </c>
      <c r="C23" s="78" t="s">
        <v>181</v>
      </c>
    </row>
    <row r="24" spans="1:3" x14ac:dyDescent="0.3">
      <c r="A24" s="78" t="s">
        <v>182</v>
      </c>
      <c r="B24" s="78" t="s">
        <v>114</v>
      </c>
      <c r="C24" s="78" t="s">
        <v>183</v>
      </c>
    </row>
    <row r="25" spans="1:3" x14ac:dyDescent="0.3">
      <c r="A25" s="78" t="s">
        <v>184</v>
      </c>
      <c r="B25" s="78" t="s">
        <v>185</v>
      </c>
      <c r="C25" s="78" t="s">
        <v>186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14"/>
  <sheetViews>
    <sheetView topLeftCell="B1" workbookViewId="0">
      <selection activeCell="F1" sqref="F1"/>
    </sheetView>
  </sheetViews>
  <sheetFormatPr defaultRowHeight="14.4" x14ac:dyDescent="0.3"/>
  <cols>
    <col min="1" max="1" width="26.88671875" customWidth="1"/>
    <col min="2" max="2" width="25.33203125" customWidth="1"/>
    <col min="3" max="3" width="50.33203125" customWidth="1"/>
    <col min="4" max="4" width="44.109375" customWidth="1"/>
    <col min="5" max="5" width="34" customWidth="1"/>
    <col min="6" max="6" width="33.6640625" customWidth="1"/>
  </cols>
  <sheetData>
    <row r="1" spans="1:6" s="79" customFormat="1" ht="21" customHeight="1" x14ac:dyDescent="0.3">
      <c r="A1" s="77" t="s">
        <v>95</v>
      </c>
      <c r="B1" s="77" t="s">
        <v>1</v>
      </c>
      <c r="C1" s="77" t="s">
        <v>96</v>
      </c>
      <c r="D1" s="77" t="s">
        <v>97</v>
      </c>
      <c r="E1" s="77" t="s">
        <v>98</v>
      </c>
      <c r="F1" s="77" t="s">
        <v>495</v>
      </c>
    </row>
    <row r="2" spans="1:6" ht="57.6" x14ac:dyDescent="0.3">
      <c r="A2" s="78" t="s">
        <v>99</v>
      </c>
      <c r="B2" s="78" t="s">
        <v>100</v>
      </c>
      <c r="C2" s="78" t="s">
        <v>187</v>
      </c>
      <c r="D2" s="78" t="s">
        <v>188</v>
      </c>
      <c r="E2" s="78" t="s">
        <v>189</v>
      </c>
      <c r="F2" s="78"/>
    </row>
    <row r="3" spans="1:6" ht="28.8" x14ac:dyDescent="0.3">
      <c r="A3" s="78" t="s">
        <v>39</v>
      </c>
      <c r="B3" s="78" t="s">
        <v>190</v>
      </c>
      <c r="C3" s="78" t="s">
        <v>191</v>
      </c>
      <c r="D3" s="78" t="s">
        <v>192</v>
      </c>
      <c r="E3" s="78" t="s">
        <v>193</v>
      </c>
      <c r="F3" s="78"/>
    </row>
    <row r="4" spans="1:6" ht="28.8" x14ac:dyDescent="0.3">
      <c r="A4" s="78" t="s">
        <v>101</v>
      </c>
      <c r="B4" s="78" t="s">
        <v>102</v>
      </c>
      <c r="C4" s="78" t="s">
        <v>194</v>
      </c>
      <c r="D4" s="78" t="s">
        <v>195</v>
      </c>
      <c r="E4" s="78" t="s">
        <v>189</v>
      </c>
      <c r="F4" s="78"/>
    </row>
    <row r="5" spans="1:6" ht="28.8" x14ac:dyDescent="0.3">
      <c r="A5" s="78" t="s">
        <v>103</v>
      </c>
      <c r="B5" s="78" t="s">
        <v>196</v>
      </c>
      <c r="C5" s="78" t="s">
        <v>197</v>
      </c>
      <c r="D5" s="78" t="s">
        <v>198</v>
      </c>
      <c r="E5" s="78" t="s">
        <v>199</v>
      </c>
      <c r="F5" s="78"/>
    </row>
    <row r="6" spans="1:6" ht="28.8" x14ac:dyDescent="0.3">
      <c r="A6" s="78" t="s">
        <v>200</v>
      </c>
      <c r="B6" s="78" t="s">
        <v>201</v>
      </c>
      <c r="C6" s="78" t="s">
        <v>202</v>
      </c>
      <c r="D6" s="78" t="s">
        <v>203</v>
      </c>
      <c r="E6" s="78" t="s">
        <v>204</v>
      </c>
      <c r="F6" s="78"/>
    </row>
    <row r="7" spans="1:6" ht="43.2" x14ac:dyDescent="0.3">
      <c r="A7" s="78" t="s">
        <v>205</v>
      </c>
      <c r="B7" s="78" t="s">
        <v>206</v>
      </c>
      <c r="C7" s="78" t="s">
        <v>207</v>
      </c>
      <c r="D7" s="78" t="s">
        <v>208</v>
      </c>
      <c r="E7" s="78" t="s">
        <v>209</v>
      </c>
    </row>
    <row r="8" spans="1:6" ht="43.2" x14ac:dyDescent="0.3">
      <c r="A8" s="78" t="s">
        <v>210</v>
      </c>
      <c r="B8" s="78" t="s">
        <v>211</v>
      </c>
      <c r="C8" s="78" t="s">
        <v>212</v>
      </c>
      <c r="D8" s="78" t="s">
        <v>213</v>
      </c>
      <c r="E8" s="78" t="s">
        <v>214</v>
      </c>
    </row>
    <row r="9" spans="1:6" ht="28.8" x14ac:dyDescent="0.3">
      <c r="A9" s="78" t="s">
        <v>215</v>
      </c>
      <c r="B9" s="78" t="s">
        <v>216</v>
      </c>
      <c r="C9" s="78" t="s">
        <v>217</v>
      </c>
      <c r="D9" s="78" t="s">
        <v>218</v>
      </c>
      <c r="E9" s="78" t="s">
        <v>219</v>
      </c>
    </row>
    <row r="10" spans="1:6" ht="43.2" x14ac:dyDescent="0.3">
      <c r="A10" s="78" t="s">
        <v>220</v>
      </c>
      <c r="B10" s="78" t="s">
        <v>221</v>
      </c>
      <c r="C10" s="78" t="s">
        <v>222</v>
      </c>
      <c r="D10" s="78" t="s">
        <v>223</v>
      </c>
      <c r="E10" s="78" t="s">
        <v>224</v>
      </c>
    </row>
    <row r="11" spans="1:6" ht="28.8" x14ac:dyDescent="0.3">
      <c r="A11" s="78" t="s">
        <v>225</v>
      </c>
      <c r="B11" s="78" t="s">
        <v>226</v>
      </c>
      <c r="C11" s="78" t="s">
        <v>227</v>
      </c>
      <c r="D11" s="78" t="s">
        <v>228</v>
      </c>
      <c r="E11" s="78" t="s">
        <v>229</v>
      </c>
    </row>
    <row r="12" spans="1:6" ht="28.8" x14ac:dyDescent="0.3">
      <c r="A12" s="78" t="s">
        <v>230</v>
      </c>
      <c r="B12" s="78" t="s">
        <v>231</v>
      </c>
      <c r="C12" s="78" t="s">
        <v>232</v>
      </c>
      <c r="D12" s="78" t="s">
        <v>228</v>
      </c>
      <c r="E12" s="78" t="s">
        <v>229</v>
      </c>
    </row>
    <row r="13" spans="1:6" ht="28.8" x14ac:dyDescent="0.3">
      <c r="A13" s="78" t="s">
        <v>233</v>
      </c>
      <c r="B13" s="78" t="s">
        <v>234</v>
      </c>
      <c r="C13" s="78" t="s">
        <v>235</v>
      </c>
      <c r="D13" s="78" t="s">
        <v>236</v>
      </c>
      <c r="E13" s="78" t="s">
        <v>237</v>
      </c>
    </row>
    <row r="14" spans="1:6" ht="28.8" x14ac:dyDescent="0.3">
      <c r="A14" s="78" t="s">
        <v>238</v>
      </c>
      <c r="B14" s="78" t="s">
        <v>239</v>
      </c>
      <c r="C14" s="78" t="s">
        <v>240</v>
      </c>
      <c r="D14" s="78" t="s">
        <v>241</v>
      </c>
      <c r="E14" s="78" t="s">
        <v>242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E61"/>
  <sheetViews>
    <sheetView workbookViewId="0">
      <selection activeCell="E5" sqref="E5"/>
    </sheetView>
  </sheetViews>
  <sheetFormatPr defaultRowHeight="14.4" x14ac:dyDescent="0.3"/>
  <cols>
    <col min="1" max="1" width="31.21875" customWidth="1"/>
    <col min="2" max="2" width="53" customWidth="1"/>
    <col min="3" max="3" width="14" customWidth="1"/>
    <col min="4" max="4" width="35.6640625" customWidth="1"/>
    <col min="5" max="5" width="68.109375" customWidth="1"/>
  </cols>
  <sheetData>
    <row r="1" spans="1:5" ht="25.2" customHeight="1" x14ac:dyDescent="0.3">
      <c r="A1" s="77" t="s">
        <v>95</v>
      </c>
      <c r="B1" s="77" t="s">
        <v>96</v>
      </c>
      <c r="C1" s="77" t="s">
        <v>5</v>
      </c>
      <c r="D1" s="77" t="s">
        <v>104</v>
      </c>
      <c r="E1" s="77" t="s">
        <v>495</v>
      </c>
    </row>
    <row r="2" spans="1:5" ht="57.6" x14ac:dyDescent="0.3">
      <c r="A2" s="78" t="s">
        <v>243</v>
      </c>
      <c r="B2" s="78" t="s">
        <v>244</v>
      </c>
      <c r="C2" s="80" t="b">
        <v>1</v>
      </c>
      <c r="D2" s="78" t="s">
        <v>245</v>
      </c>
      <c r="E2" s="78"/>
    </row>
    <row r="3" spans="1:5" ht="57.6" x14ac:dyDescent="0.3">
      <c r="A3" s="78" t="s">
        <v>246</v>
      </c>
      <c r="B3" s="78" t="s">
        <v>247</v>
      </c>
      <c r="C3" s="80" t="b">
        <v>1</v>
      </c>
      <c r="D3" s="78" t="s">
        <v>245</v>
      </c>
      <c r="E3" s="78"/>
    </row>
    <row r="4" spans="1:5" ht="57.6" x14ac:dyDescent="0.3">
      <c r="A4" s="78" t="s">
        <v>248</v>
      </c>
      <c r="B4" s="78" t="s">
        <v>249</v>
      </c>
      <c r="C4" s="80" t="b">
        <v>1</v>
      </c>
      <c r="D4" s="78" t="s">
        <v>245</v>
      </c>
      <c r="E4" s="78"/>
    </row>
    <row r="5" spans="1:5" ht="57.6" x14ac:dyDescent="0.3">
      <c r="A5" s="78" t="s">
        <v>250</v>
      </c>
      <c r="B5" s="78" t="s">
        <v>251</v>
      </c>
      <c r="C5" s="80" t="b">
        <v>1</v>
      </c>
      <c r="D5" s="78" t="s">
        <v>245</v>
      </c>
      <c r="E5" s="78"/>
    </row>
    <row r="6" spans="1:5" ht="43.2" x14ac:dyDescent="0.3">
      <c r="A6" s="78" t="s">
        <v>252</v>
      </c>
      <c r="B6" s="78" t="s">
        <v>253</v>
      </c>
      <c r="C6" s="80" t="b">
        <v>1</v>
      </c>
      <c r="D6" s="78" t="s">
        <v>254</v>
      </c>
      <c r="E6" s="78"/>
    </row>
    <row r="7" spans="1:5" ht="43.2" x14ac:dyDescent="0.3">
      <c r="A7" s="78" t="s">
        <v>255</v>
      </c>
      <c r="B7" s="78" t="s">
        <v>256</v>
      </c>
      <c r="C7" s="80" t="b">
        <v>1</v>
      </c>
      <c r="D7" s="78" t="s">
        <v>254</v>
      </c>
    </row>
    <row r="8" spans="1:5" ht="43.2" x14ac:dyDescent="0.3">
      <c r="A8" s="78" t="s">
        <v>257</v>
      </c>
      <c r="B8" s="78" t="s">
        <v>258</v>
      </c>
      <c r="C8" s="80" t="b">
        <v>1</v>
      </c>
      <c r="D8" s="78" t="s">
        <v>259</v>
      </c>
    </row>
    <row r="9" spans="1:5" ht="57.6" x14ac:dyDescent="0.3">
      <c r="A9" s="78" t="s">
        <v>260</v>
      </c>
      <c r="B9" s="78" t="s">
        <v>261</v>
      </c>
      <c r="C9" s="80" t="b">
        <v>1</v>
      </c>
      <c r="D9" s="78" t="s">
        <v>245</v>
      </c>
    </row>
    <row r="10" spans="1:5" ht="57.6" x14ac:dyDescent="0.3">
      <c r="A10" s="78" t="s">
        <v>262</v>
      </c>
      <c r="B10" s="78" t="s">
        <v>263</v>
      </c>
      <c r="C10" s="80" t="b">
        <v>1</v>
      </c>
      <c r="D10" s="78" t="s">
        <v>245</v>
      </c>
    </row>
    <row r="11" spans="1:5" ht="43.2" x14ac:dyDescent="0.3">
      <c r="A11" s="78" t="s">
        <v>264</v>
      </c>
      <c r="B11" s="78" t="s">
        <v>265</v>
      </c>
      <c r="C11" s="80" t="b">
        <v>1</v>
      </c>
      <c r="D11" s="78" t="s">
        <v>254</v>
      </c>
    </row>
    <row r="12" spans="1:5" ht="43.2" x14ac:dyDescent="0.3">
      <c r="A12" s="78" t="s">
        <v>266</v>
      </c>
      <c r="B12" s="78" t="s">
        <v>267</v>
      </c>
      <c r="C12" s="80" t="b">
        <v>1</v>
      </c>
      <c r="D12" s="78" t="s">
        <v>254</v>
      </c>
    </row>
    <row r="13" spans="1:5" ht="43.2" x14ac:dyDescent="0.3">
      <c r="A13" s="78" t="s">
        <v>268</v>
      </c>
      <c r="B13" s="78" t="s">
        <v>269</v>
      </c>
      <c r="C13" s="80" t="b">
        <v>1</v>
      </c>
      <c r="D13" s="78" t="s">
        <v>254</v>
      </c>
    </row>
    <row r="14" spans="1:5" ht="43.2" x14ac:dyDescent="0.3">
      <c r="A14" s="78" t="s">
        <v>270</v>
      </c>
      <c r="B14" s="78" t="s">
        <v>271</v>
      </c>
      <c r="C14" s="80" t="b">
        <v>1</v>
      </c>
      <c r="D14" s="78" t="s">
        <v>254</v>
      </c>
    </row>
    <row r="15" spans="1:5" ht="43.2" x14ac:dyDescent="0.3">
      <c r="A15" s="78" t="s">
        <v>272</v>
      </c>
      <c r="B15" s="78" t="s">
        <v>273</v>
      </c>
      <c r="C15" s="80" t="b">
        <v>1</v>
      </c>
      <c r="D15" s="78" t="s">
        <v>254</v>
      </c>
    </row>
    <row r="16" spans="1:5" ht="43.2" x14ac:dyDescent="0.3">
      <c r="A16" s="78" t="s">
        <v>274</v>
      </c>
      <c r="B16" s="78" t="s">
        <v>275</v>
      </c>
      <c r="C16" s="80" t="b">
        <v>1</v>
      </c>
      <c r="D16" s="78" t="s">
        <v>254</v>
      </c>
    </row>
    <row r="17" spans="1:4" ht="43.2" x14ac:dyDescent="0.3">
      <c r="A17" s="78" t="s">
        <v>276</v>
      </c>
      <c r="B17" s="78" t="s">
        <v>277</v>
      </c>
      <c r="C17" s="80" t="b">
        <v>1</v>
      </c>
      <c r="D17" s="78" t="s">
        <v>254</v>
      </c>
    </row>
    <row r="18" spans="1:4" ht="43.2" x14ac:dyDescent="0.3">
      <c r="A18" s="78" t="s">
        <v>278</v>
      </c>
      <c r="B18" s="78" t="s">
        <v>279</v>
      </c>
      <c r="C18" s="80" t="b">
        <v>1</v>
      </c>
      <c r="D18" s="78" t="s">
        <v>254</v>
      </c>
    </row>
    <row r="19" spans="1:4" ht="57.6" x14ac:dyDescent="0.3">
      <c r="A19" s="78" t="s">
        <v>280</v>
      </c>
      <c r="B19" s="78" t="s">
        <v>281</v>
      </c>
      <c r="C19" s="80" t="b">
        <v>1</v>
      </c>
      <c r="D19" s="78" t="s">
        <v>245</v>
      </c>
    </row>
    <row r="20" spans="1:4" ht="57.6" x14ac:dyDescent="0.3">
      <c r="A20" s="78" t="s">
        <v>282</v>
      </c>
      <c r="B20" s="78" t="s">
        <v>283</v>
      </c>
      <c r="C20" s="80" t="b">
        <v>1</v>
      </c>
      <c r="D20" s="78" t="s">
        <v>245</v>
      </c>
    </row>
    <row r="21" spans="1:4" ht="43.2" x14ac:dyDescent="0.3">
      <c r="A21" s="78" t="s">
        <v>284</v>
      </c>
      <c r="B21" s="78" t="s">
        <v>285</v>
      </c>
      <c r="C21" s="80" t="b">
        <v>1</v>
      </c>
      <c r="D21" s="78" t="s">
        <v>254</v>
      </c>
    </row>
    <row r="22" spans="1:4" ht="43.2" x14ac:dyDescent="0.3">
      <c r="A22" s="78" t="s">
        <v>286</v>
      </c>
      <c r="B22" s="78" t="s">
        <v>287</v>
      </c>
      <c r="C22" s="80" t="b">
        <v>1</v>
      </c>
      <c r="D22" s="78" t="s">
        <v>254</v>
      </c>
    </row>
    <row r="23" spans="1:4" ht="43.2" x14ac:dyDescent="0.3">
      <c r="A23" s="78" t="s">
        <v>288</v>
      </c>
      <c r="B23" s="78" t="s">
        <v>289</v>
      </c>
      <c r="C23" s="80" t="b">
        <v>1</v>
      </c>
      <c r="D23" s="78" t="s">
        <v>254</v>
      </c>
    </row>
    <row r="24" spans="1:4" ht="43.2" x14ac:dyDescent="0.3">
      <c r="A24" s="78" t="s">
        <v>290</v>
      </c>
      <c r="B24" s="78" t="s">
        <v>291</v>
      </c>
      <c r="C24" s="80" t="b">
        <v>1</v>
      </c>
      <c r="D24" s="78" t="s">
        <v>254</v>
      </c>
    </row>
    <row r="25" spans="1:4" ht="43.2" x14ac:dyDescent="0.3">
      <c r="A25" s="78" t="s">
        <v>292</v>
      </c>
      <c r="B25" s="78" t="s">
        <v>293</v>
      </c>
      <c r="C25" s="80" t="b">
        <v>1</v>
      </c>
      <c r="D25" s="78" t="s">
        <v>254</v>
      </c>
    </row>
    <row r="26" spans="1:4" ht="43.2" x14ac:dyDescent="0.3">
      <c r="A26" s="78" t="s">
        <v>294</v>
      </c>
      <c r="B26" s="78" t="s">
        <v>295</v>
      </c>
      <c r="C26" s="80" t="b">
        <v>1</v>
      </c>
      <c r="D26" s="78" t="s">
        <v>254</v>
      </c>
    </row>
    <row r="27" spans="1:4" ht="43.2" x14ac:dyDescent="0.3">
      <c r="A27" s="78" t="s">
        <v>296</v>
      </c>
      <c r="B27" s="78" t="s">
        <v>297</v>
      </c>
      <c r="C27" s="80" t="b">
        <v>1</v>
      </c>
      <c r="D27" s="78" t="s">
        <v>254</v>
      </c>
    </row>
    <row r="28" spans="1:4" ht="43.2" x14ac:dyDescent="0.3">
      <c r="A28" s="78" t="s">
        <v>298</v>
      </c>
      <c r="B28" s="78" t="s">
        <v>299</v>
      </c>
      <c r="C28" s="80" t="b">
        <v>1</v>
      </c>
      <c r="D28" s="78" t="s">
        <v>254</v>
      </c>
    </row>
    <row r="29" spans="1:4" ht="57.6" x14ac:dyDescent="0.3">
      <c r="A29" s="78" t="s">
        <v>300</v>
      </c>
      <c r="B29" s="78" t="s">
        <v>301</v>
      </c>
      <c r="C29" s="80" t="b">
        <v>1</v>
      </c>
      <c r="D29" s="78" t="s">
        <v>245</v>
      </c>
    </row>
    <row r="30" spans="1:4" ht="43.2" x14ac:dyDescent="0.3">
      <c r="A30" s="78" t="s">
        <v>302</v>
      </c>
      <c r="B30" s="78" t="s">
        <v>303</v>
      </c>
      <c r="C30" s="80" t="b">
        <v>1</v>
      </c>
      <c r="D30" s="78" t="s">
        <v>254</v>
      </c>
    </row>
    <row r="31" spans="1:4" ht="43.2" x14ac:dyDescent="0.3">
      <c r="A31" s="78" t="s">
        <v>304</v>
      </c>
      <c r="B31" s="78" t="s">
        <v>151</v>
      </c>
      <c r="C31" s="80" t="b">
        <v>1</v>
      </c>
      <c r="D31" s="78" t="s">
        <v>254</v>
      </c>
    </row>
    <row r="32" spans="1:4" ht="43.2" x14ac:dyDescent="0.3">
      <c r="A32" s="78" t="s">
        <v>305</v>
      </c>
      <c r="B32" s="78" t="s">
        <v>306</v>
      </c>
      <c r="C32" s="80" t="b">
        <v>1</v>
      </c>
      <c r="D32" s="78" t="s">
        <v>254</v>
      </c>
    </row>
    <row r="33" spans="1:4" ht="43.2" x14ac:dyDescent="0.3">
      <c r="A33" s="78" t="s">
        <v>307</v>
      </c>
      <c r="B33" s="78" t="s">
        <v>308</v>
      </c>
      <c r="C33" s="80" t="b">
        <v>1</v>
      </c>
      <c r="D33" s="78" t="s">
        <v>254</v>
      </c>
    </row>
    <row r="34" spans="1:4" ht="43.2" x14ac:dyDescent="0.3">
      <c r="A34" s="78" t="s">
        <v>309</v>
      </c>
      <c r="B34" s="78" t="s">
        <v>310</v>
      </c>
      <c r="C34" s="80" t="b">
        <v>0</v>
      </c>
      <c r="D34" s="78" t="s">
        <v>254</v>
      </c>
    </row>
    <row r="35" spans="1:4" ht="43.2" x14ac:dyDescent="0.3">
      <c r="A35" s="78" t="s">
        <v>311</v>
      </c>
      <c r="B35" s="78" t="s">
        <v>312</v>
      </c>
      <c r="C35" s="80" t="b">
        <v>1</v>
      </c>
      <c r="D35" s="78" t="s">
        <v>254</v>
      </c>
    </row>
    <row r="36" spans="1:4" ht="43.2" x14ac:dyDescent="0.3">
      <c r="A36" s="78" t="s">
        <v>313</v>
      </c>
      <c r="B36" s="78" t="s">
        <v>314</v>
      </c>
      <c r="C36" s="80" t="b">
        <v>1</v>
      </c>
      <c r="D36" s="78" t="s">
        <v>254</v>
      </c>
    </row>
    <row r="37" spans="1:4" ht="43.2" x14ac:dyDescent="0.3">
      <c r="A37" s="78" t="s">
        <v>315</v>
      </c>
      <c r="B37" s="78" t="s">
        <v>316</v>
      </c>
      <c r="C37" s="80" t="b">
        <v>0</v>
      </c>
      <c r="D37" s="78" t="s">
        <v>254</v>
      </c>
    </row>
    <row r="38" spans="1:4" ht="43.2" x14ac:dyDescent="0.3">
      <c r="A38" s="78" t="s">
        <v>317</v>
      </c>
      <c r="B38" s="78" t="s">
        <v>318</v>
      </c>
      <c r="C38" s="80" t="b">
        <v>1</v>
      </c>
      <c r="D38" s="78" t="s">
        <v>254</v>
      </c>
    </row>
    <row r="39" spans="1:4" ht="43.2" x14ac:dyDescent="0.3">
      <c r="A39" s="78" t="s">
        <v>319</v>
      </c>
      <c r="B39" s="78" t="s">
        <v>320</v>
      </c>
      <c r="C39" s="80" t="b">
        <v>1</v>
      </c>
      <c r="D39" s="78" t="s">
        <v>254</v>
      </c>
    </row>
    <row r="40" spans="1:4" ht="57.6" x14ac:dyDescent="0.3">
      <c r="A40" s="78" t="s">
        <v>321</v>
      </c>
      <c r="B40" s="78" t="s">
        <v>322</v>
      </c>
      <c r="C40" s="80" t="b">
        <v>1</v>
      </c>
      <c r="D40" s="78" t="s">
        <v>245</v>
      </c>
    </row>
    <row r="41" spans="1:4" ht="57.6" x14ac:dyDescent="0.3">
      <c r="A41" s="78" t="s">
        <v>323</v>
      </c>
      <c r="B41" s="78" t="s">
        <v>324</v>
      </c>
      <c r="C41" s="80" t="b">
        <v>1</v>
      </c>
      <c r="D41" s="78" t="s">
        <v>325</v>
      </c>
    </row>
    <row r="42" spans="1:4" ht="43.2" x14ac:dyDescent="0.3">
      <c r="A42" s="78" t="s">
        <v>326</v>
      </c>
      <c r="B42" s="78" t="s">
        <v>327</v>
      </c>
      <c r="C42" s="80" t="b">
        <v>1</v>
      </c>
      <c r="D42" s="78" t="s">
        <v>259</v>
      </c>
    </row>
    <row r="43" spans="1:4" ht="43.2" x14ac:dyDescent="0.3">
      <c r="A43" s="78" t="s">
        <v>328</v>
      </c>
      <c r="B43" s="78" t="s">
        <v>329</v>
      </c>
      <c r="C43" s="80" t="b">
        <v>1</v>
      </c>
      <c r="D43" s="78" t="s">
        <v>254</v>
      </c>
    </row>
    <row r="44" spans="1:4" ht="43.2" x14ac:dyDescent="0.3">
      <c r="A44" s="78" t="s">
        <v>330</v>
      </c>
      <c r="B44" s="78" t="s">
        <v>331</v>
      </c>
      <c r="C44" s="80" t="b">
        <v>1</v>
      </c>
      <c r="D44" s="78" t="s">
        <v>254</v>
      </c>
    </row>
    <row r="45" spans="1:4" ht="57.6" x14ac:dyDescent="0.3">
      <c r="A45" s="78" t="s">
        <v>332</v>
      </c>
      <c r="B45" s="78" t="s">
        <v>333</v>
      </c>
      <c r="C45" s="80" t="b">
        <v>1</v>
      </c>
      <c r="D45" s="78" t="s">
        <v>245</v>
      </c>
    </row>
    <row r="46" spans="1:4" ht="57.6" x14ac:dyDescent="0.3">
      <c r="A46" s="78" t="s">
        <v>334</v>
      </c>
      <c r="B46" s="78" t="s">
        <v>335</v>
      </c>
      <c r="C46" s="80" t="b">
        <v>1</v>
      </c>
      <c r="D46" s="78" t="s">
        <v>336</v>
      </c>
    </row>
    <row r="47" spans="1:4" ht="43.2" x14ac:dyDescent="0.3">
      <c r="A47" s="78" t="s">
        <v>337</v>
      </c>
      <c r="B47" s="78" t="s">
        <v>338</v>
      </c>
      <c r="C47" s="80" t="b">
        <v>1</v>
      </c>
      <c r="D47" s="78" t="s">
        <v>259</v>
      </c>
    </row>
    <row r="48" spans="1:4" ht="43.2" x14ac:dyDescent="0.3">
      <c r="A48" s="78" t="s">
        <v>339</v>
      </c>
      <c r="B48" s="78" t="s">
        <v>340</v>
      </c>
      <c r="C48" s="80" t="b">
        <v>1</v>
      </c>
      <c r="D48" s="78" t="s">
        <v>341</v>
      </c>
    </row>
    <row r="49" spans="1:4" ht="57.6" x14ac:dyDescent="0.3">
      <c r="A49" s="78" t="s">
        <v>342</v>
      </c>
      <c r="B49" s="78" t="s">
        <v>343</v>
      </c>
      <c r="C49" s="80" t="b">
        <v>1</v>
      </c>
      <c r="D49" s="78" t="s">
        <v>344</v>
      </c>
    </row>
    <row r="50" spans="1:4" ht="28.8" x14ac:dyDescent="0.3">
      <c r="A50" s="78" t="s">
        <v>345</v>
      </c>
      <c r="B50" s="78" t="s">
        <v>346</v>
      </c>
      <c r="C50" s="80" t="b">
        <v>0</v>
      </c>
      <c r="D50" s="78" t="s">
        <v>347</v>
      </c>
    </row>
    <row r="51" spans="1:4" ht="43.2" x14ac:dyDescent="0.3">
      <c r="A51" s="78" t="s">
        <v>348</v>
      </c>
      <c r="B51" s="78" t="s">
        <v>349</v>
      </c>
      <c r="C51" s="80" t="b">
        <v>1</v>
      </c>
      <c r="D51" s="78" t="s">
        <v>350</v>
      </c>
    </row>
    <row r="52" spans="1:4" ht="43.2" x14ac:dyDescent="0.3">
      <c r="A52" s="78" t="s">
        <v>351</v>
      </c>
      <c r="B52" s="78" t="s">
        <v>352</v>
      </c>
      <c r="C52" s="80" t="b">
        <v>1</v>
      </c>
      <c r="D52" s="78" t="s">
        <v>259</v>
      </c>
    </row>
    <row r="53" spans="1:4" ht="43.2" x14ac:dyDescent="0.3">
      <c r="A53" s="78" t="s">
        <v>353</v>
      </c>
      <c r="B53" s="78" t="s">
        <v>354</v>
      </c>
      <c r="C53" s="80" t="b">
        <v>1</v>
      </c>
      <c r="D53" s="78" t="s">
        <v>355</v>
      </c>
    </row>
    <row r="54" spans="1:4" ht="43.2" x14ac:dyDescent="0.3">
      <c r="A54" s="78" t="s">
        <v>356</v>
      </c>
      <c r="B54" s="78" t="s">
        <v>357</v>
      </c>
      <c r="C54" s="80" t="b">
        <v>1</v>
      </c>
      <c r="D54" s="78" t="s">
        <v>358</v>
      </c>
    </row>
    <row r="55" spans="1:4" ht="43.2" x14ac:dyDescent="0.3">
      <c r="A55" s="78" t="s">
        <v>359</v>
      </c>
      <c r="B55" s="78" t="s">
        <v>360</v>
      </c>
      <c r="C55" s="80" t="b">
        <v>0</v>
      </c>
      <c r="D55" s="78" t="s">
        <v>358</v>
      </c>
    </row>
    <row r="56" spans="1:4" ht="43.2" x14ac:dyDescent="0.3">
      <c r="A56" s="78" t="s">
        <v>361</v>
      </c>
      <c r="B56" s="78" t="s">
        <v>362</v>
      </c>
      <c r="C56" s="80" t="b">
        <v>0</v>
      </c>
      <c r="D56" s="78" t="s">
        <v>358</v>
      </c>
    </row>
    <row r="57" spans="1:4" ht="43.2" x14ac:dyDescent="0.3">
      <c r="A57" s="78" t="s">
        <v>363</v>
      </c>
      <c r="B57" s="78" t="s">
        <v>364</v>
      </c>
      <c r="C57" s="80" t="b">
        <v>0</v>
      </c>
      <c r="D57" s="78" t="s">
        <v>358</v>
      </c>
    </row>
    <row r="58" spans="1:4" ht="43.2" x14ac:dyDescent="0.3">
      <c r="A58" s="78" t="s">
        <v>365</v>
      </c>
      <c r="B58" s="78" t="s">
        <v>366</v>
      </c>
      <c r="C58" s="80" t="b">
        <v>0</v>
      </c>
      <c r="D58" s="78" t="s">
        <v>358</v>
      </c>
    </row>
    <row r="59" spans="1:4" ht="43.2" x14ac:dyDescent="0.3">
      <c r="A59" s="78" t="s">
        <v>367</v>
      </c>
      <c r="B59" s="78" t="s">
        <v>368</v>
      </c>
      <c r="C59" s="80" t="b">
        <v>0</v>
      </c>
      <c r="D59" s="78" t="s">
        <v>358</v>
      </c>
    </row>
    <row r="60" spans="1:4" ht="43.2" x14ac:dyDescent="0.3">
      <c r="A60" s="78" t="s">
        <v>369</v>
      </c>
      <c r="B60" s="78" t="s">
        <v>370</v>
      </c>
      <c r="C60" s="80" t="b">
        <v>0</v>
      </c>
      <c r="D60" s="78" t="s">
        <v>358</v>
      </c>
    </row>
    <row r="61" spans="1:4" ht="43.2" x14ac:dyDescent="0.3">
      <c r="A61" s="78" t="s">
        <v>371</v>
      </c>
      <c r="B61" s="78" t="s">
        <v>372</v>
      </c>
      <c r="C61" s="80" t="b">
        <v>0</v>
      </c>
      <c r="D61" s="78" t="s">
        <v>358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B696F-E74D-4AD0-AE52-B46589CF15F5}">
  <sheetPr codeName="Planilha7"/>
  <dimension ref="A1:E61"/>
  <sheetViews>
    <sheetView workbookViewId="0">
      <selection activeCell="C1" sqref="C1:C1048576"/>
    </sheetView>
  </sheetViews>
  <sheetFormatPr defaultRowHeight="14.4" x14ac:dyDescent="0.3"/>
  <cols>
    <col min="1" max="1" width="41.33203125" style="85" bestFit="1" customWidth="1"/>
    <col min="2" max="2" width="73.109375" style="85" customWidth="1"/>
    <col min="3" max="3" width="14" customWidth="1"/>
    <col min="4" max="4" width="31" style="85" customWidth="1"/>
    <col min="5" max="5" width="41.6640625" style="85" customWidth="1"/>
    <col min="6" max="16384" width="8.88671875" style="85"/>
  </cols>
  <sheetData>
    <row r="1" spans="1:5" x14ac:dyDescent="0.3">
      <c r="A1" s="77" t="s">
        <v>95</v>
      </c>
      <c r="B1" s="77" t="s">
        <v>96</v>
      </c>
      <c r="C1" s="77" t="s">
        <v>496</v>
      </c>
      <c r="D1" s="77" t="s">
        <v>104</v>
      </c>
      <c r="E1" s="77" t="s">
        <v>495</v>
      </c>
    </row>
    <row r="2" spans="1:5" ht="28.8" x14ac:dyDescent="0.3">
      <c r="A2" s="85" t="s">
        <v>374</v>
      </c>
      <c r="B2" s="86" t="s">
        <v>383</v>
      </c>
      <c r="C2" s="80" t="b">
        <v>1</v>
      </c>
      <c r="D2" s="85" t="s">
        <v>384</v>
      </c>
      <c r="E2" s="78"/>
    </row>
    <row r="3" spans="1:5" ht="28.8" x14ac:dyDescent="0.3">
      <c r="A3" s="85" t="s">
        <v>375</v>
      </c>
      <c r="B3" s="86" t="s">
        <v>385</v>
      </c>
      <c r="C3" s="80" t="b">
        <v>1</v>
      </c>
      <c r="D3" s="85" t="s">
        <v>384</v>
      </c>
      <c r="E3" s="78"/>
    </row>
    <row r="4" spans="1:5" ht="28.8" x14ac:dyDescent="0.3">
      <c r="A4" s="85" t="s">
        <v>376</v>
      </c>
      <c r="B4" s="86" t="s">
        <v>386</v>
      </c>
      <c r="C4" s="80" t="b">
        <v>1</v>
      </c>
      <c r="D4" s="85" t="s">
        <v>384</v>
      </c>
      <c r="E4" s="78"/>
    </row>
    <row r="5" spans="1:5" ht="28.8" x14ac:dyDescent="0.3">
      <c r="A5" s="85" t="s">
        <v>377</v>
      </c>
      <c r="B5" s="86" t="s">
        <v>387</v>
      </c>
      <c r="C5" s="80" t="b">
        <v>1</v>
      </c>
      <c r="D5" s="85" t="s">
        <v>384</v>
      </c>
      <c r="E5" s="78"/>
    </row>
    <row r="6" spans="1:5" ht="28.8" x14ac:dyDescent="0.3">
      <c r="A6" s="85" t="s">
        <v>378</v>
      </c>
      <c r="B6" s="86" t="s">
        <v>388</v>
      </c>
      <c r="C6" s="80" t="b">
        <v>1</v>
      </c>
      <c r="D6" s="85" t="s">
        <v>384</v>
      </c>
      <c r="E6" s="78"/>
    </row>
    <row r="7" spans="1:5" ht="28.8" x14ac:dyDescent="0.3">
      <c r="A7" s="85" t="s">
        <v>379</v>
      </c>
      <c r="B7" s="86" t="s">
        <v>389</v>
      </c>
      <c r="C7" s="80" t="b">
        <v>0</v>
      </c>
      <c r="D7" s="85" t="s">
        <v>384</v>
      </c>
    </row>
    <row r="8" spans="1:5" ht="28.8" x14ac:dyDescent="0.3">
      <c r="A8" s="85" t="s">
        <v>380</v>
      </c>
      <c r="B8" s="86" t="s">
        <v>390</v>
      </c>
      <c r="C8" s="80" t="b">
        <v>1</v>
      </c>
      <c r="D8" s="85" t="s">
        <v>384</v>
      </c>
    </row>
    <row r="9" spans="1:5" ht="28.8" x14ac:dyDescent="0.3">
      <c r="A9" s="85" t="s">
        <v>381</v>
      </c>
      <c r="B9" s="86" t="s">
        <v>391</v>
      </c>
      <c r="C9" s="80" t="b">
        <v>0</v>
      </c>
      <c r="D9" s="85" t="s">
        <v>384</v>
      </c>
    </row>
    <row r="10" spans="1:5" x14ac:dyDescent="0.3">
      <c r="A10" s="85" t="s">
        <v>382</v>
      </c>
      <c r="B10" s="86" t="s">
        <v>392</v>
      </c>
      <c r="C10" s="80" t="b">
        <v>1</v>
      </c>
      <c r="D10" s="85" t="s">
        <v>384</v>
      </c>
    </row>
    <row r="11" spans="1:5" x14ac:dyDescent="0.3">
      <c r="C11" s="80"/>
    </row>
    <row r="12" spans="1:5" x14ac:dyDescent="0.3">
      <c r="C12" s="80"/>
    </row>
    <row r="13" spans="1:5" x14ac:dyDescent="0.3">
      <c r="C13" s="80"/>
    </row>
    <row r="14" spans="1:5" x14ac:dyDescent="0.3">
      <c r="C14" s="80"/>
    </row>
    <row r="15" spans="1:5" x14ac:dyDescent="0.3">
      <c r="C15" s="80"/>
    </row>
    <row r="16" spans="1:5" x14ac:dyDescent="0.3">
      <c r="C16" s="80"/>
    </row>
    <row r="17" spans="3:3" x14ac:dyDescent="0.3">
      <c r="C17" s="80"/>
    </row>
    <row r="18" spans="3:3" x14ac:dyDescent="0.3">
      <c r="C18" s="80"/>
    </row>
    <row r="19" spans="3:3" x14ac:dyDescent="0.3">
      <c r="C19" s="80"/>
    </row>
    <row r="20" spans="3:3" x14ac:dyDescent="0.3">
      <c r="C20" s="80"/>
    </row>
    <row r="21" spans="3:3" x14ac:dyDescent="0.3">
      <c r="C21" s="80"/>
    </row>
    <row r="22" spans="3:3" x14ac:dyDescent="0.3">
      <c r="C22" s="80"/>
    </row>
    <row r="23" spans="3:3" x14ac:dyDescent="0.3">
      <c r="C23" s="80"/>
    </row>
    <row r="24" spans="3:3" x14ac:dyDescent="0.3">
      <c r="C24" s="80"/>
    </row>
    <row r="25" spans="3:3" x14ac:dyDescent="0.3">
      <c r="C25" s="80"/>
    </row>
    <row r="26" spans="3:3" x14ac:dyDescent="0.3">
      <c r="C26" s="80"/>
    </row>
    <row r="27" spans="3:3" x14ac:dyDescent="0.3">
      <c r="C27" s="80"/>
    </row>
    <row r="28" spans="3:3" x14ac:dyDescent="0.3">
      <c r="C28" s="80"/>
    </row>
    <row r="29" spans="3:3" x14ac:dyDescent="0.3">
      <c r="C29" s="80"/>
    </row>
    <row r="30" spans="3:3" x14ac:dyDescent="0.3">
      <c r="C30" s="80"/>
    </row>
    <row r="31" spans="3:3" x14ac:dyDescent="0.3">
      <c r="C31" s="80"/>
    </row>
    <row r="32" spans="3:3" x14ac:dyDescent="0.3">
      <c r="C32" s="80"/>
    </row>
    <row r="33" spans="3:3" x14ac:dyDescent="0.3">
      <c r="C33" s="80"/>
    </row>
    <row r="34" spans="3:3" x14ac:dyDescent="0.3">
      <c r="C34" s="80"/>
    </row>
    <row r="35" spans="3:3" x14ac:dyDescent="0.3">
      <c r="C35" s="80"/>
    </row>
    <row r="36" spans="3:3" x14ac:dyDescent="0.3">
      <c r="C36" s="80"/>
    </row>
    <row r="37" spans="3:3" x14ac:dyDescent="0.3">
      <c r="C37" s="80"/>
    </row>
    <row r="38" spans="3:3" x14ac:dyDescent="0.3">
      <c r="C38" s="80"/>
    </row>
    <row r="39" spans="3:3" x14ac:dyDescent="0.3">
      <c r="C39" s="80"/>
    </row>
    <row r="40" spans="3:3" x14ac:dyDescent="0.3">
      <c r="C40" s="80"/>
    </row>
    <row r="41" spans="3:3" x14ac:dyDescent="0.3">
      <c r="C41" s="80"/>
    </row>
    <row r="42" spans="3:3" x14ac:dyDescent="0.3">
      <c r="C42" s="80"/>
    </row>
    <row r="43" spans="3:3" x14ac:dyDescent="0.3">
      <c r="C43" s="80"/>
    </row>
    <row r="44" spans="3:3" x14ac:dyDescent="0.3">
      <c r="C44" s="80"/>
    </row>
    <row r="45" spans="3:3" x14ac:dyDescent="0.3">
      <c r="C45" s="80"/>
    </row>
    <row r="46" spans="3:3" x14ac:dyDescent="0.3">
      <c r="C46" s="80"/>
    </row>
    <row r="47" spans="3:3" x14ac:dyDescent="0.3">
      <c r="C47" s="80"/>
    </row>
    <row r="48" spans="3:3" x14ac:dyDescent="0.3">
      <c r="C48" s="80"/>
    </row>
    <row r="49" spans="3:3" x14ac:dyDescent="0.3">
      <c r="C49" s="80"/>
    </row>
    <row r="50" spans="3:3" x14ac:dyDescent="0.3">
      <c r="C50" s="80"/>
    </row>
    <row r="51" spans="3:3" x14ac:dyDescent="0.3">
      <c r="C51" s="80"/>
    </row>
    <row r="52" spans="3:3" x14ac:dyDescent="0.3">
      <c r="C52" s="80"/>
    </row>
    <row r="53" spans="3:3" x14ac:dyDescent="0.3">
      <c r="C53" s="80"/>
    </row>
    <row r="54" spans="3:3" x14ac:dyDescent="0.3">
      <c r="C54" s="80"/>
    </row>
    <row r="55" spans="3:3" x14ac:dyDescent="0.3">
      <c r="C55" s="80"/>
    </row>
    <row r="56" spans="3:3" x14ac:dyDescent="0.3">
      <c r="C56" s="80"/>
    </row>
    <row r="57" spans="3:3" x14ac:dyDescent="0.3">
      <c r="C57" s="80"/>
    </row>
    <row r="58" spans="3:3" x14ac:dyDescent="0.3">
      <c r="C58" s="80"/>
    </row>
    <row r="59" spans="3:3" x14ac:dyDescent="0.3">
      <c r="C59" s="80"/>
    </row>
    <row r="60" spans="3:3" x14ac:dyDescent="0.3">
      <c r="C60" s="80"/>
    </row>
    <row r="61" spans="3:3" x14ac:dyDescent="0.3">
      <c r="C61" s="8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Silva de Morais</cp:lastModifiedBy>
  <dcterms:created xsi:type="dcterms:W3CDTF">2026-07-30T08:28:12Z</dcterms:created>
  <dcterms:modified xsi:type="dcterms:W3CDTF">2026-07-31T16:24:40Z</dcterms:modified>
</cp:coreProperties>
</file>