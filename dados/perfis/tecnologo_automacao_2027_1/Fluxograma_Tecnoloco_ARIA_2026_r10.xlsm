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EstaPastaDeTrabalho"/>
  <mc:AlternateContent xmlns:mc="http://schemas.openxmlformats.org/markup-compatibility/2006">
    <mc:Choice Requires="x15">
      <x15ac:absPath xmlns:x15ac="http://schemas.microsoft.com/office/spreadsheetml/2010/11/ac" url="G:\Meu Drive\Josue\03 Gestao UFU\13 PPCs\00_PPC_EngC&amp;A\PPC 2026\"/>
    </mc:Choice>
  </mc:AlternateContent>
  <xr:revisionPtr revIDLastSave="0" documentId="13_ncr:1_{56234C33-DECD-4826-A2B2-A69C94701E16}" xr6:coauthVersionLast="47" xr6:coauthVersionMax="47" xr10:uidLastSave="{00000000-0000-0000-0000-000000000000}"/>
  <bookViews>
    <workbookView xWindow="-28920" yWindow="-90" windowWidth="29040" windowHeight="15720" activeTab="3" xr2:uid="{00000000-000D-0000-FFFF-FFFF00000000}"/>
  </bookViews>
  <sheets>
    <sheet name="CalcProf" sheetId="32" r:id="rId1"/>
    <sheet name="Diagrama Tecnólogo" sheetId="31" r:id="rId2"/>
    <sheet name="Diagrama Antigo" sheetId="9" state="hidden" r:id="rId3"/>
    <sheet name="Apresentação" sheetId="22" r:id="rId4"/>
    <sheet name="Fluxograma" sheetId="23" r:id="rId5"/>
    <sheet name="Novo-Antigo" sheetId="25" r:id="rId6"/>
    <sheet name="Antigo-Novo" sheetId="26" r:id="rId7"/>
    <sheet name="Núcleos" sheetId="35" r:id="rId8"/>
    <sheet name="Competencias" sheetId="27" r:id="rId9"/>
  </sheets>
  <definedNames>
    <definedName name="_xlnm._FilterDatabase" localSheetId="3" hidden="1">Apresentação!#REF!</definedName>
    <definedName name="_Toc417250723" localSheetId="3">Apresentação!$B$13</definedName>
    <definedName name="_xleta.AND" hidden="1" xlm="1">#NAME?</definedName>
    <definedName name="_xleta.LEFT" hidden="1" xlm="1">#NAME?</definedName>
    <definedName name="_xleta.SUM" hidden="1" xlm="1">#NAME?</definedName>
    <definedName name="_xlnm.Print_Area" localSheetId="2">'Diagrama Antigo'!$A$1:$AY$69</definedName>
    <definedName name="_xlnm.Print_Area" localSheetId="1">'Diagrama Tecnólogo'!$A$1:$AY$70</definedName>
    <definedName name="Z_03057C24_3972_48DC_9925_6C2B4C888F74_.wvu.PrintArea" localSheetId="2" hidden="1">'Diagrama Antigo'!$A$1:$BA$60</definedName>
    <definedName name="Z_03057C24_3972_48DC_9925_6C2B4C888F74_.wvu.PrintArea" localSheetId="1" hidden="1">'Diagrama Tecnólogo'!$A$1:$BA$60</definedName>
  </definedNames>
  <calcPr calcId="191028"/>
  <customWorkbookViews>
    <customWorkbookView name="teste" guid="{03057C24-3972-48DC-9925-6C2B4C888F74}" includeHiddenRowCol="0" maximized="1" xWindow="-1928" yWindow="-8" windowWidth="1936" windowHeight="105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3" i="31" l="1"/>
  <c r="M23" i="31"/>
  <c r="E38" i="22"/>
  <c r="D38" i="22"/>
  <c r="F37" i="22"/>
  <c r="F36" i="22"/>
  <c r="F35" i="22"/>
  <c r="F34" i="22"/>
  <c r="F33" i="22"/>
  <c r="F32" i="22"/>
  <c r="F31" i="22"/>
  <c r="F30" i="22"/>
  <c r="F29" i="22"/>
  <c r="F28" i="22"/>
  <c r="F27" i="22"/>
  <c r="F26" i="22"/>
  <c r="F25" i="22"/>
  <c r="F24" i="22"/>
  <c r="F23" i="22"/>
  <c r="F22" i="22"/>
  <c r="F21" i="22"/>
  <c r="F20" i="22"/>
  <c r="F19" i="22"/>
  <c r="F18" i="22"/>
  <c r="F17" i="22"/>
  <c r="F16" i="22"/>
  <c r="F38" i="22" l="1"/>
  <c r="C4" i="22" s="1"/>
  <c r="C28" i="31" l="1"/>
  <c r="K5" i="32" l="1"/>
  <c r="H6" i="31"/>
  <c r="I6" i="31"/>
  <c r="M6" i="31"/>
  <c r="N6" i="31"/>
  <c r="R6" i="31"/>
  <c r="S6" i="31"/>
  <c r="W6" i="31"/>
  <c r="X6" i="31"/>
  <c r="AB6" i="31"/>
  <c r="AC6" i="31"/>
  <c r="AD6" i="31"/>
  <c r="BA11" i="31"/>
  <c r="BA8" i="31"/>
  <c r="K20" i="32"/>
  <c r="D6" i="31" l="1"/>
  <c r="C33" i="31"/>
  <c r="BA9" i="31"/>
  <c r="C6" i="31"/>
  <c r="E6" i="31"/>
  <c r="C23" i="31"/>
  <c r="C18" i="31"/>
  <c r="C13" i="31"/>
  <c r="B35" i="31" s="1"/>
  <c r="E36" i="31"/>
  <c r="E31" i="31"/>
  <c r="E26" i="31"/>
  <c r="H8" i="31" l="1"/>
  <c r="B5" i="23"/>
  <c r="F104" i="22" a="1"/>
  <c r="F104" i="22" s="1"/>
  <c r="E104" i="22" a="1"/>
  <c r="E104" i="22" s="1"/>
  <c r="D104" i="22" a="1"/>
  <c r="D104" i="22" s="1"/>
  <c r="B104" i="22" a="1"/>
  <c r="B104" i="22" s="1"/>
  <c r="F102" i="22" a="1"/>
  <c r="F102" i="22" s="1"/>
  <c r="E102" i="22" a="1"/>
  <c r="E102" i="22" s="1"/>
  <c r="D102" i="22" a="1"/>
  <c r="D102" i="22" s="1"/>
  <c r="B102" i="22" a="1"/>
  <c r="B102" i="22" s="1"/>
  <c r="F93" i="22" a="1"/>
  <c r="F93" i="22" s="1"/>
  <c r="E93" i="22" a="1"/>
  <c r="E93" i="22" s="1"/>
  <c r="D93" i="22" a="1"/>
  <c r="D93" i="22" s="1"/>
  <c r="B93" i="22" a="1"/>
  <c r="B93" i="22" s="1"/>
  <c r="F92" i="22" a="1"/>
  <c r="F92" i="22" s="1"/>
  <c r="E92" i="22" a="1"/>
  <c r="E92" i="22" s="1"/>
  <c r="D92" i="22" a="1"/>
  <c r="D92" i="22" s="1"/>
  <c r="B92" i="22" a="1"/>
  <c r="B92" i="22" s="1"/>
  <c r="F77" i="22" a="1"/>
  <c r="F77" i="22" s="1"/>
  <c r="E77" i="22" a="1"/>
  <c r="E77" i="22" s="1"/>
  <c r="D77" i="22" a="1"/>
  <c r="D77" i="22" s="1"/>
  <c r="B77" i="22" a="1"/>
  <c r="B77" i="22" s="1"/>
  <c r="F76" i="22" a="1"/>
  <c r="F76" i="22" s="1"/>
  <c r="E76" i="22" a="1"/>
  <c r="E76" i="22" s="1"/>
  <c r="D76" i="22" a="1"/>
  <c r="D76" i="22" s="1"/>
  <c r="B76" i="22" a="1"/>
  <c r="B76" i="22" s="1"/>
  <c r="F75" i="22" a="1"/>
  <c r="F75" i="22" s="1"/>
  <c r="E75" i="22" a="1"/>
  <c r="E75" i="22" s="1"/>
  <c r="D75" i="22" a="1"/>
  <c r="D75" i="22" s="1"/>
  <c r="B75" i="22" a="1"/>
  <c r="B75" i="22" s="1"/>
  <c r="F74" i="22" a="1"/>
  <c r="F74" i="22" s="1"/>
  <c r="E74" i="22" a="1"/>
  <c r="E74" i="22" s="1"/>
  <c r="D74" i="22" a="1"/>
  <c r="D74" i="22" s="1"/>
  <c r="B74" i="22" a="1"/>
  <c r="B74" i="22" s="1"/>
  <c r="F57" i="22" a="1"/>
  <c r="F57" i="22" s="1"/>
  <c r="E57" i="22" a="1"/>
  <c r="E57" i="22" s="1"/>
  <c r="D57" i="22" a="1"/>
  <c r="D57" i="22" s="1"/>
  <c r="B57" i="22" a="1"/>
  <c r="B57" i="22" s="1"/>
  <c r="F56" i="22" a="1"/>
  <c r="F56" i="22" s="1"/>
  <c r="E56" i="22" a="1"/>
  <c r="E56" i="22" s="1"/>
  <c r="D56" i="22" a="1"/>
  <c r="D56" i="22" s="1"/>
  <c r="B56" i="22" a="1"/>
  <c r="B56" i="22" s="1"/>
  <c r="F55" i="22" a="1"/>
  <c r="F55" i="22" s="1"/>
  <c r="E55" i="22" a="1"/>
  <c r="E55" i="22" s="1"/>
  <c r="D55" i="22" a="1"/>
  <c r="D55" i="22" s="1"/>
  <c r="B55" i="22" a="1"/>
  <c r="B55" i="22" s="1"/>
  <c r="F54" i="22" a="1"/>
  <c r="F54" i="22" s="1"/>
  <c r="E54" i="22" a="1"/>
  <c r="E54" i="22" s="1"/>
  <c r="D54" i="22" a="1"/>
  <c r="D54" i="22" s="1"/>
  <c r="B54" i="22" a="1"/>
  <c r="B54" i="22" s="1"/>
  <c r="F53" i="22" a="1"/>
  <c r="F53" i="22" s="1"/>
  <c r="E53" i="22" a="1"/>
  <c r="E53" i="22" s="1"/>
  <c r="D53" i="22" a="1"/>
  <c r="D53" i="22" s="1"/>
  <c r="B53" i="22" a="1"/>
  <c r="B53" i="22" s="1"/>
  <c r="B5" i="35"/>
  <c r="C5" i="35"/>
  <c r="F5" i="35"/>
  <c r="G5" i="35"/>
  <c r="H5" i="35"/>
  <c r="B6" i="35"/>
  <c r="C6" i="35"/>
  <c r="F6" i="35"/>
  <c r="G6" i="35"/>
  <c r="F7" i="35"/>
  <c r="G7" i="35"/>
  <c r="H7" i="35"/>
  <c r="F8" i="35"/>
  <c r="G8" i="35"/>
  <c r="H8" i="35"/>
  <c r="F9" i="35"/>
  <c r="G9" i="35"/>
  <c r="H9" i="35"/>
  <c r="B10" i="35"/>
  <c r="C10" i="35"/>
  <c r="F10" i="35"/>
  <c r="G10" i="35"/>
  <c r="H10" i="35"/>
  <c r="F11" i="35"/>
  <c r="G11" i="35"/>
  <c r="H11" i="35"/>
  <c r="F12" i="35"/>
  <c r="G12" i="35"/>
  <c r="H12" i="35"/>
  <c r="F13" i="35"/>
  <c r="G13" i="35"/>
  <c r="H13" i="35"/>
  <c r="F14" i="35"/>
  <c r="D43" i="22" s="1" a="1"/>
  <c r="D43" i="22" s="1"/>
  <c r="G14" i="35"/>
  <c r="E43" i="22" s="1" a="1"/>
  <c r="E43" i="22" s="1"/>
  <c r="F15" i="35"/>
  <c r="D44" i="22" s="1" a="1"/>
  <c r="D44" i="22" s="1"/>
  <c r="G15" i="35"/>
  <c r="E44" i="22" s="1" a="1"/>
  <c r="E44" i="22" s="1"/>
  <c r="F16" i="35"/>
  <c r="G16" i="35"/>
  <c r="H16" i="35"/>
  <c r="F17" i="35"/>
  <c r="G17" i="35"/>
  <c r="F18" i="35"/>
  <c r="G18" i="35"/>
  <c r="F19" i="35"/>
  <c r="G19" i="35"/>
  <c r="F20" i="35"/>
  <c r="D45" i="22" s="1" a="1"/>
  <c r="D45" i="22" s="1"/>
  <c r="G20" i="35"/>
  <c r="E45" i="22" s="1" a="1"/>
  <c r="E45" i="22" s="1"/>
  <c r="F21" i="35"/>
  <c r="D46" i="22" s="1" a="1"/>
  <c r="D46" i="22" s="1"/>
  <c r="G21" i="35"/>
  <c r="E46" i="22" s="1" a="1"/>
  <c r="E46" i="22" s="1"/>
  <c r="F22" i="35"/>
  <c r="D47" i="22" s="1" a="1"/>
  <c r="D47" i="22" s="1"/>
  <c r="G22" i="35"/>
  <c r="E47" i="22" s="1" a="1"/>
  <c r="E47" i="22" s="1"/>
  <c r="F23" i="35"/>
  <c r="G23" i="35"/>
  <c r="H23" i="35"/>
  <c r="F24" i="35"/>
  <c r="D48" i="22" s="1" a="1"/>
  <c r="D48" i="22" s="1"/>
  <c r="G24" i="35"/>
  <c r="E48" i="22" s="1" a="1"/>
  <c r="E48" i="22" s="1"/>
  <c r="F25" i="35"/>
  <c r="D49" i="22" s="1" a="1"/>
  <c r="D49" i="22" s="1"/>
  <c r="G25" i="35"/>
  <c r="E49" i="22" s="1" a="1"/>
  <c r="E49" i="22" s="1"/>
  <c r="H25" i="35"/>
  <c r="F49" i="22" s="1" a="1"/>
  <c r="F49" i="22" s="1"/>
  <c r="F26" i="35"/>
  <c r="D89" i="22" s="1" a="1"/>
  <c r="D89" i="22" s="1"/>
  <c r="G26" i="35"/>
  <c r="E89" i="22" s="1" a="1"/>
  <c r="E89" i="22" s="1"/>
  <c r="H26" i="35"/>
  <c r="F89" i="22" s="1" a="1"/>
  <c r="F89" i="22" s="1"/>
  <c r="F27" i="35"/>
  <c r="D50" i="22" s="1" a="1"/>
  <c r="D50" i="22" s="1"/>
  <c r="G27" i="35"/>
  <c r="E50" i="22" s="1" a="1"/>
  <c r="E50" i="22" s="1"/>
  <c r="F28" i="35"/>
  <c r="D51" i="22" s="1" a="1"/>
  <c r="D51" i="22" s="1"/>
  <c r="G28" i="35"/>
  <c r="E51" i="22" s="1" a="1"/>
  <c r="E51" i="22" s="1"/>
  <c r="F29" i="35"/>
  <c r="D63" i="22" s="1" a="1"/>
  <c r="D63" i="22" s="1"/>
  <c r="G29" i="35"/>
  <c r="E63" i="22" s="1" a="1"/>
  <c r="E63" i="22" s="1"/>
  <c r="F30" i="35"/>
  <c r="D64" i="22" s="1" a="1"/>
  <c r="D64" i="22" s="1"/>
  <c r="G30" i="35"/>
  <c r="E64" i="22" s="1" a="1"/>
  <c r="E64" i="22" s="1"/>
  <c r="H30" i="35"/>
  <c r="F64" i="22" s="1" a="1"/>
  <c r="F64" i="22" s="1"/>
  <c r="F31" i="35"/>
  <c r="D65" i="22" s="1" a="1"/>
  <c r="D65" i="22" s="1"/>
  <c r="G31" i="35"/>
  <c r="E65" i="22" s="1" a="1"/>
  <c r="E65" i="22" s="1"/>
  <c r="F32" i="35"/>
  <c r="D52" i="22" s="1" a="1"/>
  <c r="D52" i="22" s="1"/>
  <c r="G32" i="35"/>
  <c r="E52" i="22" s="1" a="1"/>
  <c r="E52" i="22" s="1"/>
  <c r="H32" i="35"/>
  <c r="F52" i="22" s="1" a="1"/>
  <c r="F52" i="22" s="1"/>
  <c r="F33" i="35"/>
  <c r="D90" i="22" s="1" a="1"/>
  <c r="D90" i="22" s="1"/>
  <c r="G33" i="35"/>
  <c r="E90" i="22" s="1" a="1"/>
  <c r="E90" i="22" s="1"/>
  <c r="H33" i="35"/>
  <c r="F90" i="22" s="1" a="1"/>
  <c r="F90" i="22" s="1"/>
  <c r="F34" i="35"/>
  <c r="D66" i="22" s="1" a="1"/>
  <c r="D66" i="22" s="1"/>
  <c r="G34" i="35"/>
  <c r="E66" i="22" s="1" a="1"/>
  <c r="E66" i="22" s="1"/>
  <c r="H34" i="35"/>
  <c r="F66" i="22" s="1" a="1"/>
  <c r="F66" i="22" s="1"/>
  <c r="F35" i="35"/>
  <c r="D67" i="22" s="1" a="1"/>
  <c r="D67" i="22" s="1"/>
  <c r="G35" i="35"/>
  <c r="E67" i="22" s="1" a="1"/>
  <c r="E67" i="22" s="1"/>
  <c r="H35" i="35"/>
  <c r="F67" i="22" s="1" a="1"/>
  <c r="F67" i="22" s="1"/>
  <c r="F36" i="35"/>
  <c r="D68" i="22" s="1" a="1"/>
  <c r="D68" i="22" s="1"/>
  <c r="G36" i="35"/>
  <c r="E68" i="22" s="1" a="1"/>
  <c r="E68" i="22" s="1"/>
  <c r="H36" i="35"/>
  <c r="F68" i="22" s="1" a="1"/>
  <c r="F68" i="22" s="1"/>
  <c r="F37" i="35"/>
  <c r="D69" i="22" s="1" a="1"/>
  <c r="D69" i="22" s="1"/>
  <c r="G37" i="35"/>
  <c r="E69" i="22" s="1" a="1"/>
  <c r="E69" i="22" s="1"/>
  <c r="F38" i="35"/>
  <c r="D70" i="22" s="1" a="1"/>
  <c r="D70" i="22" s="1"/>
  <c r="G38" i="35"/>
  <c r="E70" i="22" s="1" a="1"/>
  <c r="E70" i="22" s="1"/>
  <c r="F39" i="35"/>
  <c r="C111" i="22" s="1" a="1"/>
  <c r="C111" i="22" s="1"/>
  <c r="G39" i="35"/>
  <c r="D111" i="22" s="1" a="1"/>
  <c r="D111" i="22" s="1"/>
  <c r="H39" i="35"/>
  <c r="E111" i="22" s="1" a="1"/>
  <c r="E111" i="22" s="1"/>
  <c r="F40" i="35"/>
  <c r="D91" i="22" s="1" a="1"/>
  <c r="D91" i="22" s="1"/>
  <c r="G40" i="35"/>
  <c r="E91" i="22" s="1" a="1"/>
  <c r="E91" i="22" s="1"/>
  <c r="H40" i="35"/>
  <c r="F91" i="22" s="1" a="1"/>
  <c r="F91" i="22" s="1"/>
  <c r="F41" i="35"/>
  <c r="D71" i="22" s="1" a="1"/>
  <c r="D71" i="22" s="1"/>
  <c r="G41" i="35"/>
  <c r="E71" i="22" s="1" a="1"/>
  <c r="E71" i="22" s="1"/>
  <c r="H41" i="35"/>
  <c r="F71" i="22" s="1" a="1"/>
  <c r="F71" i="22" s="1"/>
  <c r="F42" i="35"/>
  <c r="D72" i="22" s="1" a="1"/>
  <c r="D72" i="22" s="1"/>
  <c r="G42" i="35"/>
  <c r="E72" i="22" s="1" a="1"/>
  <c r="E72" i="22" s="1"/>
  <c r="H42" i="35"/>
  <c r="F72" i="22" s="1" a="1"/>
  <c r="F72" i="22" s="1"/>
  <c r="F43" i="35"/>
  <c r="D73" i="22" s="1" a="1"/>
  <c r="D73" i="22" s="1"/>
  <c r="G43" i="35"/>
  <c r="E73" i="22" s="1" a="1"/>
  <c r="E73" i="22" s="1"/>
  <c r="H43" i="35"/>
  <c r="F73" i="22" s="1" a="1"/>
  <c r="F73" i="22" s="1"/>
  <c r="F44" i="35"/>
  <c r="D100" i="22" s="1" a="1"/>
  <c r="D100" i="22" s="1"/>
  <c r="G44" i="35"/>
  <c r="E100" i="22" s="1" a="1"/>
  <c r="E100" i="22" s="1"/>
  <c r="H44" i="35"/>
  <c r="F100" i="22" s="1" a="1"/>
  <c r="F100" i="22" s="1"/>
  <c r="F45" i="35"/>
  <c r="D82" i="22" s="1" a="1"/>
  <c r="D82" i="22" s="1"/>
  <c r="G45" i="35"/>
  <c r="E82" i="22" s="1" a="1"/>
  <c r="E82" i="22" s="1"/>
  <c r="H45" i="35"/>
  <c r="F82" i="22" s="1" a="1"/>
  <c r="F82" i="22" s="1"/>
  <c r="B46" i="35"/>
  <c r="C46" i="35"/>
  <c r="B112" i="22" s="1" a="1"/>
  <c r="B112" i="22" s="1"/>
  <c r="F46" i="35"/>
  <c r="C112" i="22" s="1" a="1"/>
  <c r="C112" i="22" s="1"/>
  <c r="G46" i="35"/>
  <c r="D112" i="22" s="1" a="1"/>
  <c r="D112" i="22" s="1"/>
  <c r="H46" i="35"/>
  <c r="E112" i="22" s="1" a="1"/>
  <c r="E112" i="22" s="1"/>
  <c r="B47" i="35"/>
  <c r="C47" i="35"/>
  <c r="B113" i="22" s="1" a="1"/>
  <c r="B113" i="22" s="1"/>
  <c r="F47" i="35"/>
  <c r="C113" i="22" s="1" a="1"/>
  <c r="C113" i="22" s="1"/>
  <c r="G47" i="35"/>
  <c r="D113" i="22" s="1" a="1"/>
  <c r="D113" i="22" s="1"/>
  <c r="H47" i="35"/>
  <c r="E113" i="22" s="1" a="1"/>
  <c r="E113" i="22" s="1"/>
  <c r="B48" i="35"/>
  <c r="C48" i="35"/>
  <c r="B114" i="22" s="1" a="1"/>
  <c r="B114" i="22" s="1"/>
  <c r="F48" i="35"/>
  <c r="C114" i="22" s="1" a="1"/>
  <c r="C114" i="22" s="1"/>
  <c r="G48" i="35"/>
  <c r="D114" i="22" s="1" a="1"/>
  <c r="D114" i="22" s="1"/>
  <c r="H48" i="35"/>
  <c r="E114" i="22" s="1" a="1"/>
  <c r="E114" i="22" s="1"/>
  <c r="B49" i="35"/>
  <c r="C49" i="35"/>
  <c r="B115" i="22" s="1" a="1"/>
  <c r="B115" i="22" s="1"/>
  <c r="F49" i="35"/>
  <c r="C115" i="22" s="1" a="1"/>
  <c r="C115" i="22" s="1"/>
  <c r="G49" i="35"/>
  <c r="D115" i="22" s="1" a="1"/>
  <c r="D115" i="22" s="1"/>
  <c r="H49" i="35"/>
  <c r="E115" i="22" s="1" a="1"/>
  <c r="E115" i="22" s="1"/>
  <c r="B50" i="35"/>
  <c r="C50" i="35"/>
  <c r="B116" i="22" s="1" a="1"/>
  <c r="B116" i="22" s="1"/>
  <c r="F50" i="35"/>
  <c r="C116" i="22" s="1" a="1"/>
  <c r="C116" i="22" s="1"/>
  <c r="G50" i="35"/>
  <c r="D116" i="22" s="1" a="1"/>
  <c r="D116" i="22" s="1"/>
  <c r="H50" i="35"/>
  <c r="E116" i="22" s="1" a="1"/>
  <c r="E116" i="22" s="1"/>
  <c r="B51" i="35"/>
  <c r="C51" i="35"/>
  <c r="B117" i="22" s="1" a="1"/>
  <c r="B117" i="22" s="1"/>
  <c r="F51" i="35"/>
  <c r="C117" i="22" s="1" a="1"/>
  <c r="C117" i="22" s="1"/>
  <c r="G51" i="35"/>
  <c r="D117" i="22" s="1" a="1"/>
  <c r="D117" i="22" s="1"/>
  <c r="H51" i="35"/>
  <c r="E117" i="22" s="1" a="1"/>
  <c r="E117" i="22" s="1"/>
  <c r="B52" i="35"/>
  <c r="C52" i="35"/>
  <c r="B118" i="22" s="1" a="1"/>
  <c r="B118" i="22" s="1"/>
  <c r="F52" i="35"/>
  <c r="C118" i="22" s="1" a="1"/>
  <c r="C118" i="22" s="1"/>
  <c r="G52" i="35"/>
  <c r="D118" i="22" s="1" a="1"/>
  <c r="D118" i="22" s="1"/>
  <c r="H52" i="35"/>
  <c r="E118" i="22" s="1" a="1"/>
  <c r="E118" i="22" s="1"/>
  <c r="B53" i="35"/>
  <c r="C53" i="35"/>
  <c r="B119" i="22" s="1" a="1"/>
  <c r="B119" i="22" s="1"/>
  <c r="F53" i="35"/>
  <c r="C119" i="22" s="1" a="1"/>
  <c r="C119" i="22" s="1"/>
  <c r="G53" i="35"/>
  <c r="D119" i="22" s="1" a="1"/>
  <c r="D119" i="22" s="1"/>
  <c r="H53" i="35"/>
  <c r="E119" i="22" s="1" a="1"/>
  <c r="E119" i="22" s="1"/>
  <c r="B54" i="35"/>
  <c r="C54" i="35"/>
  <c r="B120" i="22" s="1" a="1"/>
  <c r="B120" i="22" s="1"/>
  <c r="F54" i="35"/>
  <c r="C120" i="22" s="1" a="1"/>
  <c r="C120" i="22" s="1"/>
  <c r="G54" i="35"/>
  <c r="D120" i="22" s="1" a="1"/>
  <c r="D120" i="22" s="1"/>
  <c r="H54" i="35"/>
  <c r="E120" i="22" s="1" a="1"/>
  <c r="E120" i="22" s="1"/>
  <c r="B55" i="35"/>
  <c r="C55" i="35"/>
  <c r="B121" i="22" s="1" a="1"/>
  <c r="B121" i="22" s="1"/>
  <c r="F55" i="35"/>
  <c r="C121" i="22" s="1" a="1"/>
  <c r="C121" i="22" s="1"/>
  <c r="G55" i="35"/>
  <c r="D121" i="22" s="1" a="1"/>
  <c r="D121" i="22" s="1"/>
  <c r="H55" i="35"/>
  <c r="E121" i="22" s="1" a="1"/>
  <c r="E121" i="22" s="1"/>
  <c r="B56" i="35"/>
  <c r="C56" i="35"/>
  <c r="B122" i="22" s="1" a="1"/>
  <c r="B122" i="22" s="1"/>
  <c r="F56" i="35"/>
  <c r="C122" i="22" s="1" a="1"/>
  <c r="C122" i="22" s="1"/>
  <c r="G56" i="35"/>
  <c r="D122" i="22" s="1" a="1"/>
  <c r="D122" i="22" s="1"/>
  <c r="H56" i="35"/>
  <c r="E122" i="22" s="1" a="1"/>
  <c r="E122" i="22" s="1"/>
  <c r="B57" i="35"/>
  <c r="C57" i="35"/>
  <c r="B123" i="22" s="1" a="1"/>
  <c r="B123" i="22" s="1"/>
  <c r="F57" i="35"/>
  <c r="C123" i="22" s="1" a="1"/>
  <c r="C123" i="22" s="1"/>
  <c r="G57" i="35"/>
  <c r="D123" i="22" s="1" a="1"/>
  <c r="D123" i="22" s="1"/>
  <c r="H57" i="35"/>
  <c r="E123" i="22" s="1" a="1"/>
  <c r="E123" i="22" s="1"/>
  <c r="B58" i="35"/>
  <c r="C58" i="35"/>
  <c r="B124" i="22" s="1" a="1"/>
  <c r="B124" i="22" s="1"/>
  <c r="F58" i="35"/>
  <c r="C124" i="22" s="1" a="1"/>
  <c r="C124" i="22" s="1"/>
  <c r="G58" i="35"/>
  <c r="D124" i="22" s="1" a="1"/>
  <c r="D124" i="22" s="1"/>
  <c r="H58" i="35"/>
  <c r="E124" i="22" s="1" a="1"/>
  <c r="E124" i="22" s="1"/>
  <c r="B59" i="35"/>
  <c r="C59" i="35"/>
  <c r="B125" i="22" s="1" a="1"/>
  <c r="B125" i="22" s="1"/>
  <c r="F59" i="35"/>
  <c r="C125" i="22" s="1" a="1"/>
  <c r="C125" i="22" s="1"/>
  <c r="G59" i="35"/>
  <c r="D125" i="22" s="1" a="1"/>
  <c r="D125" i="22" s="1"/>
  <c r="H59" i="35"/>
  <c r="E125" i="22" s="1" a="1"/>
  <c r="E125" i="22" s="1"/>
  <c r="B60" i="35"/>
  <c r="C60" i="35"/>
  <c r="B126" i="22" s="1" a="1"/>
  <c r="B126" i="22" s="1"/>
  <c r="F60" i="35"/>
  <c r="C126" i="22" s="1" a="1"/>
  <c r="C126" i="22" s="1"/>
  <c r="G60" i="35"/>
  <c r="D126" i="22" s="1" a="1"/>
  <c r="D126" i="22" s="1"/>
  <c r="H60" i="35"/>
  <c r="E126" i="22" s="1" a="1"/>
  <c r="E126" i="22" s="1"/>
  <c r="B61" i="35"/>
  <c r="C61" i="35"/>
  <c r="B127" i="22" s="1" a="1"/>
  <c r="B127" i="22" s="1"/>
  <c r="F61" i="35"/>
  <c r="C127" i="22" s="1" a="1"/>
  <c r="C127" i="22" s="1"/>
  <c r="G61" i="35"/>
  <c r="D127" i="22" s="1" a="1"/>
  <c r="D127" i="22" s="1"/>
  <c r="H61" i="35"/>
  <c r="E127" i="22" s="1" a="1"/>
  <c r="E127" i="22" s="1"/>
  <c r="B62" i="35"/>
  <c r="C62" i="35"/>
  <c r="B128" i="22" s="1" a="1"/>
  <c r="B128" i="22" s="1"/>
  <c r="F62" i="35"/>
  <c r="C128" i="22" s="1" a="1"/>
  <c r="C128" i="22" s="1"/>
  <c r="G62" i="35"/>
  <c r="D128" i="22" s="1" a="1"/>
  <c r="D128" i="22" s="1"/>
  <c r="H62" i="35"/>
  <c r="E128" i="22" s="1" a="1"/>
  <c r="E128" i="22" s="1"/>
  <c r="B63" i="35"/>
  <c r="C63" i="35"/>
  <c r="B129" i="22" s="1" a="1"/>
  <c r="B129" i="22" s="1"/>
  <c r="F63" i="35"/>
  <c r="C129" i="22" s="1" a="1"/>
  <c r="C129" i="22" s="1"/>
  <c r="G63" i="35"/>
  <c r="D129" i="22" s="1" a="1"/>
  <c r="D129" i="22" s="1"/>
  <c r="H63" i="35"/>
  <c r="E129" i="22" s="1" a="1"/>
  <c r="E129" i="22" s="1"/>
  <c r="B64" i="35"/>
  <c r="C64" i="35"/>
  <c r="F64" i="35"/>
  <c r="G64" i="35"/>
  <c r="H64" i="35"/>
  <c r="B43" i="27"/>
  <c r="B61" i="27"/>
  <c r="B60" i="27"/>
  <c r="B59" i="27"/>
  <c r="B58" i="27"/>
  <c r="B57" i="27"/>
  <c r="B56" i="27"/>
  <c r="B55" i="27"/>
  <c r="B54" i="27"/>
  <c r="B53" i="27"/>
  <c r="B52" i="27"/>
  <c r="B51" i="27"/>
  <c r="B50" i="27"/>
  <c r="B49" i="27"/>
  <c r="B48" i="27"/>
  <c r="B47" i="27"/>
  <c r="B46" i="27"/>
  <c r="B45" i="27"/>
  <c r="B44" i="27"/>
  <c r="B9" i="27"/>
  <c r="B8" i="27"/>
  <c r="B4" i="27"/>
  <c r="B3" i="27"/>
  <c r="H83" i="23"/>
  <c r="G83" i="23"/>
  <c r="F83" i="23"/>
  <c r="D83" i="23"/>
  <c r="B83" i="23"/>
  <c r="H82" i="23"/>
  <c r="G82" i="23"/>
  <c r="F82" i="23"/>
  <c r="D82" i="23"/>
  <c r="B82" i="23"/>
  <c r="H81" i="23"/>
  <c r="G81" i="23"/>
  <c r="F81" i="23"/>
  <c r="D81" i="23"/>
  <c r="B81" i="23"/>
  <c r="H80" i="23"/>
  <c r="G80" i="23"/>
  <c r="F80" i="23"/>
  <c r="D80" i="23"/>
  <c r="B80" i="23"/>
  <c r="H79" i="23"/>
  <c r="G79" i="23"/>
  <c r="F79" i="23"/>
  <c r="D79" i="23"/>
  <c r="B79" i="23"/>
  <c r="H78" i="23"/>
  <c r="G78" i="23"/>
  <c r="F78" i="23"/>
  <c r="D78" i="23"/>
  <c r="B78" i="23"/>
  <c r="H77" i="23"/>
  <c r="G77" i="23"/>
  <c r="F77" i="23"/>
  <c r="D77" i="23"/>
  <c r="B77" i="23"/>
  <c r="H76" i="23"/>
  <c r="G76" i="23"/>
  <c r="F76" i="23"/>
  <c r="D76" i="23"/>
  <c r="B76" i="23"/>
  <c r="H75" i="23"/>
  <c r="G75" i="23"/>
  <c r="F75" i="23"/>
  <c r="D75" i="23"/>
  <c r="B75" i="23"/>
  <c r="H74" i="23"/>
  <c r="G74" i="23"/>
  <c r="F74" i="23"/>
  <c r="D74" i="23"/>
  <c r="B74" i="23"/>
  <c r="H73" i="23"/>
  <c r="G73" i="23"/>
  <c r="F73" i="23"/>
  <c r="D73" i="23"/>
  <c r="B73" i="23"/>
  <c r="H72" i="23"/>
  <c r="G72" i="23"/>
  <c r="F72" i="23"/>
  <c r="D72" i="23"/>
  <c r="B72" i="23"/>
  <c r="H71" i="23"/>
  <c r="G71" i="23"/>
  <c r="F71" i="23"/>
  <c r="D71" i="23"/>
  <c r="B71" i="23"/>
  <c r="H70" i="23"/>
  <c r="G70" i="23"/>
  <c r="F70" i="23"/>
  <c r="D70" i="23"/>
  <c r="B70" i="23"/>
  <c r="H69" i="23"/>
  <c r="G69" i="23"/>
  <c r="F69" i="23"/>
  <c r="D69" i="23"/>
  <c r="B69" i="23"/>
  <c r="H68" i="23"/>
  <c r="G68" i="23"/>
  <c r="F68" i="23"/>
  <c r="D68" i="23"/>
  <c r="B68" i="23"/>
  <c r="H67" i="23"/>
  <c r="G67" i="23"/>
  <c r="F67" i="23"/>
  <c r="D67" i="23"/>
  <c r="B67" i="23"/>
  <c r="H66" i="23"/>
  <c r="G66" i="23"/>
  <c r="F66" i="23"/>
  <c r="D66" i="23"/>
  <c r="B66" i="23"/>
  <c r="H65" i="23"/>
  <c r="G65" i="23"/>
  <c r="F65" i="23"/>
  <c r="D65" i="23"/>
  <c r="B65" i="23"/>
  <c r="H58" i="23"/>
  <c r="G58" i="23"/>
  <c r="F58" i="23"/>
  <c r="H57" i="23"/>
  <c r="G57" i="23"/>
  <c r="F57" i="23"/>
  <c r="H56" i="23"/>
  <c r="G56" i="23"/>
  <c r="F56" i="23"/>
  <c r="H55" i="23"/>
  <c r="G55" i="23"/>
  <c r="F55" i="23"/>
  <c r="H54" i="23"/>
  <c r="G54" i="23"/>
  <c r="F54" i="23"/>
  <c r="H53" i="23"/>
  <c r="G53" i="23"/>
  <c r="F53" i="23"/>
  <c r="H49" i="23"/>
  <c r="G49" i="23"/>
  <c r="F49" i="23"/>
  <c r="G48" i="23"/>
  <c r="F48" i="23"/>
  <c r="G47" i="23"/>
  <c r="F47" i="23"/>
  <c r="H46" i="23"/>
  <c r="G46" i="23"/>
  <c r="F46" i="23"/>
  <c r="H45" i="23"/>
  <c r="G45" i="23"/>
  <c r="F45" i="23"/>
  <c r="H44" i="23"/>
  <c r="G44" i="23"/>
  <c r="F44" i="23"/>
  <c r="H43" i="23"/>
  <c r="G43" i="23"/>
  <c r="F43" i="23"/>
  <c r="H41" i="23"/>
  <c r="G41" i="23"/>
  <c r="F41" i="23"/>
  <c r="H40" i="23"/>
  <c r="G40" i="23"/>
  <c r="F40" i="23"/>
  <c r="H39" i="23"/>
  <c r="G39" i="23"/>
  <c r="F39" i="23"/>
  <c r="G38" i="23"/>
  <c r="F38" i="23"/>
  <c r="G37" i="23"/>
  <c r="F37" i="23"/>
  <c r="G36" i="23"/>
  <c r="F36" i="23"/>
  <c r="H35" i="23"/>
  <c r="G35" i="23"/>
  <c r="F35" i="23"/>
  <c r="G29" i="23"/>
  <c r="F29" i="23"/>
  <c r="G28" i="23"/>
  <c r="F28" i="23"/>
  <c r="H27" i="23"/>
  <c r="G27" i="23"/>
  <c r="F27" i="23"/>
  <c r="G26" i="23"/>
  <c r="F26" i="23"/>
  <c r="G25" i="23"/>
  <c r="F25" i="23"/>
  <c r="G24" i="23"/>
  <c r="F24" i="23"/>
  <c r="G22" i="23"/>
  <c r="F22" i="23"/>
  <c r="G21" i="23"/>
  <c r="F21" i="23"/>
  <c r="G20" i="23"/>
  <c r="F20" i="23"/>
  <c r="H19" i="23"/>
  <c r="G19" i="23"/>
  <c r="F19" i="23"/>
  <c r="G18" i="23"/>
  <c r="F18" i="23"/>
  <c r="G17" i="23"/>
  <c r="F17" i="23"/>
  <c r="H16" i="23"/>
  <c r="G16" i="23"/>
  <c r="F16" i="23"/>
  <c r="H12" i="23"/>
  <c r="G12" i="23"/>
  <c r="F12" i="23"/>
  <c r="H11" i="23"/>
  <c r="G11" i="23"/>
  <c r="F11" i="23"/>
  <c r="D11" i="23"/>
  <c r="B11" i="23"/>
  <c r="H10" i="23"/>
  <c r="G10" i="23"/>
  <c r="F10" i="23"/>
  <c r="D10" i="23"/>
  <c r="B10" i="23"/>
  <c r="H9" i="23"/>
  <c r="G9" i="23"/>
  <c r="F9" i="23"/>
  <c r="H8" i="23"/>
  <c r="G8" i="23"/>
  <c r="F8" i="23"/>
  <c r="H7" i="23"/>
  <c r="G7" i="23"/>
  <c r="F7" i="23"/>
  <c r="G6" i="23"/>
  <c r="F6" i="23"/>
  <c r="D6" i="23"/>
  <c r="B6" i="23"/>
  <c r="H5" i="23"/>
  <c r="G5" i="23"/>
  <c r="F5" i="23"/>
  <c r="D5" i="23"/>
  <c r="E55" i="31"/>
  <c r="H52" i="31"/>
  <c r="M52" i="31" s="1"/>
  <c r="R52" i="31" s="1"/>
  <c r="W52" i="31" s="1"/>
  <c r="AB52" i="31" s="1"/>
  <c r="AG52" i="31" s="1"/>
  <c r="AL52" i="31" s="1"/>
  <c r="AQ52" i="31" s="1"/>
  <c r="AV52" i="31" s="1"/>
  <c r="C57" i="31" s="1"/>
  <c r="H57" i="31" s="1"/>
  <c r="M57" i="31" s="1"/>
  <c r="R57" i="31" s="1"/>
  <c r="W57" i="31" s="1"/>
  <c r="AB57" i="31" s="1"/>
  <c r="AG57" i="31" s="1"/>
  <c r="AL57" i="31" s="1"/>
  <c r="AQ57" i="31" s="1"/>
  <c r="AD36" i="31"/>
  <c r="D9" i="23"/>
  <c r="Y41" i="31"/>
  <c r="T41" i="31"/>
  <c r="O31" i="31"/>
  <c r="J36" i="31"/>
  <c r="H22" i="23" s="1"/>
  <c r="L30" i="31"/>
  <c r="Y36" i="31"/>
  <c r="H48" i="23" s="1"/>
  <c r="T36" i="31"/>
  <c r="H29" i="23"/>
  <c r="J31" i="31"/>
  <c r="H18" i="35" s="1"/>
  <c r="G29" i="31"/>
  <c r="B13" i="35"/>
  <c r="Y31" i="31"/>
  <c r="Y6" i="31" s="1"/>
  <c r="T31" i="31"/>
  <c r="O36" i="31"/>
  <c r="H24" i="35" s="1"/>
  <c r="F48" i="22" s="1" a="1"/>
  <c r="F48" i="22" s="1"/>
  <c r="E16" i="31"/>
  <c r="AD26" i="31"/>
  <c r="Y26" i="31"/>
  <c r="T26" i="31"/>
  <c r="O26" i="31"/>
  <c r="J26" i="31"/>
  <c r="G24" i="31"/>
  <c r="AD21" i="31"/>
  <c r="Y21" i="31"/>
  <c r="T21" i="31"/>
  <c r="H28" i="35" s="1"/>
  <c r="F51" i="22" s="1" a="1"/>
  <c r="F51" i="22" s="1"/>
  <c r="O21" i="31"/>
  <c r="J21" i="31"/>
  <c r="H15" i="35" s="1"/>
  <c r="F44" i="22" s="1" a="1"/>
  <c r="F44" i="22" s="1"/>
  <c r="G20" i="31"/>
  <c r="AD16" i="31"/>
  <c r="Y16" i="31"/>
  <c r="T16" i="31"/>
  <c r="H36" i="23" s="1"/>
  <c r="O16" i="31"/>
  <c r="H21" i="35" s="1"/>
  <c r="F46" i="22" s="1" a="1"/>
  <c r="F46" i="22" s="1"/>
  <c r="J16" i="31"/>
  <c r="C21" i="31"/>
  <c r="G15" i="31"/>
  <c r="AD11" i="31"/>
  <c r="Y11" i="31"/>
  <c r="T11" i="31"/>
  <c r="O11" i="31"/>
  <c r="J11" i="31"/>
  <c r="E11" i="31"/>
  <c r="G10" i="31"/>
  <c r="AS60" i="31"/>
  <c r="AN60" i="31"/>
  <c r="AI60" i="31"/>
  <c r="AD60" i="31"/>
  <c r="Y60" i="31"/>
  <c r="T60" i="31"/>
  <c r="O60" i="31"/>
  <c r="J60" i="31"/>
  <c r="E60" i="31"/>
  <c r="AX55" i="31"/>
  <c r="AS55" i="31"/>
  <c r="AN55" i="31"/>
  <c r="AI55" i="31"/>
  <c r="AD55" i="31"/>
  <c r="Y55" i="31"/>
  <c r="T55" i="31"/>
  <c r="O55" i="31"/>
  <c r="J55" i="31"/>
  <c r="H25" i="23" l="1"/>
  <c r="H18" i="23"/>
  <c r="T6" i="31"/>
  <c r="H37" i="23"/>
  <c r="H27" i="35"/>
  <c r="F50" i="22" s="1" a="1"/>
  <c r="F50" i="22" s="1"/>
  <c r="J6" i="31"/>
  <c r="H17" i="23"/>
  <c r="H14" i="35"/>
  <c r="F43" i="22" s="1" a="1"/>
  <c r="F43" i="22" s="1"/>
  <c r="O6" i="31"/>
  <c r="BA7" i="31" s="1"/>
  <c r="I5" i="32" s="1"/>
  <c r="H26" i="23"/>
  <c r="H22" i="35"/>
  <c r="F47" i="22" s="1" a="1"/>
  <c r="F47" i="22" s="1"/>
  <c r="H38" i="35"/>
  <c r="F70" i="22" s="1" a="1"/>
  <c r="F70" i="22" s="1"/>
  <c r="H31" i="35"/>
  <c r="F65" i="22" s="1" a="1"/>
  <c r="F65" i="22" s="1"/>
  <c r="H37" i="35"/>
  <c r="F69" i="22" s="1" a="1"/>
  <c r="F69" i="22" s="1"/>
  <c r="H47" i="23"/>
  <c r="H29" i="35"/>
  <c r="F63" i="22" s="1" a="1"/>
  <c r="F63" i="22" s="1"/>
  <c r="H38" i="23"/>
  <c r="H24" i="23"/>
  <c r="H20" i="35"/>
  <c r="F45" i="22" s="1" a="1"/>
  <c r="F45" i="22" s="1"/>
  <c r="H6" i="35"/>
  <c r="C11" i="35"/>
  <c r="B11" i="35"/>
  <c r="H19" i="35"/>
  <c r="H21" i="23"/>
  <c r="H17" i="35"/>
  <c r="H20" i="23"/>
  <c r="H28" i="23"/>
  <c r="C12" i="35"/>
  <c r="B10" i="27"/>
  <c r="B12" i="35"/>
  <c r="B11" i="27"/>
  <c r="B16" i="23"/>
  <c r="D16" i="23"/>
  <c r="C13" i="35"/>
  <c r="D12" i="23"/>
  <c r="B8" i="23"/>
  <c r="B6" i="27"/>
  <c r="C9" i="35"/>
  <c r="B5" i="27"/>
  <c r="C8" i="35"/>
  <c r="D8" i="23"/>
  <c r="B8" i="35"/>
  <c r="B7" i="27"/>
  <c r="D7" i="23"/>
  <c r="B7" i="23"/>
  <c r="B9" i="35"/>
  <c r="B9" i="23"/>
  <c r="C7" i="35"/>
  <c r="B7" i="35"/>
  <c r="H6" i="23"/>
  <c r="E21" i="31"/>
  <c r="L34" i="31"/>
  <c r="G35" i="31"/>
  <c r="BA13" i="31" l="1"/>
  <c r="BD27" i="31" s="1"/>
  <c r="K21" i="32"/>
  <c r="K26" i="32" s="1"/>
  <c r="K27" i="32" s="1"/>
  <c r="I20" i="32"/>
  <c r="L25" i="31"/>
  <c r="L10" i="31"/>
  <c r="H13" i="31"/>
  <c r="AJ14" i="31" l="1"/>
  <c r="D17" i="23"/>
  <c r="B17" i="23"/>
  <c r="B12" i="27"/>
  <c r="B14" i="35"/>
  <c r="C14" i="35"/>
  <c r="B43" i="22" s="1" a="1"/>
  <c r="B43" i="22" s="1"/>
  <c r="V14" i="31"/>
  <c r="G19" i="31"/>
  <c r="L15" i="31"/>
  <c r="L20" i="31"/>
  <c r="H18" i="31"/>
  <c r="AS60" i="9"/>
  <c r="AN60" i="9"/>
  <c r="AI60" i="9"/>
  <c r="AD60" i="9"/>
  <c r="Y60" i="9"/>
  <c r="T60" i="9"/>
  <c r="O60" i="9"/>
  <c r="J60" i="9"/>
  <c r="E60" i="9"/>
  <c r="V59" i="9"/>
  <c r="AX55" i="9"/>
  <c r="AS55" i="9"/>
  <c r="AN55" i="9"/>
  <c r="AI55" i="9"/>
  <c r="AD55" i="9"/>
  <c r="Y55" i="9"/>
  <c r="T55" i="9"/>
  <c r="O55" i="9"/>
  <c r="J55" i="9"/>
  <c r="E55" i="9"/>
  <c r="T46" i="9"/>
  <c r="O46" i="9"/>
  <c r="J46" i="9"/>
  <c r="Q45" i="9"/>
  <c r="L45" i="9"/>
  <c r="G45" i="9"/>
  <c r="AD41" i="9"/>
  <c r="Y41" i="9"/>
  <c r="T41" i="9"/>
  <c r="O41" i="9"/>
  <c r="J41" i="9"/>
  <c r="E41" i="9"/>
  <c r="AA40" i="9"/>
  <c r="V40" i="9"/>
  <c r="Q40" i="9"/>
  <c r="L40" i="9"/>
  <c r="G40" i="9"/>
  <c r="V39" i="9"/>
  <c r="L39" i="9"/>
  <c r="AN36" i="9"/>
  <c r="AI36" i="9"/>
  <c r="AD36" i="9"/>
  <c r="Y36" i="9"/>
  <c r="T36" i="9"/>
  <c r="O36" i="9"/>
  <c r="J36" i="9"/>
  <c r="E36" i="9"/>
  <c r="AK35" i="9"/>
  <c r="AF35" i="9"/>
  <c r="AA35" i="9"/>
  <c r="V35" i="9"/>
  <c r="Q35" i="9"/>
  <c r="L35" i="9"/>
  <c r="AF34" i="9"/>
  <c r="AA34" i="9"/>
  <c r="Q34" i="9"/>
  <c r="L34" i="9"/>
  <c r="AF33" i="9"/>
  <c r="Q33" i="9"/>
  <c r="AS31" i="9"/>
  <c r="AN31" i="9"/>
  <c r="AI31" i="9"/>
  <c r="AD31" i="9"/>
  <c r="Y31" i="9"/>
  <c r="T31" i="9"/>
  <c r="O31" i="9"/>
  <c r="J31" i="9"/>
  <c r="C31" i="9"/>
  <c r="E31" i="9" s="1"/>
  <c r="AK30" i="9"/>
  <c r="AF30" i="9"/>
  <c r="AA30" i="9"/>
  <c r="V30" i="9"/>
  <c r="Q30" i="9"/>
  <c r="L30" i="9"/>
  <c r="G30" i="9"/>
  <c r="AK29" i="9"/>
  <c r="AF29" i="9"/>
  <c r="AA29" i="9"/>
  <c r="V29" i="9"/>
  <c r="Q29" i="9"/>
  <c r="L29" i="9"/>
  <c r="Q28" i="9"/>
  <c r="L28" i="9"/>
  <c r="AS26" i="9"/>
  <c r="AN26" i="9"/>
  <c r="AI26" i="9"/>
  <c r="AD26" i="9"/>
  <c r="Y26" i="9"/>
  <c r="T26" i="9"/>
  <c r="O26" i="9"/>
  <c r="J26" i="9"/>
  <c r="E26" i="9"/>
  <c r="V25" i="9"/>
  <c r="L25" i="9"/>
  <c r="G25" i="9"/>
  <c r="AA24" i="9"/>
  <c r="V24" i="9"/>
  <c r="Q24" i="9"/>
  <c r="L24" i="9"/>
  <c r="AA23" i="9"/>
  <c r="V23" i="9"/>
  <c r="Q23" i="9"/>
  <c r="L23" i="9"/>
  <c r="AS21" i="9"/>
  <c r="AN21" i="9"/>
  <c r="AI21" i="9"/>
  <c r="AD21" i="9"/>
  <c r="Y21" i="9"/>
  <c r="T21" i="9"/>
  <c r="O21" i="9"/>
  <c r="J21" i="9"/>
  <c r="E21" i="9"/>
  <c r="AF20" i="9"/>
  <c r="AA20" i="9"/>
  <c r="V20" i="9"/>
  <c r="L20" i="9"/>
  <c r="G20" i="9"/>
  <c r="AA19" i="9"/>
  <c r="V19" i="9"/>
  <c r="Q19" i="9"/>
  <c r="L19" i="9"/>
  <c r="V18" i="9"/>
  <c r="Q18" i="9"/>
  <c r="L18" i="9"/>
  <c r="AS16" i="9"/>
  <c r="AN16" i="9"/>
  <c r="AI16" i="9"/>
  <c r="AD16" i="9"/>
  <c r="Y16" i="9"/>
  <c r="T16" i="9"/>
  <c r="O16" i="9"/>
  <c r="J16" i="9"/>
  <c r="E16" i="9"/>
  <c r="AF15" i="9"/>
  <c r="L15" i="9"/>
  <c r="G15" i="9"/>
  <c r="AF14" i="9"/>
  <c r="AA14" i="9"/>
  <c r="Q14" i="9"/>
  <c r="L14" i="9"/>
  <c r="AA13" i="9"/>
  <c r="Q13" i="9"/>
  <c r="AS11" i="9"/>
  <c r="AN11" i="9"/>
  <c r="AI11" i="9"/>
  <c r="AD11" i="9"/>
  <c r="Y11" i="9"/>
  <c r="T11" i="9"/>
  <c r="O11" i="9"/>
  <c r="J11" i="9"/>
  <c r="E11" i="9"/>
  <c r="AK10" i="9"/>
  <c r="AA10" i="9"/>
  <c r="L10" i="9"/>
  <c r="G10" i="9"/>
  <c r="Q9" i="9"/>
  <c r="AK8" i="9"/>
  <c r="Q8" i="9"/>
  <c r="B15" i="35" l="1"/>
  <c r="D18" i="23"/>
  <c r="C15" i="35"/>
  <c r="B44" i="22" s="1" a="1"/>
  <c r="B44" i="22" s="1"/>
  <c r="B18" i="23"/>
  <c r="B13" i="27"/>
  <c r="G14" i="31"/>
  <c r="H23" i="31"/>
  <c r="AA25" i="31"/>
  <c r="AA20" i="31"/>
  <c r="M28" i="31" l="1"/>
  <c r="B16" i="35"/>
  <c r="B14" i="27"/>
  <c r="C16" i="35"/>
  <c r="D19" i="23"/>
  <c r="B19" i="23"/>
  <c r="G30" i="31"/>
  <c r="H28" i="31" l="1"/>
  <c r="H33" i="31" s="1"/>
  <c r="C17" i="35"/>
  <c r="D20" i="23"/>
  <c r="B20" i="23"/>
  <c r="B15" i="27"/>
  <c r="B17" i="35"/>
  <c r="C191" i="22"/>
  <c r="C197" i="22" s="1"/>
  <c r="D192" i="22" s="1"/>
  <c r="D84" i="22"/>
  <c r="C7" i="22" s="1"/>
  <c r="C9" i="22"/>
  <c r="E94" i="22"/>
  <c r="D94" i="22"/>
  <c r="E78" i="22"/>
  <c r="D78" i="22"/>
  <c r="E58" i="22"/>
  <c r="D58" i="22"/>
  <c r="F151" i="22"/>
  <c r="F152" i="22"/>
  <c r="F153" i="22"/>
  <c r="F154" i="22"/>
  <c r="F155" i="22"/>
  <c r="F148" i="22"/>
  <c r="F149" i="22"/>
  <c r="F150" i="22"/>
  <c r="F144" i="22"/>
  <c r="F145" i="22"/>
  <c r="F146" i="22"/>
  <c r="F147" i="22"/>
  <c r="F139" i="22"/>
  <c r="F138" i="22"/>
  <c r="F137" i="22"/>
  <c r="F133" i="22"/>
  <c r="F134" i="22"/>
  <c r="F135" i="22"/>
  <c r="F136" i="22"/>
  <c r="F132" i="22"/>
  <c r="B18" i="35" l="1"/>
  <c r="B16" i="27"/>
  <c r="C18" i="35"/>
  <c r="B21" i="23"/>
  <c r="D21" i="23"/>
  <c r="G25" i="31"/>
  <c r="Q25" i="31"/>
  <c r="D191" i="22"/>
  <c r="D196" i="22"/>
  <c r="D195" i="22"/>
  <c r="D194" i="22"/>
  <c r="D193" i="22"/>
  <c r="F58" i="22"/>
  <c r="C5" i="22" s="1"/>
  <c r="F78" i="22"/>
  <c r="C6" i="22" s="1"/>
  <c r="F94" i="22"/>
  <c r="C8" i="22" s="1"/>
  <c r="F141" i="22"/>
  <c r="F157" i="22"/>
  <c r="AX6" i="9"/>
  <c r="AW6" i="9"/>
  <c r="AV6" i="9"/>
  <c r="AR6" i="9"/>
  <c r="AQ6" i="9"/>
  <c r="AM6" i="9"/>
  <c r="AL6" i="9"/>
  <c r="AH6" i="9"/>
  <c r="AG6" i="9"/>
  <c r="AC6" i="9"/>
  <c r="AB6" i="9"/>
  <c r="X6" i="9"/>
  <c r="W6" i="9"/>
  <c r="S6" i="9"/>
  <c r="R6" i="9"/>
  <c r="N6" i="9"/>
  <c r="M6" i="9"/>
  <c r="J6" i="9"/>
  <c r="I6" i="9"/>
  <c r="H6" i="9"/>
  <c r="D6" i="9"/>
  <c r="B17" i="27" l="1"/>
  <c r="D22" i="23"/>
  <c r="B22" i="23"/>
  <c r="B19" i="35"/>
  <c r="C19" i="35"/>
  <c r="Q34" i="31"/>
  <c r="M8" i="31"/>
  <c r="L35" i="31"/>
  <c r="D197" i="22"/>
  <c r="C11" i="22"/>
  <c r="D5" i="22" s="1"/>
  <c r="B24" i="23" l="1"/>
  <c r="B20" i="35"/>
  <c r="B18" i="27"/>
  <c r="C20" i="35"/>
  <c r="B45" i="22" s="1" a="1"/>
  <c r="B45" i="22" s="1"/>
  <c r="D24" i="23"/>
  <c r="Q40" i="31"/>
  <c r="M13" i="31"/>
  <c r="D7" i="22"/>
  <c r="D10" i="22"/>
  <c r="D4" i="22"/>
  <c r="D6" i="22"/>
  <c r="D9" i="22"/>
  <c r="D8" i="22"/>
  <c r="B19" i="27" l="1"/>
  <c r="B25" i="23"/>
  <c r="B21" i="35"/>
  <c r="D25" i="23"/>
  <c r="C21" i="35"/>
  <c r="B46" i="22" s="1" a="1"/>
  <c r="B46" i="22" s="1"/>
  <c r="Q14" i="31"/>
  <c r="M18" i="31"/>
  <c r="Q19" i="31"/>
  <c r="L19" i="31"/>
  <c r="V15" i="31"/>
  <c r="AS6" i="9"/>
  <c r="O6" i="9"/>
  <c r="T6" i="9"/>
  <c r="AI6" i="9"/>
  <c r="Y6" i="9"/>
  <c r="AN6" i="9"/>
  <c r="AD6" i="9"/>
  <c r="C6" i="9"/>
  <c r="D11" i="22"/>
  <c r="BA4" i="9"/>
  <c r="BA9" i="9"/>
  <c r="M33" i="31" l="1"/>
  <c r="R8" i="31" s="1"/>
  <c r="B22" i="35"/>
  <c r="B20" i="27"/>
  <c r="C22" i="35"/>
  <c r="B47" i="22" s="1" a="1"/>
  <c r="B47" i="22" s="1"/>
  <c r="D26" i="23"/>
  <c r="B26" i="23"/>
  <c r="L14" i="31"/>
  <c r="Q15" i="31"/>
  <c r="Q20" i="31"/>
  <c r="E6" i="9"/>
  <c r="BA10" i="9"/>
  <c r="BA11" i="9" s="1"/>
  <c r="BB10" i="9" s="1"/>
  <c r="D28" i="23" l="1"/>
  <c r="B28" i="23"/>
  <c r="B24" i="35"/>
  <c r="B22" i="27"/>
  <c r="C24" i="35"/>
  <c r="B48" i="22" s="1" a="1"/>
  <c r="B48" i="22" s="1"/>
  <c r="B23" i="35"/>
  <c r="C23" i="35"/>
  <c r="D27" i="23"/>
  <c r="B27" i="23"/>
  <c r="B21" i="27"/>
  <c r="Q30" i="31"/>
  <c r="BA13" i="9"/>
  <c r="B25" i="35" l="1"/>
  <c r="C25" i="35"/>
  <c r="B49" i="22" s="1" a="1"/>
  <c r="B49" i="22" s="1"/>
  <c r="B23" i="27"/>
  <c r="D29" i="23"/>
  <c r="B29" i="23"/>
  <c r="Q35" i="31"/>
  <c r="R13" i="31" l="1"/>
  <c r="B24" i="27"/>
  <c r="D35" i="23"/>
  <c r="B26" i="35"/>
  <c r="C26" i="35"/>
  <c r="B89" i="22" s="1" a="1"/>
  <c r="B89" i="22" s="1"/>
  <c r="B35" i="23"/>
  <c r="Q24" i="31"/>
  <c r="R18" i="31" l="1"/>
  <c r="D36" i="23"/>
  <c r="C27" i="35"/>
  <c r="B50" i="22" s="1" a="1"/>
  <c r="B50" i="22" s="1"/>
  <c r="B36" i="23"/>
  <c r="B25" i="27"/>
  <c r="B27" i="35"/>
  <c r="V24" i="31"/>
  <c r="Q18" i="31"/>
  <c r="B28" i="35" l="1"/>
  <c r="B37" i="23"/>
  <c r="B26" i="27"/>
  <c r="D37" i="23"/>
  <c r="C28" i="35"/>
  <c r="B51" i="22" s="1" a="1"/>
  <c r="B51" i="22" s="1"/>
  <c r="Q13" i="31"/>
  <c r="R28" i="31" l="1"/>
  <c r="V29" i="31" s="1"/>
  <c r="D38" i="23"/>
  <c r="C29" i="35"/>
  <c r="B63" i="22" s="1" a="1"/>
  <c r="B63" i="22" s="1"/>
  <c r="B38" i="23"/>
  <c r="B27" i="27"/>
  <c r="B29" i="35"/>
  <c r="R33" i="31" l="1"/>
  <c r="V30" i="31" s="1"/>
  <c r="D39" i="23"/>
  <c r="B39" i="23"/>
  <c r="B30" i="35"/>
  <c r="B28" i="27"/>
  <c r="C30" i="35"/>
  <c r="B64" i="22" s="1" a="1"/>
  <c r="B64" i="22" s="1"/>
  <c r="R38" i="31" l="1"/>
  <c r="V35" i="31" s="1"/>
  <c r="B40" i="23"/>
  <c r="C31" i="35"/>
  <c r="B65" i="22" s="1" a="1"/>
  <c r="B65" i="22" s="1"/>
  <c r="D40" i="23"/>
  <c r="B29" i="27"/>
  <c r="B31" i="35"/>
  <c r="W8" i="31" l="1"/>
  <c r="W13" i="31" s="1"/>
  <c r="V20" i="31"/>
  <c r="D41" i="23"/>
  <c r="B32" i="35"/>
  <c r="C32" i="35"/>
  <c r="B52" i="22" s="1" a="1"/>
  <c r="B52" i="22" s="1"/>
  <c r="B41" i="23"/>
  <c r="B30" i="27"/>
  <c r="D43" i="23" l="1"/>
  <c r="B43" i="23"/>
  <c r="B33" i="35"/>
  <c r="B31" i="27"/>
  <c r="C33" i="35"/>
  <c r="B90" i="22" s="1" a="1"/>
  <c r="B90" i="22" s="1"/>
  <c r="D44" i="23"/>
  <c r="B44" i="23"/>
  <c r="B32" i="27"/>
  <c r="B34" i="35"/>
  <c r="C34" i="35"/>
  <c r="B66" i="22" s="1" a="1"/>
  <c r="B66" i="22" s="1"/>
  <c r="W18" i="31"/>
  <c r="B35" i="35" l="1"/>
  <c r="C35" i="35"/>
  <c r="B67" i="22" s="1" a="1"/>
  <c r="B67" i="22" s="1"/>
  <c r="B45" i="23"/>
  <c r="D45" i="23"/>
  <c r="W23" i="31"/>
  <c r="B33" i="27"/>
  <c r="V34" i="31"/>
  <c r="B46" i="23" l="1"/>
  <c r="D46" i="23"/>
  <c r="B36" i="35"/>
  <c r="B34" i="27"/>
  <c r="C36" i="35"/>
  <c r="B68" i="22" s="1" a="1"/>
  <c r="B68" i="22" s="1"/>
  <c r="W28" i="31"/>
  <c r="B47" i="23" l="1"/>
  <c r="C37" i="35"/>
  <c r="B69" i="22" s="1" a="1"/>
  <c r="B69" i="22" s="1"/>
  <c r="D47" i="23"/>
  <c r="W33" i="31"/>
  <c r="B35" i="27"/>
  <c r="B37" i="35"/>
  <c r="V59" i="31"/>
  <c r="B38" i="35" l="1"/>
  <c r="C38" i="35"/>
  <c r="B70" i="22" s="1" a="1"/>
  <c r="B70" i="22" s="1"/>
  <c r="D48" i="23"/>
  <c r="B36" i="27"/>
  <c r="B48" i="23"/>
  <c r="W38" i="31"/>
  <c r="V25" i="31"/>
  <c r="V19" i="31"/>
  <c r="D49" i="23" l="1"/>
  <c r="B49" i="23"/>
  <c r="C39" i="35"/>
  <c r="B111" i="22" s="1" a="1"/>
  <c r="B111" i="22" s="1"/>
  <c r="AB8" i="31"/>
  <c r="B39" i="35"/>
  <c r="B40" i="35" l="1"/>
  <c r="C40" i="35"/>
  <c r="B91" i="22" s="1" a="1"/>
  <c r="B91" i="22" s="1"/>
  <c r="AB13" i="31"/>
  <c r="D53" i="23"/>
  <c r="B53" i="23"/>
  <c r="B37" i="27"/>
  <c r="D54" i="23" l="1"/>
  <c r="B54" i="23"/>
  <c r="AB18" i="31"/>
  <c r="B38" i="27"/>
  <c r="B41" i="35"/>
  <c r="C41" i="35"/>
  <c r="B71" i="22" s="1" a="1"/>
  <c r="B71" i="22" s="1"/>
  <c r="C42" i="35" l="1"/>
  <c r="B72" i="22" s="1" a="1"/>
  <c r="B72" i="22" s="1"/>
  <c r="AB23" i="31"/>
  <c r="B42" i="35"/>
  <c r="B39" i="27"/>
  <c r="D55" i="23"/>
  <c r="B55" i="23"/>
  <c r="AA24" i="31"/>
  <c r="AB28" i="31" l="1"/>
  <c r="B40" i="27"/>
  <c r="B43" i="35"/>
  <c r="C43" i="35"/>
  <c r="B73" i="22" s="1" a="1"/>
  <c r="B73" i="22" s="1"/>
  <c r="D56" i="23"/>
  <c r="B56" i="23"/>
  <c r="AA19" i="31"/>
  <c r="D57" i="23" l="1"/>
  <c r="AB33" i="31"/>
  <c r="B57" i="23"/>
  <c r="B41" i="27"/>
  <c r="B44" i="35"/>
  <c r="C44" i="35"/>
  <c r="B100" i="22" s="1" a="1"/>
  <c r="B100" i="22" s="1"/>
  <c r="B42" i="27" l="1"/>
  <c r="B45" i="35"/>
  <c r="B58" i="23"/>
  <c r="C45" i="35"/>
  <c r="B82" i="22" s="1" a="1"/>
  <c r="B82" i="22" s="1"/>
  <c r="D58" i="2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<sst xmlns="http://schemas.openxmlformats.org/spreadsheetml/2006/main" count="1267" uniqueCount="420">
  <si>
    <t>Universidade Federal de Uberlândia - Curso de Graduação em Engenharia de Controle e Automação</t>
  </si>
  <si>
    <t>1o Período</t>
  </si>
  <si>
    <t>2o Período</t>
  </si>
  <si>
    <t>3o Período</t>
  </si>
  <si>
    <t>4o Período</t>
  </si>
  <si>
    <t>5o Período</t>
  </si>
  <si>
    <t>6o Período</t>
  </si>
  <si>
    <t>7o Período</t>
  </si>
  <si>
    <t>8o Período</t>
  </si>
  <si>
    <t>9o Período</t>
  </si>
  <si>
    <t>10o Período</t>
  </si>
  <si>
    <t>Total</t>
  </si>
  <si>
    <t>Teor.</t>
  </si>
  <si>
    <t>Prát.</t>
  </si>
  <si>
    <t>AC</t>
  </si>
  <si>
    <t/>
  </si>
  <si>
    <t>1 - Atividades Curriculares de Extensão I</t>
  </si>
  <si>
    <t>8 - Cálculo Diferencial e Integral II</t>
  </si>
  <si>
    <t>16 - Cálculo Diferencial e Integral III</t>
  </si>
  <si>
    <t>24 - Circuitos Elétricos II</t>
  </si>
  <si>
    <t>32 - Álgebra Linear</t>
  </si>
  <si>
    <t>39 - Conversão de Energia e Maquinas</t>
  </si>
  <si>
    <t>46 - Atividades Curriculares de Extensão III</t>
  </si>
  <si>
    <t>52 - Acionamentos de Máquinas Elétricas</t>
  </si>
  <si>
    <t>58 - Atividades Curriculares de Extensão V</t>
  </si>
  <si>
    <t>1800 horas</t>
  </si>
  <si>
    <t>63 - Estágio Supervisionado Obrigatório (**)</t>
  </si>
  <si>
    <t>OP</t>
  </si>
  <si>
    <t>Ext</t>
  </si>
  <si>
    <t>TSE</t>
  </si>
  <si>
    <t>TCE</t>
  </si>
  <si>
    <t>Precisa SER</t>
  </si>
  <si>
    <t>2 - Cálculo Diferencial e Integral I</t>
  </si>
  <si>
    <t>9 - Experimental de Física Básica: Mecânica</t>
  </si>
  <si>
    <t>17 - Circuitos Elétricos I</t>
  </si>
  <si>
    <t>25 - Eletrônica Analógica I</t>
  </si>
  <si>
    <t>33 - Atividades Curriculares de Extensão II</t>
  </si>
  <si>
    <t>40 - Experimental de Instalações Elétricas</t>
  </si>
  <si>
    <t>47 - Eletrônica Industrial</t>
  </si>
  <si>
    <t>53 - Atividades Curriculares de Extensão IV</t>
  </si>
  <si>
    <t>1000 horas</t>
  </si>
  <si>
    <t>59 - Administração (*)</t>
  </si>
  <si>
    <t>Curso TEM</t>
  </si>
  <si>
    <t>3 - Estatística</t>
  </si>
  <si>
    <t>10 - Experimental de Sistemas Digitais</t>
  </si>
  <si>
    <t>18 - Experimental de Circuitos  Elétricos I</t>
  </si>
  <si>
    <t>26 - Experimental de Circuitos Elétricos II</t>
  </si>
  <si>
    <t>34 - Eletrônica Analógica II</t>
  </si>
  <si>
    <t>41 - Experimental de Sistemas de Controle Realimentado</t>
  </si>
  <si>
    <t>48 - Processos de Fabricação Mecânica</t>
  </si>
  <si>
    <t>54 - Indústria Avançada I</t>
  </si>
  <si>
    <t>60 - Ciências Econômicas (*)</t>
  </si>
  <si>
    <t>4 - Expressão Gráfica</t>
  </si>
  <si>
    <t>11 - Fenômenos de Transporte</t>
  </si>
  <si>
    <t>19 - Experimental de Física Básica: Eletricidade e Magnetismo</t>
  </si>
  <si>
    <t>27 - Experimental de Eletrônica Analógica I</t>
  </si>
  <si>
    <t>35 - Experimental de Eletrônica Analógica II</t>
  </si>
  <si>
    <t>42 - Instalações Elétricas</t>
  </si>
  <si>
    <t>49 - Projeto Interdisciplinar de Engenharia de Controle e Automação (**)</t>
  </si>
  <si>
    <t>55 - Modelagem e Simulações de Sistemas a Eventos Discretos</t>
  </si>
  <si>
    <t>61 - Direito e Legislação (*)</t>
  </si>
  <si>
    <t>5 - Geometria Analítica</t>
  </si>
  <si>
    <t>12 - Física Básica: Mecânica</t>
  </si>
  <si>
    <t>20 - Física Básica: Eletricidade e Magnetismo</t>
  </si>
  <si>
    <t>28 - Experimental de Física Básica: Oscilações, Ondas e Óptica</t>
  </si>
  <si>
    <t>36 - Redes Industriais para Controle e Automação I</t>
  </si>
  <si>
    <t>43 - Redes Industriais para Controle e Automação II</t>
  </si>
  <si>
    <t>50 - Robótica</t>
  </si>
  <si>
    <t>56 - Química Tecnológica</t>
  </si>
  <si>
    <t>62 -  Projeto Final de Curso (**)</t>
  </si>
  <si>
    <t>6 - Introdução à Engenharia de Controle e Automação</t>
  </si>
  <si>
    <t>13 - Instrumentação Industrial I</t>
  </si>
  <si>
    <t>21 - Informática Industrial I</t>
  </si>
  <si>
    <t>29 - Física Básica: Oscilações, Ondas e Óptica</t>
  </si>
  <si>
    <t>37 - Sinais e Sistemas</t>
  </si>
  <si>
    <t>44 - Sistemas de Controle Realimentado</t>
  </si>
  <si>
    <t>51 - Sistemas de Controle Moderno</t>
  </si>
  <si>
    <t>57 - Sistemas de Controle Hidráulicos e Pneumáticos</t>
  </si>
  <si>
    <t>7 - Programação Script</t>
  </si>
  <si>
    <t>14 - Programação Procedimental</t>
  </si>
  <si>
    <t>22 - Instrumentação Industrial II</t>
  </si>
  <si>
    <t>30 - Informática Industrial II</t>
  </si>
  <si>
    <t>38 - Sistemas Embarcados I</t>
  </si>
  <si>
    <t>45 - Sistemas Embarcados II</t>
  </si>
  <si>
    <t>Mudaram de periodo</t>
  </si>
  <si>
    <t>Legenda</t>
  </si>
  <si>
    <t>Atividades de Extensão</t>
  </si>
  <si>
    <t>Pré-requisito</t>
  </si>
  <si>
    <t>Materias novas Inseridas</t>
  </si>
  <si>
    <t>Co-requisito</t>
  </si>
  <si>
    <t>15 - Sistemas Digitais</t>
  </si>
  <si>
    <t>23 - Mecânica dos Sólidos</t>
  </si>
  <si>
    <t>31 - Métodos Matemáticos</t>
  </si>
  <si>
    <t>COMPONENTES CURRICULARES OPTATIVOS ***</t>
  </si>
  <si>
    <t>1 - Arquitetura e Organização de Computadores</t>
  </si>
  <si>
    <t>2 - Automação Residencial e Predial</t>
  </si>
  <si>
    <t>3 - Eficiência em Sistemas de Energia</t>
  </si>
  <si>
    <t>4 - Fabricação Assistida por Computador</t>
  </si>
  <si>
    <t>5 - Fontes Renováveis não Convencionais - Técnicas e Aplicações</t>
  </si>
  <si>
    <t>6 - Gestão dos Sistemas de Produção</t>
  </si>
  <si>
    <t>7 - Língua 
Brasileira de
Sinais - LIBRAS I</t>
  </si>
  <si>
    <t>8 - Materiais e Equip. Elétricos e Eletrônicos</t>
  </si>
  <si>
    <t>9 - Metodologia da Pesquisa e Escrita Científica</t>
  </si>
  <si>
    <t>10 - Processamento Digital de Sinais</t>
  </si>
  <si>
    <t>11 - Programação Orientada a Objetos</t>
  </si>
  <si>
    <t>12 - Sistemas Computacionais em Tempo Real</t>
  </si>
  <si>
    <t>13 - Sistemas de Gestão e Manutenção na Automação</t>
  </si>
  <si>
    <t>14 - Sistemas Distribuídos</t>
  </si>
  <si>
    <t>14 - Instalações Industriais</t>
  </si>
  <si>
    <t>24 - Tópicos Especiais em Engenharia de Controle e Automação I (***)</t>
  </si>
  <si>
    <t>25 -  Tópicos Especiais em Engenharia de Controle e Automação II (***)</t>
  </si>
  <si>
    <t>26 -  Tópicos Especiais em Engenharia de Controle e Automação III (***)</t>
  </si>
  <si>
    <t>27 -  Tópicos Especiais em Engenharia de Controle e Automação IV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</si>
  <si>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Direito e Legislação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</si>
  <si>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Ciências Sociais e Jurídicas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</si>
  <si>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Quadro 1. Apresentação da estrutura curricular por núcleos de formação</t>
  </si>
  <si>
    <t>Núcleos de Formação</t>
  </si>
  <si>
    <t>Carga Horária Total</t>
  </si>
  <si>
    <t>Percentual</t>
  </si>
  <si>
    <t>Núcleo de Formação Básica</t>
  </si>
  <si>
    <t>Núcleo de Formação Profissionalizante</t>
  </si>
  <si>
    <t>Núcleo de Formação Específica</t>
  </si>
  <si>
    <t>Componentes Curriculares de Natureza Complementar</t>
  </si>
  <si>
    <t>Componentes curriculares de Extensão</t>
  </si>
  <si>
    <t>Demais componentes curriculares obrigatórios</t>
  </si>
  <si>
    <t>Disciplinas Optativas</t>
  </si>
  <si>
    <t>TOTAL</t>
  </si>
  <si>
    <t>Tabela 1. Componentes curriculares obrigatórios do núcleo de conteúdos básicos.</t>
  </si>
  <si>
    <t>Componente curricular</t>
  </si>
  <si>
    <t>Conteúdo estabelecido pelas diretrizes curriculares Nacionais</t>
  </si>
  <si>
    <t>Carga horária</t>
  </si>
  <si>
    <t>Teórica</t>
  </si>
  <si>
    <t>Prática</t>
  </si>
  <si>
    <t>Administração</t>
  </si>
  <si>
    <t>Instalações Elétricas</t>
  </si>
  <si>
    <t>Experimental de Instalações Elétricas</t>
  </si>
  <si>
    <t>Experimental de Física Básica: Eletricidade e Magnetismo</t>
  </si>
  <si>
    <t>Experimental de Física Básica: Mecânica</t>
  </si>
  <si>
    <t>Experimental de Física Básica: Oscilações, Ondas e Óptica</t>
  </si>
  <si>
    <t>Física Básica: Eletricidade e Magnetismo</t>
  </si>
  <si>
    <t>Física Básica: Mecânica</t>
  </si>
  <si>
    <t>Física Básica: Oscilações, Ondas e Óptica</t>
  </si>
  <si>
    <t>Direito e Legislação</t>
  </si>
  <si>
    <t>Programação Procedimental</t>
  </si>
  <si>
    <t>Programação Script</t>
  </si>
  <si>
    <t>Introdução à Engenharia de Controle e Automação</t>
  </si>
  <si>
    <t>Cálculo Diferencial e Integral I</t>
  </si>
  <si>
    <t>Cálculo Diferencial e Integral II</t>
  </si>
  <si>
    <t>Cálculo Diferencial e Integral III</t>
  </si>
  <si>
    <t>Métodos Matemáticos</t>
  </si>
  <si>
    <t>Ciências Econômicas</t>
  </si>
  <si>
    <t>Tabela 2. Componentes curriculares obrigatórios do núcleo de conteúdos profissionalizantes.</t>
  </si>
  <si>
    <t>Circuitos Elétricos I</t>
  </si>
  <si>
    <t>Circuitos Elétricos</t>
  </si>
  <si>
    <t>Circuitos Elétricos II</t>
  </si>
  <si>
    <t>Experimental de Circuitos Elétricos I</t>
  </si>
  <si>
    <t>Experimental de Circuitos Elétricos II</t>
  </si>
  <si>
    <t>Sistemas Digitais</t>
  </si>
  <si>
    <t>Circuitos Lógicos</t>
  </si>
  <si>
    <t>Experimental de Sistemas Digitais</t>
  </si>
  <si>
    <t>Experimental de Sistemas de Controle Realimentado</t>
  </si>
  <si>
    <t>Controle de Sistemas Dinâmicos</t>
  </si>
  <si>
    <t>Sistemas de Controle Realimentado</t>
  </si>
  <si>
    <t>Conversão de Energia e Maquinas</t>
  </si>
  <si>
    <t>Conversão de Energia</t>
  </si>
  <si>
    <t>Eletrônica Analógica I</t>
  </si>
  <si>
    <t>Eletrônica Analógica e Digital</t>
  </si>
  <si>
    <t>Eletrônica Analógica II</t>
  </si>
  <si>
    <t>Experimental de Eletrônica Analógica I</t>
  </si>
  <si>
    <t>Experimental de Eletrônica Analógica II</t>
  </si>
  <si>
    <t>Instrumentação Industrial I</t>
  </si>
  <si>
    <t>Instrumentação</t>
  </si>
  <si>
    <t>Sinais e Sistemas</t>
  </si>
  <si>
    <t>Modelagem, Análise e Simulação de Sistemas. Matemática Discreta.</t>
  </si>
  <si>
    <t>Tabela 3. Componentes curriculares obrigatórios do núcleo de conteúdo específicos.</t>
  </si>
  <si>
    <t>Acionamentos de Maquinas Elétricas</t>
  </si>
  <si>
    <t>Conteúdo Específico</t>
  </si>
  <si>
    <t>Eletrônica Industrial</t>
  </si>
  <si>
    <t>Informática Industrial I</t>
  </si>
  <si>
    <t>Indústria Avançada I</t>
  </si>
  <si>
    <t>Processo de Fabricação Mecânica</t>
  </si>
  <si>
    <t>Redes Industriais para Controle e Automação I</t>
  </si>
  <si>
    <t>Redes Industriais para Controle e Automação II</t>
  </si>
  <si>
    <t>Sistemas Embarcados I</t>
  </si>
  <si>
    <t>Tabela 4. Componentes curriculares de natureza complementar.</t>
  </si>
  <si>
    <t>Carga horária Total</t>
  </si>
  <si>
    <t>Atividades Complementares</t>
  </si>
  <si>
    <t>Acadêmico-Científico-Cultural</t>
  </si>
  <si>
    <t>Tabela 5. Componentes curriculares de Extensão.</t>
  </si>
  <si>
    <t>Atividades Curriculares de Extensão I</t>
  </si>
  <si>
    <t>Atividade de Extensão</t>
  </si>
  <si>
    <t>Atividades Curriculares de Extensão II</t>
  </si>
  <si>
    <t>Atividades Curriculares de Extensão III</t>
  </si>
  <si>
    <t>Atividades Curriculares de Extensão IV</t>
  </si>
  <si>
    <t>Atividades Curriculares de Extensão V</t>
  </si>
  <si>
    <t>Tabela 6. Demais componentes curriculares obrigatórios.</t>
  </si>
  <si>
    <t>Projeto Interdisciplinar de Engenharia de Controle e Automação</t>
  </si>
  <si>
    <t>Síntese e Integração</t>
  </si>
  <si>
    <t>de Conhecimentos</t>
  </si>
  <si>
    <t>Projeto Final de Curso</t>
  </si>
  <si>
    <t>Trabalho Final de Curso.</t>
  </si>
  <si>
    <t>Síntese e Integração de Conhecimentos.</t>
  </si>
  <si>
    <t>Estágio Supervisionado Obrigatório</t>
  </si>
  <si>
    <t xml:space="preserve">Estágio Curricular </t>
  </si>
  <si>
    <t>Obrigatório</t>
  </si>
  <si>
    <t>Tabela 7. Componentes curriculares optativos pré-definidos.</t>
  </si>
  <si>
    <t>Instalações Industriais</t>
  </si>
  <si>
    <t>Tópicos Especiais em Engenharia de Controle e Automação IV</t>
  </si>
  <si>
    <t>Materias Excluidas</t>
  </si>
  <si>
    <t>Metrologia</t>
  </si>
  <si>
    <t>Conversão de Energia e Transformadores</t>
  </si>
  <si>
    <t>Maquinas Elétricas</t>
  </si>
  <si>
    <t>Eletrônica Industrial e Acionamentos</t>
  </si>
  <si>
    <t>Ciências Sociais e Jurídicas</t>
  </si>
  <si>
    <t>Materias Incluidas</t>
  </si>
  <si>
    <t xml:space="preserve"> Indústria Avançada I</t>
  </si>
  <si>
    <t>Tabela 8. Conteúdos transversais.</t>
  </si>
  <si>
    <t xml:space="preserve">Conteúdo </t>
  </si>
  <si>
    <t>Período</t>
  </si>
  <si>
    <t>Componente Curricular</t>
  </si>
  <si>
    <r>
      <rPr>
        <sz val="10"/>
        <color rgb="FF000000"/>
        <rFont val="Calibri"/>
        <family val="2"/>
        <scheme val="minor"/>
      </rPr>
      <t xml:space="preserve">Educação Ambiental </t>
    </r>
    <r>
      <rPr>
        <b/>
        <sz val="10"/>
        <color rgb="FF000000"/>
        <rFont val="Calibri"/>
        <family val="2"/>
        <scheme val="minor"/>
      </rPr>
      <t xml:space="preserve">
(Resolução CNE/CP nº 2/2012)</t>
    </r>
  </si>
  <si>
    <r>
      <t>1</t>
    </r>
    <r>
      <rPr>
        <vertAlign val="superscript"/>
        <sz val="10"/>
        <color rgb="FF000000"/>
        <rFont val="Calibri"/>
        <family val="2"/>
        <scheme val="minor"/>
      </rPr>
      <t>o</t>
    </r>
  </si>
  <si>
    <r>
      <t>2</t>
    </r>
    <r>
      <rPr>
        <vertAlign val="superscript"/>
        <sz val="10"/>
        <color rgb="FF000000"/>
        <rFont val="Calibri"/>
        <family val="2"/>
        <scheme val="minor"/>
      </rPr>
      <t>o</t>
    </r>
  </si>
  <si>
    <r>
      <t>3</t>
    </r>
    <r>
      <rPr>
        <vertAlign val="superscript"/>
        <sz val="10"/>
        <color rgb="FF000000"/>
        <rFont val="Calibri"/>
        <family val="2"/>
        <scheme val="minor"/>
      </rPr>
      <t>o</t>
    </r>
  </si>
  <si>
    <r>
      <t>4</t>
    </r>
    <r>
      <rPr>
        <vertAlign val="superscript"/>
        <sz val="10"/>
        <color rgb="FF000000"/>
        <rFont val="Calibri"/>
        <family val="2"/>
        <scheme val="minor"/>
      </rPr>
      <t>o</t>
    </r>
  </si>
  <si>
    <r>
      <t>7</t>
    </r>
    <r>
      <rPr>
        <vertAlign val="superscript"/>
        <sz val="10"/>
        <color rgb="FF000000"/>
        <rFont val="Calibri"/>
        <family val="2"/>
        <scheme val="minor"/>
      </rPr>
      <t>o</t>
    </r>
  </si>
  <si>
    <t>Empreendedorismo e inovação</t>
  </si>
  <si>
    <r>
      <t>2</t>
    </r>
    <r>
      <rPr>
        <vertAlign val="superscript"/>
        <sz val="10"/>
        <color rgb="FF000000"/>
        <rFont val="Calibri"/>
        <family val="2"/>
        <scheme val="minor"/>
      </rPr>
      <t xml:space="preserve"> o</t>
    </r>
  </si>
  <si>
    <r>
      <t>5</t>
    </r>
    <r>
      <rPr>
        <vertAlign val="superscript"/>
        <sz val="10"/>
        <color rgb="FF000000"/>
        <rFont val="Calibri"/>
        <family val="2"/>
        <scheme val="minor"/>
      </rPr>
      <t>o</t>
    </r>
  </si>
  <si>
    <r>
      <t>6</t>
    </r>
    <r>
      <rPr>
        <vertAlign val="superscript"/>
        <sz val="10"/>
        <color rgb="FF000000"/>
        <rFont val="Calibri"/>
        <family val="2"/>
        <scheme val="minor"/>
      </rPr>
      <t>o</t>
    </r>
  </si>
  <si>
    <t>Segurança no trabalho e prevenção de acidentes</t>
  </si>
  <si>
    <t>Máquinas Elétricas</t>
  </si>
  <si>
    <t>Ciência e Tecnologia dos Materiais</t>
  </si>
  <si>
    <t>Conversão de Energia e Máquinas</t>
  </si>
  <si>
    <t>Ética profissional</t>
  </si>
  <si>
    <r>
      <t>9</t>
    </r>
    <r>
      <rPr>
        <vertAlign val="superscript"/>
        <sz val="10"/>
        <color rgb="FF000000"/>
        <rFont val="Calibri"/>
        <family val="2"/>
        <scheme val="minor"/>
      </rPr>
      <t>o</t>
    </r>
  </si>
  <si>
    <t>Tabela 9. Síntese e distribuição de carga horária por componentes curriculares.</t>
  </si>
  <si>
    <t>Componentes Curriculares</t>
  </si>
  <si>
    <t>Disciplinas Obrigatórias</t>
  </si>
  <si>
    <t>Trabalho de Conclusão de Curso</t>
  </si>
  <si>
    <t>FLUXO CURRICULAR</t>
  </si>
  <si>
    <t>Per.</t>
  </si>
  <si>
    <t>Componente 
Curricular</t>
  </si>
  <si>
    <t>Natureza
(Optativa,
Obrigatória)</t>
  </si>
  <si>
    <t>Carga Horária</t>
  </si>
  <si>
    <t>Requisitos</t>
  </si>
  <si>
    <t>Unid.
 Acad.
Ofer-
tante</t>
  </si>
  <si>
    <t>Teór.</t>
  </si>
  <si>
    <t>Pré-Requisito</t>
  </si>
  <si>
    <t>Correq.</t>
  </si>
  <si>
    <r>
      <t>1</t>
    </r>
    <r>
      <rPr>
        <b/>
        <vertAlign val="superscript"/>
        <sz val="11"/>
        <color rgb="FF0070C0"/>
        <rFont val="Calibri"/>
        <family val="2"/>
        <scheme val="minor"/>
      </rPr>
      <t>o</t>
    </r>
    <r>
      <rPr>
        <b/>
        <sz val="11"/>
        <color rgb="FF0070C0"/>
        <rFont val="Calibri"/>
        <family val="2"/>
        <scheme val="minor"/>
      </rPr>
      <t xml:space="preserve"> Período</t>
    </r>
  </si>
  <si>
    <t>Obrigatória</t>
  </si>
  <si>
    <t>Livre</t>
  </si>
  <si>
    <t>FEELT</t>
  </si>
  <si>
    <t>FAMAT</t>
  </si>
  <si>
    <t>FEMEC</t>
  </si>
  <si>
    <t>-</t>
  </si>
  <si>
    <r>
      <t>2</t>
    </r>
    <r>
      <rPr>
        <b/>
        <vertAlign val="superscript"/>
        <sz val="11"/>
        <color rgb="FF0070C0"/>
        <rFont val="Calibri"/>
        <family val="2"/>
        <scheme val="minor"/>
      </rPr>
      <t>o</t>
    </r>
    <r>
      <rPr>
        <b/>
        <sz val="11"/>
        <color rgb="FF0070C0"/>
        <rFont val="Calibri"/>
        <family val="2"/>
        <scheme val="minor"/>
      </rPr>
      <t xml:space="preserve"> Período</t>
    </r>
  </si>
  <si>
    <t>INFIS</t>
  </si>
  <si>
    <r>
      <t>3</t>
    </r>
    <r>
      <rPr>
        <b/>
        <vertAlign val="superscript"/>
        <sz val="11"/>
        <color rgb="FF0070C0"/>
        <rFont val="Calibri"/>
        <family val="2"/>
        <scheme val="minor"/>
      </rPr>
      <t>o</t>
    </r>
    <r>
      <rPr>
        <b/>
        <sz val="11"/>
        <color rgb="FF0070C0"/>
        <rFont val="Calibri"/>
        <family val="2"/>
        <scheme val="minor"/>
      </rPr>
      <t xml:space="preserve"> Período</t>
    </r>
  </si>
  <si>
    <t>Experimental de Circuitos  Elétricos I</t>
  </si>
  <si>
    <t>Cálculo Diferencial e Integral II; Instrumentação Industrial I</t>
  </si>
  <si>
    <t>Cálculo Diferencial e Integral II; Física Básica: Mecânica</t>
  </si>
  <si>
    <t>Programação Script; Sistemas Digitais</t>
  </si>
  <si>
    <t>Fenômenos de Transporte; Instrumentação Industrial I</t>
  </si>
  <si>
    <r>
      <t>4</t>
    </r>
    <r>
      <rPr>
        <b/>
        <vertAlign val="superscript"/>
        <sz val="11"/>
        <color rgb="FF0070C0"/>
        <rFont val="Calibri"/>
        <family val="2"/>
        <scheme val="minor"/>
      </rPr>
      <t>o</t>
    </r>
    <r>
      <rPr>
        <b/>
        <sz val="11"/>
        <color rgb="FF0070C0"/>
        <rFont val="Calibri"/>
        <family val="2"/>
        <scheme val="minor"/>
      </rPr>
      <t xml:space="preserve"> Período</t>
    </r>
  </si>
  <si>
    <t>Cálculo Diferencial e Integral I; Física Básica: Eletricidade e Magnetismo</t>
  </si>
  <si>
    <r>
      <t>5</t>
    </r>
    <r>
      <rPr>
        <b/>
        <vertAlign val="superscript"/>
        <sz val="11"/>
        <color rgb="FF0070C0"/>
        <rFont val="Calibri"/>
        <family val="2"/>
        <scheme val="minor"/>
      </rPr>
      <t>o</t>
    </r>
    <r>
      <rPr>
        <b/>
        <sz val="11"/>
        <color rgb="FF0070C0"/>
        <rFont val="Calibri"/>
        <family val="2"/>
        <scheme val="minor"/>
      </rPr>
      <t xml:space="preserve"> Período</t>
    </r>
  </si>
  <si>
    <t>Eletrônica Analógica I; Experimental de Eletrônica Analógica I</t>
  </si>
  <si>
    <t>Sistemas Digitais; Programação Procedimental</t>
  </si>
  <si>
    <r>
      <t>6</t>
    </r>
    <r>
      <rPr>
        <b/>
        <vertAlign val="superscript"/>
        <sz val="11"/>
        <color rgb="FF0070C0"/>
        <rFont val="Calibri"/>
        <family val="2"/>
        <scheme val="minor"/>
      </rPr>
      <t>o</t>
    </r>
    <r>
      <rPr>
        <b/>
        <sz val="11"/>
        <color rgb="FF0070C0"/>
        <rFont val="Calibri"/>
        <family val="2"/>
        <scheme val="minor"/>
      </rPr>
      <t xml:space="preserve"> Período</t>
    </r>
  </si>
  <si>
    <t>Informática Industrial II; Redes Industriais para Controle e Automação I</t>
  </si>
  <si>
    <t>Enade – Concluinte</t>
  </si>
  <si>
    <t>Atividades Acadêmicas Complementares ****</t>
  </si>
  <si>
    <t>Disciplinas Optativas ****</t>
  </si>
  <si>
    <t>Optativas</t>
  </si>
  <si>
    <t>Optativa</t>
  </si>
  <si>
    <t>Sistemas Embarcado I</t>
  </si>
  <si>
    <t xml:space="preserve">Informatica Industrial II; Instalações Elétricas; Redes Industriais para controle e Automação I </t>
  </si>
  <si>
    <t>Instalações Elétricas; Experimental de Instalações Elétricas</t>
  </si>
  <si>
    <t xml:space="preserve">Instalações Industriais </t>
  </si>
  <si>
    <t>FACED</t>
  </si>
  <si>
    <t>Circuitos Elétricos I; Experimental de Circuitos Elétricos I</t>
  </si>
  <si>
    <t>1000h</t>
  </si>
  <si>
    <t xml:space="preserve">Acionamentos de Máquinas Elétricas </t>
  </si>
  <si>
    <t>Currículo Proposto</t>
  </si>
  <si>
    <t>Saldo</t>
  </si>
  <si>
    <t>Currículo Virgente</t>
  </si>
  <si>
    <t>Código</t>
  </si>
  <si>
    <t>T.</t>
  </si>
  <si>
    <t>P.</t>
  </si>
  <si>
    <r>
      <t>7</t>
    </r>
    <r>
      <rPr>
        <vertAlign val="superscript"/>
        <sz val="9"/>
        <color rgb="FF000000"/>
        <rFont val="Calibri"/>
        <family val="2"/>
        <scheme val="minor"/>
      </rPr>
      <t>o</t>
    </r>
  </si>
  <si>
    <t>FAMAT31811</t>
  </si>
  <si>
    <t>e</t>
  </si>
  <si>
    <r>
      <t>8</t>
    </r>
    <r>
      <rPr>
        <vertAlign val="superscript"/>
        <sz val="9"/>
        <color rgb="FF000000"/>
        <rFont val="Calibri"/>
        <family val="2"/>
        <scheme val="minor"/>
      </rPr>
      <t>o</t>
    </r>
  </si>
  <si>
    <t>Acionamentos de Máquinas Elétricas</t>
  </si>
  <si>
    <t>FEELT31605</t>
  </si>
  <si>
    <t xml:space="preserve">Maquinas Elétricas </t>
  </si>
  <si>
    <t>FEELT31701</t>
  </si>
  <si>
    <r>
      <t>9</t>
    </r>
    <r>
      <rPr>
        <vertAlign val="superscript"/>
        <sz val="9"/>
        <color rgb="FF000000"/>
        <rFont val="Calibri"/>
        <family val="2"/>
        <scheme val="minor"/>
      </rPr>
      <t>o</t>
    </r>
  </si>
  <si>
    <t>FAGEN39901</t>
  </si>
  <si>
    <t xml:space="preserve">Ciências Econômicas </t>
  </si>
  <si>
    <t>IERI39901</t>
  </si>
  <si>
    <t>FADIR39901</t>
  </si>
  <si>
    <t>FEELT32902</t>
  </si>
  <si>
    <r>
      <t>5</t>
    </r>
    <r>
      <rPr>
        <vertAlign val="superscript"/>
        <sz val="9"/>
        <color rgb="FF000000"/>
        <rFont val="Calibri"/>
        <family val="2"/>
        <scheme val="minor"/>
      </rPr>
      <t>o</t>
    </r>
  </si>
  <si>
    <t>FEELT32501</t>
  </si>
  <si>
    <t>Complementação de Estudos de Conversão de Energia e Máquinas</t>
  </si>
  <si>
    <t>FEELT31811</t>
  </si>
  <si>
    <r>
      <t>6</t>
    </r>
    <r>
      <rPr>
        <vertAlign val="superscript"/>
        <sz val="9"/>
        <color rgb="FF000000"/>
        <rFont val="Calibri"/>
        <family val="2"/>
        <scheme val="minor"/>
      </rPr>
      <t>o</t>
    </r>
  </si>
  <si>
    <r>
      <t>2</t>
    </r>
    <r>
      <rPr>
        <vertAlign val="superscript"/>
        <sz val="9"/>
        <color rgb="FF000000"/>
        <rFont val="Calibri"/>
        <family val="2"/>
        <scheme val="minor"/>
      </rPr>
      <t>o</t>
    </r>
  </si>
  <si>
    <t>FEELT31204</t>
  </si>
  <si>
    <t>Complementação de Estudos de Eletrônica Industrial, Acionamentos, Maquinas e Metrologia</t>
  </si>
  <si>
    <t>Complementação de Administração</t>
  </si>
  <si>
    <t>IERI39001</t>
  </si>
  <si>
    <t xml:space="preserve">Complementação de Ciências Econômicas </t>
  </si>
  <si>
    <t>Complementação de Direito e Legislação</t>
  </si>
  <si>
    <r>
      <rPr>
        <b/>
        <sz val="11"/>
        <rFont val="Times New Roman"/>
        <family val="1"/>
      </rPr>
      <t>Componentes
Curriculares</t>
    </r>
  </si>
  <si>
    <r>
      <rPr>
        <b/>
        <sz val="11"/>
        <rFont val="Times New Roman"/>
        <family val="1"/>
      </rPr>
      <t>Natureza
(Obrigatório/Optativo)</t>
    </r>
  </si>
  <si>
    <r>
      <rPr>
        <b/>
        <sz val="11"/>
        <rFont val="Times New Roman"/>
        <family val="1"/>
      </rPr>
      <t>Competências
Gerais</t>
    </r>
  </si>
  <si>
    <r>
      <rPr>
        <b/>
        <sz val="11"/>
        <rFont val="Times New Roman"/>
        <family val="1"/>
      </rPr>
      <t>Competências
Específicas</t>
    </r>
  </si>
  <si>
    <r>
      <rPr>
        <b/>
        <sz val="11"/>
        <rFont val="Times New Roman"/>
        <family val="1"/>
      </rPr>
      <t>ODS</t>
    </r>
  </si>
  <si>
    <r>
      <rPr>
        <sz val="11"/>
        <rFont val="Times New Roman"/>
        <family val="1"/>
      </rPr>
      <t>Obrigatório</t>
    </r>
  </si>
  <si>
    <r>
      <rPr>
        <sz val="11"/>
        <rFont val="Times New Roman"/>
        <family val="1"/>
      </rPr>
      <t xml:space="preserve">I, III, IV, VII e
</t>
    </r>
    <r>
      <rPr>
        <sz val="11"/>
        <rFont val="Times New Roman"/>
        <family val="1"/>
      </rPr>
      <t>VIII</t>
    </r>
  </si>
  <si>
    <r>
      <rPr>
        <sz val="11"/>
        <rFont val="Times New Roman"/>
        <family val="1"/>
      </rPr>
      <t>II, IV e V</t>
    </r>
  </si>
  <si>
    <r>
      <rPr>
        <sz val="11"/>
        <rFont val="Times New Roman"/>
        <family val="1"/>
      </rPr>
      <t>4, 7, 8 e 9</t>
    </r>
  </si>
  <si>
    <r>
      <rPr>
        <sz val="11"/>
        <rFont val="Times New Roman"/>
        <family val="1"/>
      </rPr>
      <t>V, VI e VII</t>
    </r>
  </si>
  <si>
    <r>
      <rPr>
        <sz val="11"/>
        <rFont val="Times New Roman"/>
        <family val="1"/>
      </rPr>
      <t>IV e VI</t>
    </r>
  </si>
  <si>
    <r>
      <rPr>
        <sz val="11"/>
        <rFont val="Times New Roman"/>
        <family val="1"/>
      </rPr>
      <t>4, 8 e 11</t>
    </r>
  </si>
  <si>
    <r>
      <rPr>
        <sz val="11"/>
        <rFont val="Times New Roman"/>
        <family val="1"/>
      </rPr>
      <t>II</t>
    </r>
  </si>
  <si>
    <r>
      <rPr>
        <sz val="11"/>
        <rFont val="Times New Roman"/>
        <family val="1"/>
      </rPr>
      <t>I</t>
    </r>
  </si>
  <si>
    <r>
      <rPr>
        <sz val="11"/>
        <rFont val="Times New Roman"/>
        <family val="1"/>
      </rPr>
      <t>Optativo</t>
    </r>
  </si>
  <si>
    <r>
      <rPr>
        <sz val="11"/>
        <rFont val="Times New Roman"/>
        <family val="1"/>
      </rPr>
      <t>I e VIII</t>
    </r>
  </si>
  <si>
    <r>
      <rPr>
        <sz val="11"/>
        <rFont val="Times New Roman"/>
        <family val="1"/>
      </rPr>
      <t>III e IV</t>
    </r>
  </si>
  <si>
    <r>
      <rPr>
        <sz val="11"/>
        <rFont val="Times New Roman"/>
        <family val="1"/>
      </rPr>
      <t xml:space="preserve">4, 7, 8, 9, 11,
</t>
    </r>
    <r>
      <rPr>
        <sz val="11"/>
        <rFont val="Times New Roman"/>
        <family val="1"/>
      </rPr>
      <t>12 e 13</t>
    </r>
  </si>
  <si>
    <r>
      <rPr>
        <sz val="11"/>
        <rFont val="Times New Roman"/>
        <family val="1"/>
      </rPr>
      <t xml:space="preserve">4, 7, 8, 9, 11
</t>
    </r>
    <r>
      <rPr>
        <sz val="11"/>
        <rFont val="Times New Roman"/>
        <family val="1"/>
      </rPr>
      <t>e  12</t>
    </r>
  </si>
  <si>
    <r>
      <rPr>
        <sz val="11"/>
        <rFont val="Times New Roman"/>
        <family val="1"/>
      </rPr>
      <t>I e II</t>
    </r>
  </si>
  <si>
    <r>
      <rPr>
        <sz val="11"/>
        <rFont val="Times New Roman"/>
        <family val="1"/>
      </rPr>
      <t>II e IV</t>
    </r>
  </si>
  <si>
    <r>
      <rPr>
        <sz val="11"/>
        <rFont val="Times New Roman"/>
        <family val="1"/>
      </rPr>
      <t>4, 7</t>
    </r>
  </si>
  <si>
    <t>optativa</t>
  </si>
  <si>
    <t>III, IV, VI e
VII</t>
  </si>
  <si>
    <t>II, IV, V e VI</t>
  </si>
  <si>
    <r>
      <rPr>
        <sz val="11"/>
        <rFont val="Times New Roman"/>
        <family val="1"/>
      </rPr>
      <t>I, II e II</t>
    </r>
  </si>
  <si>
    <r>
      <rPr>
        <sz val="11"/>
        <rFont val="Times New Roman"/>
        <family val="1"/>
      </rPr>
      <t>II, III e IV</t>
    </r>
  </si>
  <si>
    <r>
      <rPr>
        <sz val="11"/>
        <rFont val="Times New Roman"/>
        <family val="1"/>
      </rPr>
      <t xml:space="preserve">4, 7, 8, 9, 11 e
</t>
    </r>
    <r>
      <rPr>
        <sz val="11"/>
        <rFont val="Times New Roman"/>
        <family val="1"/>
      </rPr>
      <t>12</t>
    </r>
  </si>
  <si>
    <r>
      <rPr>
        <sz val="11"/>
        <rFont val="Times New Roman"/>
        <family val="1"/>
      </rPr>
      <t>IV, V, VII e VIII</t>
    </r>
  </si>
  <si>
    <r>
      <rPr>
        <sz val="11"/>
        <rFont val="Times New Roman"/>
        <family val="1"/>
      </rPr>
      <t>IV, V, VI e VII</t>
    </r>
  </si>
  <si>
    <r>
      <rPr>
        <sz val="11"/>
        <rFont val="Times New Roman"/>
        <family val="1"/>
      </rPr>
      <t xml:space="preserve">I, III, IV, VI,
</t>
    </r>
    <r>
      <rPr>
        <sz val="11"/>
        <rFont val="Times New Roman"/>
        <family val="1"/>
      </rPr>
      <t>VII e VIII</t>
    </r>
  </si>
  <si>
    <r>
      <rPr>
        <sz val="11"/>
        <rFont val="Times New Roman"/>
        <family val="1"/>
      </rPr>
      <t>II, III, IV e V</t>
    </r>
  </si>
  <si>
    <r>
      <rPr>
        <sz val="11"/>
        <rFont val="Times New Roman"/>
        <family val="1"/>
      </rPr>
      <t>I, IV e VIII</t>
    </r>
  </si>
  <si>
    <r>
      <rPr>
        <sz val="11"/>
        <rFont val="Times New Roman"/>
        <family val="1"/>
      </rPr>
      <t>III, IV, VI e VII</t>
    </r>
  </si>
  <si>
    <r>
      <rPr>
        <sz val="11"/>
        <rFont val="Times New Roman"/>
        <family val="1"/>
      </rPr>
      <t>II, IV, V e VI</t>
    </r>
  </si>
  <si>
    <r>
      <rPr>
        <sz val="11"/>
        <rFont val="Times New Roman"/>
        <family val="1"/>
      </rPr>
      <t xml:space="preserve">I, III, IV, V e
</t>
    </r>
    <r>
      <rPr>
        <sz val="11"/>
        <rFont val="Times New Roman"/>
        <family val="1"/>
      </rPr>
      <t>VI</t>
    </r>
  </si>
  <si>
    <r>
      <rPr>
        <sz val="11"/>
        <rFont val="Times New Roman"/>
        <family val="1"/>
      </rPr>
      <t xml:space="preserve">II, III, IV, V e
</t>
    </r>
    <r>
      <rPr>
        <sz val="11"/>
        <rFont val="Times New Roman"/>
        <family val="1"/>
      </rPr>
      <t>VI</t>
    </r>
  </si>
  <si>
    <t>obrigatória</t>
  </si>
  <si>
    <r>
      <rPr>
        <sz val="11"/>
        <rFont val="Times New Roman"/>
        <family val="1"/>
      </rPr>
      <t>I e IV</t>
    </r>
  </si>
  <si>
    <r>
      <rPr>
        <sz val="11"/>
        <rFont val="Times New Roman"/>
        <family val="1"/>
      </rPr>
      <t>I e VI</t>
    </r>
  </si>
  <si>
    <r>
      <rPr>
        <sz val="11"/>
        <rFont val="Times New Roman"/>
        <family val="1"/>
      </rPr>
      <t>V e VI</t>
    </r>
  </si>
  <si>
    <r>
      <rPr>
        <sz val="11"/>
        <rFont val="Times New Roman"/>
        <family val="1"/>
      </rPr>
      <t>VI</t>
    </r>
  </si>
  <si>
    <r>
      <rPr>
        <sz val="11"/>
        <rFont val="Times New Roman"/>
        <family val="1"/>
      </rPr>
      <t>V, VI e VIII</t>
    </r>
  </si>
  <si>
    <r>
      <rPr>
        <sz val="11"/>
        <rFont val="Times New Roman"/>
        <family val="1"/>
      </rPr>
      <t>VI e VII</t>
    </r>
  </si>
  <si>
    <r>
      <rPr>
        <sz val="11"/>
        <rFont val="Times New Roman"/>
        <family val="1"/>
      </rPr>
      <t>I, II e VIII</t>
    </r>
  </si>
  <si>
    <r>
      <rPr>
        <sz val="11"/>
        <rFont val="Times New Roman"/>
        <family val="1"/>
      </rPr>
      <t>-</t>
    </r>
  </si>
  <si>
    <r>
      <rPr>
        <sz val="11"/>
        <rFont val="Calibri"/>
        <family val="1"/>
      </rPr>
      <t>-</t>
    </r>
  </si>
  <si>
    <t>Universidade Federal de Uberlândia - Curso Superior de Tecnologia em Sistemas Ciberfísicos e Inteligentes para Automação</t>
  </si>
  <si>
    <t>Total do Cruso</t>
  </si>
  <si>
    <t xml:space="preserve"> </t>
  </si>
  <si>
    <t>Extensão</t>
  </si>
  <si>
    <t>Calculo I</t>
  </si>
  <si>
    <t>Calculo II</t>
  </si>
  <si>
    <t>Expressão Grafica</t>
  </si>
  <si>
    <t>Fisica I</t>
  </si>
  <si>
    <t>Fenomeno Transporte</t>
  </si>
  <si>
    <t>Exp Fisica I</t>
  </si>
  <si>
    <t>Adm</t>
  </si>
  <si>
    <t>Estágio</t>
  </si>
  <si>
    <t>Aulas Teóricas</t>
  </si>
  <si>
    <t>Aulas Práticas</t>
  </si>
  <si>
    <t>--</t>
  </si>
  <si>
    <t>Tecnologo</t>
  </si>
  <si>
    <t>Engenharia</t>
  </si>
  <si>
    <t>1  - Cálculo Diferencial e Integral I</t>
  </si>
  <si>
    <t>7:00 - 7:50</t>
  </si>
  <si>
    <t>7:50 - 8:40</t>
  </si>
  <si>
    <t>8:40 - 9:30</t>
  </si>
  <si>
    <t>9:30 - 10:20</t>
  </si>
  <si>
    <t>6:10 - 7:10</t>
  </si>
  <si>
    <t>1 - Dispositivos Ciberfísicos Inteligentes para Automação</t>
  </si>
  <si>
    <t>Classificação das disciplinas do Curso Superior de Tecnologia em Sistemas Ciberfísicos e Inteligentes para Automação</t>
  </si>
  <si>
    <t>Marque o núcleo de cada disciplina na coluna D usando a lista suspensa. A aba Apresentação preenche automaticamente conforme você marca.</t>
  </si>
  <si>
    <t>Tipo</t>
  </si>
  <si>
    <t>Disciplina</t>
  </si>
  <si>
    <t>Núcleo</t>
  </si>
  <si>
    <t>—</t>
  </si>
  <si>
    <t>Básico</t>
  </si>
  <si>
    <t>Profissionalizante</t>
  </si>
  <si>
    <t>Específico</t>
  </si>
  <si>
    <t>Complementar</t>
  </si>
  <si>
    <t xml:space="preserve">Toral </t>
  </si>
  <si>
    <t>ACE</t>
  </si>
  <si>
    <t>Geral</t>
  </si>
  <si>
    <t>Divide por 15 professores</t>
  </si>
  <si>
    <t>Divide por 15 semanas</t>
  </si>
  <si>
    <t>Estag</t>
  </si>
  <si>
    <t>Eletricidade Aplicada</t>
  </si>
  <si>
    <t>Expressão Gráfica</t>
  </si>
  <si>
    <t>Fenômenos de Transporte</t>
  </si>
  <si>
    <t>Física</t>
  </si>
  <si>
    <t>Humanidades, Ciências Sociais e Cidadania</t>
  </si>
  <si>
    <t>Informática</t>
  </si>
  <si>
    <t>Mecânica dos Sólidos</t>
  </si>
  <si>
    <t>Metodologia Científica e Tecnológica.</t>
  </si>
  <si>
    <t>Matemática</t>
  </si>
  <si>
    <t>Economia</t>
  </si>
  <si>
    <t>Química</t>
  </si>
  <si>
    <t>Eletromagnetismo e Circuitos Trifasicos</t>
  </si>
  <si>
    <t>Instrumentação e Dispositivos Inteligentes</t>
  </si>
  <si>
    <t>Ciência de dados aplicada a Metrologia</t>
  </si>
  <si>
    <t>Sinais e Sistemas I</t>
  </si>
  <si>
    <t>Sinais e Sistema 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</si>
</sst>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7" x14ac:knownFonts="1">
    <font>
      <sz val="11"/>
      <color theme="1"/>
      <name val="Calibri"/>
      <family val="2"/>
      <scheme val="minor"/>
    </font>
    <font>
      <sz val="11"/>
      <name val="Calibri"/>
      <family val="2"/>
      <scheme val="minor"/>
    </font>
    <font>
      <b/>
      <sz val="10"/>
      <name val="Calibri"/>
      <family val="2"/>
      <scheme val="minor"/>
    </font>
    <font>
      <sz val="8"/>
      <name val="Calibri"/>
      <family val="2"/>
      <scheme val="minor"/>
    </font>
    <font>
      <b/>
      <sz val="8"/>
      <name val="Calibri"/>
      <family val="2"/>
      <scheme val="minor"/>
    </font>
    <font>
      <sz val="7"/>
      <name val="Calibri"/>
      <family val="2"/>
      <scheme val="minor"/>
    </font>
    <font>
      <sz val="11"/>
      <color rgb="FFFF0000"/>
      <name val="Calibri"/>
      <family val="2"/>
      <scheme val="minor"/>
    </font>
    <font>
      <sz val="11"/>
      <color rgb="FF0070C0"/>
      <name val="Calibri"/>
      <family val="2"/>
      <scheme val="minor"/>
    </font>
    <font>
      <b/>
      <sz val="10"/>
      <color rgb="FFFF0000"/>
      <name val="Calibri"/>
      <family val="2"/>
      <scheme val="minor"/>
    </font>
    <font>
      <sz val="8"/>
      <color theme="1"/>
      <name val="Calibri"/>
      <family val="2"/>
      <scheme val="minor"/>
    </font>
    <font>
      <u/>
      <sz val="11"/>
      <name val="Calibri"/>
      <family val="2"/>
      <scheme val="minor"/>
    </font>
    <font>
      <sz val="9"/>
      <name val="Calibri"/>
      <family val="2"/>
      <scheme val="minor"/>
    </font>
    <font>
      <sz val="8"/>
      <color rgb="FF000000"/>
      <name val="Calibri"/>
      <family val="2"/>
      <scheme val="minor"/>
    </font>
    <font>
      <u/>
      <sz val="8"/>
      <name val="Calibri"/>
      <family val="2"/>
      <scheme val="minor"/>
    </font>
    <font>
      <sz val="10"/>
      <color rgb="FF000000"/>
      <name val="Calibri"/>
      <family val="2"/>
      <scheme val="minor"/>
    </font>
    <font>
      <sz val="10"/>
      <color theme="1"/>
      <name val="Calibri"/>
      <family val="2"/>
      <scheme val="minor"/>
    </font>
    <font>
      <b/>
      <sz val="11"/>
      <color theme="1"/>
      <name val="Calibri"/>
      <family val="2"/>
      <scheme val="minor"/>
    </font>
    <font>
      <b/>
      <sz val="11"/>
      <color rgb="FF0070C0"/>
      <name val="Calibri"/>
      <family val="2"/>
      <scheme val="minor"/>
    </font>
    <font>
      <b/>
      <sz val="11"/>
      <color theme="1"/>
      <name val="Calibri"/>
      <family val="2"/>
    </font>
    <font>
      <b/>
      <sz val="9"/>
      <color theme="1"/>
      <name val="Arial"/>
      <family val="2"/>
    </font>
    <font>
      <b/>
      <sz val="10"/>
      <color rgb="FF000000"/>
      <name val="Calibri"/>
      <family val="2"/>
      <scheme val="minor"/>
    </font>
    <font>
      <vertAlign val="superscript"/>
      <sz val="10"/>
      <color rgb="FF000000"/>
      <name val="Calibri"/>
      <family val="2"/>
      <scheme val="minor"/>
    </font>
    <font>
      <b/>
      <sz val="9"/>
      <color rgb="FF0070C0"/>
      <name val="Calibri"/>
      <family val="2"/>
      <scheme val="minor"/>
    </font>
    <font>
      <b/>
      <vertAlign val="superscript"/>
      <sz val="11"/>
      <color rgb="FF0070C0"/>
      <name val="Calibri"/>
      <family val="2"/>
      <scheme val="minor"/>
    </font>
    <font>
      <sz val="7"/>
      <color rgb="FF000000"/>
      <name val="Arial"/>
      <family val="2"/>
    </font>
    <font>
      <b/>
      <sz val="18"/>
      <color rgb="FFFF0000"/>
      <name val="Calibri"/>
      <family val="2"/>
      <scheme val="minor"/>
    </font>
    <font>
      <b/>
      <sz val="11"/>
      <color rgb="FF000000"/>
      <name val="Calibri"/>
      <family val="2"/>
      <scheme val="minor"/>
    </font>
    <font>
      <sz val="9"/>
      <color theme="1"/>
      <name val="Calibri"/>
      <family val="2"/>
      <scheme val="minor"/>
    </font>
    <font>
      <sz val="9"/>
      <color rgb="FF000000"/>
      <name val="Calibri"/>
      <family val="2"/>
      <scheme val="minor"/>
    </font>
    <font>
      <vertAlign val="superscript"/>
      <sz val="9"/>
      <color rgb="FF000000"/>
      <name val="Calibri"/>
      <family val="2"/>
      <scheme val="minor"/>
    </font>
    <font>
      <u/>
      <sz val="11"/>
      <color theme="1"/>
      <name val="Calibri"/>
      <family val="2"/>
      <scheme val="minor"/>
    </font>
    <font>
      <b/>
      <sz val="11"/>
      <name val="Times New Roman"/>
      <family val="1"/>
    </font>
    <font>
      <sz val="11"/>
      <name val="Times New Roman"/>
      <family val="1"/>
    </font>
    <font>
      <sz val="11"/>
      <name val="Calibri"/>
      <family val="1"/>
    </font>
    <font>
      <sz val="11"/>
      <color theme="1"/>
      <name val="Times New Roman"/>
      <family val="1"/>
    </font>
    <font>
      <b/>
      <sz val="12"/>
      <color rgb="FFFFFFFF"/>
      <name val="Calibri"/>
      <family val="2"/>
      <scheme val="minor"/>
    </font>
    <font>
      <i/>
      <sz val="11"/>
      <color rgb="FF595959"/>
      <name val="Calibri"/>
      <family val="2"/>
      <scheme val="minor"/>
    </font>
  </fonts>
  <fills count="23">
    <fill>
      <patternFill patternType="none"/>
    </fill>
    <fill>
      <patternFill patternType="gray125"/>
    </fill>
    <fill>
      <patternFill patternType="solid">
        <fgColor theme="0"/>
        <bgColor indexed="64"/>
      </patternFill>
    </fill>
    <fill>
      <patternFill patternType="solid">
        <fgColor rgb="FFFFC000"/>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FFFF"/>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DBE5F1"/>
        <bgColor indexed="64"/>
      </patternFill>
    </fill>
    <fill>
      <patternFill patternType="solid">
        <fgColor theme="8" tint="0.79998168889431442"/>
        <bgColor indexed="64"/>
      </patternFill>
    </fill>
    <fill>
      <patternFill patternType="solid">
        <fgColor rgb="FF8DB3E2"/>
        <bgColor indexed="64"/>
      </patternFill>
    </fill>
    <fill>
      <patternFill patternType="solid">
        <fgColor rgb="FFD9D9D9"/>
        <bgColor indexed="64"/>
      </patternFill>
    </fill>
    <fill>
      <patternFill patternType="solid">
        <fgColor them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rgb="FF1F4E78"/>
        <bgColor indexed="64"/>
      </patternFill>
    </fill>
    <fill>
      <patternFill patternType="solid">
        <fgColor rgb="FFDDEBF7"/>
        <bgColor indexed="64"/>
      </patternFill>
    </fill>
    <fill>
      <patternFill patternType="solid">
        <fgColor rgb="FFFFE699"/>
        <bgColor indexed="64"/>
      </patternFill>
    </fill>
    <fill>
      <patternFill patternType="solid">
        <fgColor rgb="FFF2F2F2"/>
        <bgColor indexed="64"/>
      </patternFill>
    </fill>
    <fill>
      <patternFill patternType="solid">
        <fgColor rgb="FFFFF2CC"/>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right/>
      <top/>
      <bottom style="thick">
        <color indexed="64"/>
      </bottom>
      <diagonal/>
    </border>
    <border>
      <left/>
      <right/>
      <top style="thick">
        <color indexed="64"/>
      </top>
      <bottom/>
      <diagonal/>
    </border>
    <border>
      <left style="thick">
        <color rgb="FFFFFFFF"/>
      </left>
      <right style="thick">
        <color rgb="FFFFFFFF"/>
      </right>
      <top style="thick">
        <color indexed="64"/>
      </top>
      <bottom style="thick">
        <color indexed="64"/>
      </bottom>
      <diagonal/>
    </border>
    <border>
      <left/>
      <right/>
      <top style="thick">
        <color indexed="64"/>
      </top>
      <bottom style="thick">
        <color indexed="64"/>
      </bottom>
      <diagonal/>
    </border>
    <border>
      <left style="thick">
        <color rgb="FFFFFFFF"/>
      </left>
      <right style="thick">
        <color rgb="FFFFFFFF"/>
      </right>
      <top style="thick">
        <color indexed="64"/>
      </top>
      <bottom/>
      <diagonal/>
    </border>
    <border>
      <left style="thick">
        <color rgb="FFFFFFFF"/>
      </left>
      <right style="thick">
        <color rgb="FFFFFFFF"/>
      </right>
      <top/>
      <bottom style="thick">
        <color indexed="64"/>
      </bottom>
      <diagonal/>
    </border>
    <border>
      <left/>
      <right style="thick">
        <color rgb="FFFFFFFF"/>
      </right>
      <top/>
      <bottom style="thick">
        <color indexed="64"/>
      </bottom>
      <diagonal/>
    </border>
    <border>
      <left/>
      <right style="thick">
        <color rgb="FFFFFFFF"/>
      </right>
      <top style="thick">
        <color indexed="64"/>
      </top>
      <bottom style="thick">
        <color rgb="FFFFFFFF"/>
      </bottom>
      <diagonal/>
    </border>
    <border>
      <left/>
      <right/>
      <top style="thick">
        <color indexed="64"/>
      </top>
      <bottom style="thick">
        <color rgb="FFFFFFFF"/>
      </bottom>
      <diagonal/>
    </border>
    <border>
      <left style="thick">
        <color rgb="FFFFFFFF"/>
      </left>
      <right/>
      <top style="thick">
        <color indexed="64"/>
      </top>
      <bottom style="thick">
        <color rgb="FFFFFFFF"/>
      </bottom>
      <diagonal/>
    </border>
    <border>
      <left style="thick">
        <color indexed="64"/>
      </left>
      <right style="thick">
        <color indexed="64"/>
      </right>
      <top style="thick">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ck">
        <color indexed="64"/>
      </right>
      <top/>
      <bottom style="thick">
        <color indexed="64"/>
      </bottom>
      <diagonal/>
    </border>
    <border>
      <left/>
      <right style="thick">
        <color indexed="64"/>
      </right>
      <top/>
      <bottom style="medium">
        <color indexed="64"/>
      </bottom>
      <diagonal/>
    </border>
    <border>
      <left/>
      <right/>
      <top/>
      <bottom style="thick">
        <color rgb="FF548DD4"/>
      </bottom>
      <diagonal/>
    </border>
    <border>
      <left/>
      <right/>
      <top style="thick">
        <color rgb="FF548DD4"/>
      </top>
      <bottom style="thick">
        <color theme="4" tint="-0.249977111117893"/>
      </bottom>
      <diagonal/>
    </border>
    <border>
      <left/>
      <right/>
      <top style="thick">
        <color theme="4" tint="-0.249977111117893"/>
      </top>
      <bottom/>
      <diagonal/>
    </border>
    <border>
      <left/>
      <right/>
      <top/>
      <bottom style="thick">
        <color theme="4" tint="-0.249977111117893"/>
      </bottom>
      <diagonal/>
    </border>
    <border>
      <left/>
      <right/>
      <top style="thick">
        <color rgb="FF4F81BD"/>
      </top>
      <bottom style="thick">
        <color theme="4" tint="-0.249977111117893"/>
      </bottom>
      <diagonal/>
    </border>
    <border>
      <left/>
      <right/>
      <top style="thick">
        <color theme="4" tint="-0.249977111117893"/>
      </top>
      <bottom style="thick">
        <color theme="4" tint="-0.249977111117893"/>
      </bottom>
      <diagonal/>
    </border>
    <border>
      <left/>
      <right/>
      <top style="thick">
        <color theme="4" tint="-0.249977111117893"/>
      </top>
      <bottom style="thick">
        <color indexed="64"/>
      </bottom>
      <diagonal/>
    </border>
    <border>
      <left style="thick">
        <color indexed="64"/>
      </left>
      <right/>
      <top style="thick">
        <color indexed="64"/>
      </top>
      <bottom style="thick">
        <color indexed="64"/>
      </bottom>
      <diagonal/>
    </border>
    <border>
      <left/>
      <right style="thick">
        <color indexed="64"/>
      </right>
      <top style="thick">
        <color indexed="64"/>
      </top>
      <bottom style="thick">
        <color indexed="64"/>
      </bottom>
      <diagonal/>
    </border>
    <border>
      <left/>
      <right/>
      <top/>
      <bottom style="thin">
        <color theme="0"/>
      </bottom>
      <diagonal/>
    </border>
    <border>
      <left/>
      <right/>
      <top style="thick">
        <color theme="4" tint="-0.249977111117893"/>
      </top>
      <bottom style="thin">
        <color theme="0"/>
      </bottom>
      <diagonal/>
    </border>
    <border>
      <left/>
      <right/>
      <top style="thick">
        <color rgb="FF0070C0"/>
      </top>
      <bottom/>
      <diagonal/>
    </border>
    <border>
      <left/>
      <right/>
      <top/>
      <bottom style="thick">
        <color rgb="FF0070C0"/>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diagonal/>
    </border>
    <border>
      <left style="medium">
        <color indexed="64"/>
      </left>
      <right style="thin">
        <color indexed="64"/>
      </right>
      <top/>
      <bottom style="double">
        <color indexed="64"/>
      </bottom>
      <diagonal/>
    </border>
  </borders>
  <cellStyleXfs count="1">
    <xf numFmtId="0" fontId="0" fillId="0" borderId="0"/>
  </cellStyleXfs>
  <cellXfs count="395">
    <xf numFmtId="0" fontId="0" fillId="0" borderId="0" xfId="0"/>
    <xf numFmtId="0" fontId="1" fillId="0" borderId="0" xfId="0" applyFont="1"/>
    <xf numFmtId="0" fontId="3" fillId="0" borderId="0" xfId="0" applyFont="1"/>
    <xf numFmtId="0" fontId="4" fillId="0" borderId="0" xfId="0" applyFont="1" applyAlignment="1">
      <alignment horizontal="center"/>
    </xf>
    <xf numFmtId="0" fontId="4" fillId="2" borderId="1" xfId="0" applyFont="1" applyFill="1" applyBorder="1" applyAlignment="1">
      <alignment horizontal="center"/>
    </xf>
    <xf numFmtId="0" fontId="3" fillId="2" borderId="7" xfId="0" applyFont="1" applyFill="1" applyBorder="1"/>
    <xf numFmtId="0" fontId="3" fillId="2" borderId="1" xfId="0" applyFont="1" applyFill="1" applyBorder="1" applyAlignment="1">
      <alignment horizontal="center"/>
    </xf>
    <xf numFmtId="0" fontId="1" fillId="2" borderId="0" xfId="0" applyFont="1" applyFill="1"/>
    <xf numFmtId="0" fontId="3" fillId="2" borderId="15" xfId="0" applyFont="1" applyFill="1" applyBorder="1"/>
    <xf numFmtId="0" fontId="3" fillId="2" borderId="24" xfId="0" applyFont="1" applyFill="1" applyBorder="1" applyAlignment="1">
      <alignment horizontal="left" vertical="center" wrapText="1"/>
    </xf>
    <xf numFmtId="0" fontId="1" fillId="2" borderId="24" xfId="0" applyFont="1" applyFill="1" applyBorder="1"/>
    <xf numFmtId="0" fontId="4" fillId="2" borderId="6" xfId="0" applyFont="1" applyFill="1" applyBorder="1"/>
    <xf numFmtId="0" fontId="1" fillId="2" borderId="19" xfId="0" applyFont="1" applyFill="1" applyBorder="1"/>
    <xf numFmtId="0" fontId="3" fillId="2" borderId="24" xfId="0" applyFont="1" applyFill="1" applyBorder="1" applyAlignment="1">
      <alignment horizontal="center"/>
    </xf>
    <xf numFmtId="0" fontId="1" fillId="2" borderId="17" xfId="0" applyFont="1" applyFill="1" applyBorder="1"/>
    <xf numFmtId="0" fontId="3" fillId="0" borderId="18" xfId="0" applyFont="1" applyBorder="1"/>
    <xf numFmtId="0" fontId="4" fillId="2" borderId="19" xfId="0" applyFont="1" applyFill="1" applyBorder="1" applyAlignment="1">
      <alignment horizontal="center"/>
    </xf>
    <xf numFmtId="0" fontId="4" fillId="2" borderId="26" xfId="0" applyFont="1" applyFill="1" applyBorder="1" applyAlignment="1">
      <alignment horizontal="center"/>
    </xf>
    <xf numFmtId="0" fontId="4" fillId="2" borderId="21" xfId="0" applyFont="1" applyFill="1" applyBorder="1" applyAlignment="1">
      <alignment horizontal="center"/>
    </xf>
    <xf numFmtId="0" fontId="1" fillId="2" borderId="21" xfId="0" applyFont="1" applyFill="1" applyBorder="1"/>
    <xf numFmtId="0" fontId="1" fillId="2" borderId="18" xfId="0" applyFont="1" applyFill="1" applyBorder="1"/>
    <xf numFmtId="0" fontId="1" fillId="2" borderId="20" xfId="0" applyFont="1" applyFill="1" applyBorder="1"/>
    <xf numFmtId="0" fontId="1" fillId="2" borderId="22" xfId="0" applyFont="1" applyFill="1" applyBorder="1"/>
    <xf numFmtId="0" fontId="1" fillId="2" borderId="23" xfId="0" applyFont="1" applyFill="1" applyBorder="1"/>
    <xf numFmtId="0" fontId="1" fillId="2" borderId="25" xfId="0" applyFont="1" applyFill="1" applyBorder="1"/>
    <xf numFmtId="0" fontId="3" fillId="2" borderId="22" xfId="0" applyFont="1" applyFill="1" applyBorder="1" applyAlignment="1">
      <alignment horizontal="left"/>
    </xf>
    <xf numFmtId="0" fontId="3" fillId="2" borderId="22" xfId="0" applyFont="1" applyFill="1" applyBorder="1"/>
    <xf numFmtId="0" fontId="0" fillId="2" borderId="19" xfId="0" applyFill="1" applyBorder="1"/>
    <xf numFmtId="0" fontId="0" fillId="2" borderId="20"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3" fillId="2" borderId="20" xfId="0" applyFont="1" applyFill="1" applyBorder="1"/>
    <xf numFmtId="0" fontId="4" fillId="2" borderId="22" xfId="0" applyFont="1" applyFill="1" applyBorder="1" applyAlignment="1">
      <alignment horizontal="center"/>
    </xf>
    <xf numFmtId="0" fontId="3" fillId="2" borderId="18" xfId="0" applyFont="1" applyFill="1" applyBorder="1" applyAlignment="1">
      <alignment vertical="center"/>
    </xf>
    <xf numFmtId="0" fontId="4" fillId="2" borderId="19" xfId="0" applyFont="1" applyFill="1" applyBorder="1" applyAlignment="1">
      <alignment horizontal="left" vertical="center"/>
    </xf>
    <xf numFmtId="0" fontId="3" fillId="2" borderId="21" xfId="0" applyFont="1" applyFill="1" applyBorder="1" applyAlignment="1">
      <alignment vertical="center"/>
    </xf>
    <xf numFmtId="0" fontId="3" fillId="2" borderId="27"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6" fillId="2" borderId="0" xfId="0" applyFont="1" applyFill="1"/>
    <xf numFmtId="0" fontId="1" fillId="0" borderId="0" xfId="0" applyFont="1" applyAlignment="1">
      <alignment horizontal="right"/>
    </xf>
    <xf numFmtId="0" fontId="1" fillId="0" borderId="0" xfId="0" applyFont="1" applyAlignment="1">
      <alignment horizontal="left"/>
    </xf>
    <xf numFmtId="0" fontId="3" fillId="0" borderId="0" xfId="0" applyFont="1" applyAlignment="1">
      <alignment horizontal="right"/>
    </xf>
    <xf numFmtId="0" fontId="8" fillId="0" borderId="0" xfId="0" applyFont="1" applyAlignment="1">
      <alignment horizontal="right"/>
    </xf>
    <xf numFmtId="0" fontId="8" fillId="0" borderId="0" xfId="0" applyFont="1" applyAlignment="1">
      <alignment horizontal="left"/>
    </xf>
    <xf numFmtId="0" fontId="3" fillId="3" borderId="1" xfId="0" applyFont="1" applyFill="1" applyBorder="1" applyAlignment="1">
      <alignment horizontal="center"/>
    </xf>
    <xf numFmtId="1" fontId="8" fillId="0" borderId="0" xfId="0" applyNumberFormat="1" applyFont="1" applyAlignment="1">
      <alignment horizontal="left"/>
    </xf>
    <xf numFmtId="0" fontId="4" fillId="2" borderId="0" xfId="0" applyFont="1" applyFill="1" applyAlignment="1">
      <alignment horizontal="center"/>
    </xf>
    <xf numFmtId="0" fontId="0" fillId="2" borderId="0" xfId="0" applyFill="1"/>
    <xf numFmtId="0" fontId="7" fillId="2" borderId="0" xfId="0" applyFont="1" applyFill="1"/>
    <xf numFmtId="0" fontId="3" fillId="2" borderId="0" xfId="0" applyFont="1" applyFill="1"/>
    <xf numFmtId="0" fontId="0" fillId="2" borderId="21" xfId="0" applyFill="1" applyBorder="1"/>
    <xf numFmtId="0" fontId="3" fillId="2" borderId="0" xfId="0" applyFont="1" applyFill="1" applyAlignment="1">
      <alignment horizontal="center"/>
    </xf>
    <xf numFmtId="0" fontId="3" fillId="2" borderId="0" xfId="0" applyFont="1" applyFill="1" applyAlignment="1">
      <alignment vertical="center"/>
    </xf>
    <xf numFmtId="0" fontId="3" fillId="2" borderId="0" xfId="0" applyFont="1" applyFill="1" applyAlignment="1">
      <alignment horizontal="left"/>
    </xf>
    <xf numFmtId="0" fontId="3" fillId="2" borderId="0" xfId="0" applyFont="1" applyFill="1" applyAlignment="1">
      <alignment vertical="top" wrapText="1"/>
    </xf>
    <xf numFmtId="0" fontId="3" fillId="2" borderId="6" xfId="0" applyFont="1" applyFill="1" applyBorder="1" applyAlignment="1">
      <alignment horizontal="right"/>
    </xf>
    <xf numFmtId="0" fontId="1" fillId="2" borderId="0" xfId="0" applyFont="1" applyFill="1" applyAlignment="1">
      <alignment horizontal="right"/>
    </xf>
    <xf numFmtId="0" fontId="3" fillId="2" borderId="8" xfId="0" applyFont="1" applyFill="1" applyBorder="1" applyAlignment="1">
      <alignment horizontal="right"/>
    </xf>
    <xf numFmtId="0" fontId="3" fillId="2" borderId="7" xfId="0" applyFont="1" applyFill="1" applyBorder="1" applyAlignment="1">
      <alignment horizontal="right"/>
    </xf>
    <xf numFmtId="0" fontId="0" fillId="2" borderId="0" xfId="0" applyFill="1" applyAlignment="1">
      <alignment horizontal="right"/>
    </xf>
    <xf numFmtId="0" fontId="3" fillId="2" borderId="0" xfId="0" applyFont="1" applyFill="1" applyAlignment="1">
      <alignment horizontal="right"/>
    </xf>
    <xf numFmtId="0" fontId="3" fillId="2" borderId="0" xfId="0" applyFont="1" applyFill="1" applyAlignment="1">
      <alignment horizontal="right" vertical="center"/>
    </xf>
    <xf numFmtId="0" fontId="3" fillId="2" borderId="0" xfId="0" applyFont="1" applyFill="1" applyAlignment="1">
      <alignment horizontal="left" vertical="center" wrapText="1"/>
    </xf>
    <xf numFmtId="0" fontId="3" fillId="2" borderId="0" xfId="0" applyFont="1" applyFill="1" applyAlignment="1">
      <alignment vertical="center" wrapText="1"/>
    </xf>
    <xf numFmtId="0" fontId="3" fillId="2" borderId="6" xfId="0" applyFont="1" applyFill="1" applyBorder="1"/>
    <xf numFmtId="0" fontId="4" fillId="2" borderId="1" xfId="0" quotePrefix="1" applyFont="1" applyFill="1" applyBorder="1" applyAlignment="1">
      <alignment horizontal="center"/>
    </xf>
    <xf numFmtId="0" fontId="4" fillId="0" borderId="0" xfId="0" quotePrefix="1" applyFont="1" applyAlignment="1">
      <alignment horizontal="center"/>
    </xf>
    <xf numFmtId="0" fontId="1" fillId="4" borderId="0" xfId="0" applyFont="1" applyFill="1"/>
    <xf numFmtId="0" fontId="1" fillId="0" borderId="23" xfId="0" applyFont="1" applyBorder="1"/>
    <xf numFmtId="0" fontId="1" fillId="0" borderId="25" xfId="0" applyFont="1" applyBorder="1"/>
    <xf numFmtId="0" fontId="10" fillId="0" borderId="0" xfId="0" applyFont="1"/>
    <xf numFmtId="0" fontId="11" fillId="0" borderId="0" xfId="0" applyFont="1"/>
    <xf numFmtId="1" fontId="1" fillId="0" borderId="0" xfId="0" applyNumberFormat="1" applyFont="1"/>
    <xf numFmtId="0" fontId="1" fillId="5" borderId="0" xfId="0" applyFont="1" applyFill="1"/>
    <xf numFmtId="0" fontId="1" fillId="3" borderId="0" xfId="0" applyFont="1" applyFill="1"/>
    <xf numFmtId="0" fontId="13" fillId="2" borderId="1" xfId="0" applyFont="1" applyFill="1" applyBorder="1" applyAlignment="1">
      <alignment horizontal="center"/>
    </xf>
    <xf numFmtId="0" fontId="0" fillId="0" borderId="0" xfId="0" applyAlignment="1">
      <alignment horizontal="center"/>
    </xf>
    <xf numFmtId="0" fontId="14" fillId="0" borderId="0" xfId="0" applyFont="1" applyAlignment="1">
      <alignment vertical="center" wrapText="1"/>
    </xf>
    <xf numFmtId="0" fontId="14" fillId="0" borderId="0" xfId="0" applyFont="1" applyAlignment="1">
      <alignment horizontal="center" vertical="center" wrapText="1"/>
    </xf>
    <xf numFmtId="0" fontId="14" fillId="6" borderId="0" xfId="0" applyFont="1" applyFill="1" applyAlignment="1">
      <alignment vertical="center" wrapText="1"/>
    </xf>
    <xf numFmtId="0" fontId="14" fillId="6" borderId="0" xfId="0" applyFont="1" applyFill="1" applyAlignment="1">
      <alignment horizontal="center" vertical="center" wrapText="1"/>
    </xf>
    <xf numFmtId="0" fontId="14" fillId="2" borderId="0" xfId="0" applyFont="1" applyFill="1" applyAlignment="1">
      <alignment vertical="center" wrapText="1"/>
    </xf>
    <xf numFmtId="0" fontId="14" fillId="2" borderId="0" xfId="0" applyFont="1" applyFill="1" applyAlignment="1">
      <alignment horizontal="center" vertical="center" wrapText="1"/>
    </xf>
    <xf numFmtId="0" fontId="14" fillId="7" borderId="0" xfId="0" applyFont="1" applyFill="1" applyAlignment="1">
      <alignment vertical="center" wrapText="1"/>
    </xf>
    <xf numFmtId="0" fontId="14" fillId="7" borderId="0" xfId="0" applyFont="1" applyFill="1" applyAlignment="1">
      <alignment horizontal="center" vertical="center" wrapText="1"/>
    </xf>
    <xf numFmtId="0" fontId="15" fillId="7" borderId="0" xfId="0" applyFont="1" applyFill="1" applyAlignment="1">
      <alignment horizontal="center" vertical="center" wrapText="1"/>
    </xf>
    <xf numFmtId="0" fontId="0" fillId="7" borderId="0" xfId="0" applyFill="1" applyAlignment="1">
      <alignment horizontal="center"/>
    </xf>
    <xf numFmtId="0" fontId="14" fillId="7" borderId="28" xfId="0" applyFont="1" applyFill="1" applyBorder="1" applyAlignment="1">
      <alignment vertical="center" wrapText="1"/>
    </xf>
    <xf numFmtId="0" fontId="15" fillId="7" borderId="28" xfId="0" applyFont="1" applyFill="1" applyBorder="1" applyAlignment="1">
      <alignment horizontal="center" vertical="center" wrapText="1"/>
    </xf>
    <xf numFmtId="0" fontId="14" fillId="7" borderId="28" xfId="0" applyFont="1" applyFill="1" applyBorder="1" applyAlignment="1">
      <alignment horizontal="center" vertical="center" wrapText="1"/>
    </xf>
    <xf numFmtId="0" fontId="0" fillId="0" borderId="28" xfId="0" applyBorder="1"/>
    <xf numFmtId="0" fontId="0" fillId="0" borderId="29" xfId="0" applyBorder="1"/>
    <xf numFmtId="0" fontId="15" fillId="0" borderId="0" xfId="0" applyFont="1" applyAlignment="1">
      <alignment horizontal="center" vertical="center" wrapText="1"/>
    </xf>
    <xf numFmtId="0" fontId="1" fillId="8" borderId="0" xfId="0" applyFont="1" applyFill="1" applyAlignment="1">
      <alignment horizontal="left"/>
    </xf>
    <xf numFmtId="0" fontId="17" fillId="6" borderId="30" xfId="0" applyFont="1" applyFill="1" applyBorder="1" applyAlignment="1">
      <alignment vertical="center" wrapText="1"/>
    </xf>
    <xf numFmtId="0" fontId="17" fillId="6" borderId="31" xfId="0" applyFont="1" applyFill="1" applyBorder="1" applyAlignment="1">
      <alignment horizontal="right" vertical="center" wrapText="1"/>
    </xf>
    <xf numFmtId="0" fontId="14" fillId="6" borderId="0" xfId="0" applyFont="1" applyFill="1" applyAlignment="1">
      <alignment horizontal="right" vertical="center" wrapText="1"/>
    </xf>
    <xf numFmtId="10" fontId="14" fillId="6" borderId="0" xfId="0" applyNumberFormat="1" applyFont="1" applyFill="1" applyAlignment="1">
      <alignment horizontal="right" vertical="center" wrapText="1"/>
    </xf>
    <xf numFmtId="0" fontId="15" fillId="0" borderId="0" xfId="0" applyFont="1" applyAlignment="1">
      <alignment horizontal="right" vertical="center" wrapText="1"/>
    </xf>
    <xf numFmtId="0" fontId="17" fillId="0" borderId="31" xfId="0" applyFont="1" applyBorder="1" applyAlignment="1">
      <alignment horizontal="center" vertical="center" wrapText="1"/>
    </xf>
    <xf numFmtId="0" fontId="17" fillId="0" borderId="31" xfId="0" applyFont="1" applyBorder="1" applyAlignment="1">
      <alignment horizontal="right" vertical="center" wrapText="1"/>
    </xf>
    <xf numFmtId="9" fontId="17" fillId="0" borderId="31" xfId="0" applyNumberFormat="1" applyFont="1" applyBorder="1" applyAlignment="1">
      <alignment horizontal="right" vertical="center" wrapText="1"/>
    </xf>
    <xf numFmtId="0" fontId="18" fillId="0" borderId="0" xfId="0" applyFont="1" applyAlignment="1">
      <alignment vertical="center"/>
    </xf>
    <xf numFmtId="0" fontId="18" fillId="0" borderId="28" xfId="0" applyFont="1" applyBorder="1" applyAlignment="1">
      <alignment vertical="center"/>
    </xf>
    <xf numFmtId="0" fontId="19" fillId="0" borderId="0" xfId="0" applyFont="1" applyAlignment="1">
      <alignment vertical="center"/>
    </xf>
    <xf numFmtId="0" fontId="17" fillId="6" borderId="34" xfId="0" applyFont="1" applyFill="1" applyBorder="1" applyAlignment="1">
      <alignment horizontal="center" vertical="center" wrapText="1"/>
    </xf>
    <xf numFmtId="0" fontId="7" fillId="6" borderId="34" xfId="0" applyFont="1" applyFill="1" applyBorder="1" applyAlignment="1">
      <alignment horizontal="center" vertical="center" wrapText="1"/>
    </xf>
    <xf numFmtId="0" fontId="14" fillId="6" borderId="29" xfId="0" applyFont="1" applyFill="1" applyBorder="1" applyAlignment="1">
      <alignment vertical="center" wrapText="1"/>
    </xf>
    <xf numFmtId="0" fontId="14" fillId="6" borderId="29" xfId="0" applyFont="1" applyFill="1" applyBorder="1" applyAlignment="1">
      <alignment horizontal="right" vertical="center" wrapText="1"/>
    </xf>
    <xf numFmtId="10" fontId="14" fillId="6" borderId="29" xfId="0" applyNumberFormat="1" applyFont="1" applyFill="1" applyBorder="1" applyAlignment="1">
      <alignment horizontal="right" vertical="center" wrapText="1"/>
    </xf>
    <xf numFmtId="10" fontId="14" fillId="0" borderId="0" xfId="0" applyNumberFormat="1" applyFont="1" applyAlignment="1">
      <alignment horizontal="right" vertical="center" wrapText="1"/>
    </xf>
    <xf numFmtId="0" fontId="14" fillId="0" borderId="28" xfId="0" applyFont="1" applyBorder="1" applyAlignment="1">
      <alignment vertical="center" wrapText="1"/>
    </xf>
    <xf numFmtId="0" fontId="15" fillId="0" borderId="28" xfId="0" applyFont="1" applyBorder="1" applyAlignment="1">
      <alignment horizontal="right" vertical="center" wrapText="1"/>
    </xf>
    <xf numFmtId="0" fontId="14" fillId="0" borderId="28" xfId="0" applyFont="1" applyBorder="1" applyAlignment="1">
      <alignment horizontal="center" vertical="center" wrapText="1"/>
    </xf>
    <xf numFmtId="0" fontId="14" fillId="9" borderId="0" xfId="0" applyFont="1" applyFill="1" applyAlignment="1">
      <alignment vertical="center" wrapText="1"/>
    </xf>
    <xf numFmtId="0" fontId="14" fillId="9" borderId="0" xfId="0" applyFont="1" applyFill="1" applyAlignment="1">
      <alignment horizontal="center" vertical="center" wrapText="1"/>
    </xf>
    <xf numFmtId="0" fontId="15" fillId="0" borderId="28" xfId="0" applyFont="1" applyBorder="1" applyAlignment="1">
      <alignment horizontal="center" vertical="center" wrapText="1"/>
    </xf>
    <xf numFmtId="0" fontId="17" fillId="0" borderId="28" xfId="0" applyFont="1" applyBorder="1" applyAlignment="1">
      <alignment horizontal="center" vertical="center" wrapText="1"/>
    </xf>
    <xf numFmtId="0" fontId="17" fillId="0" borderId="0" xfId="0" applyFont="1" applyAlignment="1">
      <alignment horizontal="center" vertical="center" wrapText="1"/>
    </xf>
    <xf numFmtId="0" fontId="17" fillId="6" borderId="30" xfId="0" applyFont="1" applyFill="1" applyBorder="1" applyAlignment="1">
      <alignment horizontal="center" vertical="center" wrapText="1"/>
    </xf>
    <xf numFmtId="0" fontId="17" fillId="6" borderId="31" xfId="0" applyFont="1" applyFill="1" applyBorder="1" applyAlignment="1">
      <alignment horizontal="center" vertical="center" wrapText="1"/>
    </xf>
    <xf numFmtId="0" fontId="15" fillId="0" borderId="28" xfId="0" applyFont="1" applyBorder="1" applyAlignment="1">
      <alignment vertical="center" wrapText="1"/>
    </xf>
    <xf numFmtId="0" fontId="0" fillId="0" borderId="28" xfId="0" applyBorder="1" applyAlignment="1">
      <alignment horizontal="center"/>
    </xf>
    <xf numFmtId="0" fontId="17" fillId="0" borderId="28" xfId="0" applyFont="1" applyBorder="1" applyAlignment="1">
      <alignment horizontal="right" vertical="center" wrapText="1"/>
    </xf>
    <xf numFmtId="9" fontId="17" fillId="0" borderId="28" xfId="0" applyNumberFormat="1" applyFont="1" applyBorder="1" applyAlignment="1">
      <alignment horizontal="right" vertical="center" wrapText="1"/>
    </xf>
    <xf numFmtId="10" fontId="14" fillId="6" borderId="28" xfId="0" applyNumberFormat="1" applyFont="1" applyFill="1" applyBorder="1" applyAlignment="1">
      <alignment horizontal="right" vertical="center" wrapText="1"/>
    </xf>
    <xf numFmtId="0" fontId="25" fillId="0" borderId="0" xfId="0" applyFont="1" applyAlignment="1">
      <alignment horizontal="center" vertical="center"/>
    </xf>
    <xf numFmtId="0" fontId="12" fillId="6" borderId="38" xfId="0" applyFont="1" applyFill="1" applyBorder="1" applyAlignment="1">
      <alignment horizontal="center" vertical="center" wrapText="1"/>
    </xf>
    <xf numFmtId="0" fontId="17" fillId="6" borderId="38" xfId="0" applyFont="1" applyFill="1" applyBorder="1" applyAlignment="1">
      <alignment horizontal="center" vertical="center" wrapText="1"/>
    </xf>
    <xf numFmtId="0" fontId="24" fillId="6" borderId="38" xfId="0" applyFont="1" applyFill="1" applyBorder="1" applyAlignment="1">
      <alignment horizontal="center" vertical="center" wrapText="1"/>
    </xf>
    <xf numFmtId="0" fontId="12" fillId="9" borderId="38" xfId="0" applyFont="1" applyFill="1" applyBorder="1" applyAlignment="1">
      <alignment horizontal="center" vertical="center" wrapText="1"/>
    </xf>
    <xf numFmtId="0" fontId="17" fillId="9" borderId="38" xfId="0" applyFont="1" applyFill="1" applyBorder="1" applyAlignment="1">
      <alignment horizontal="center" vertical="center" wrapText="1"/>
    </xf>
    <xf numFmtId="0" fontId="12" fillId="6" borderId="38" xfId="0" applyFont="1" applyFill="1" applyBorder="1" applyAlignment="1">
      <alignment horizontal="left" vertical="center" wrapText="1"/>
    </xf>
    <xf numFmtId="0" fontId="9" fillId="0" borderId="0" xfId="0" applyFont="1" applyAlignment="1">
      <alignment horizontal="left" vertical="center"/>
    </xf>
    <xf numFmtId="0" fontId="9" fillId="0" borderId="38" xfId="0" applyFont="1" applyBorder="1" applyAlignment="1">
      <alignment horizontal="left" vertical="center"/>
    </xf>
    <xf numFmtId="0" fontId="0" fillId="0" borderId="0" xfId="0" quotePrefix="1"/>
    <xf numFmtId="0" fontId="9" fillId="10" borderId="38" xfId="0" applyFont="1" applyFill="1" applyBorder="1" applyAlignment="1">
      <alignment horizontal="left" vertical="center"/>
    </xf>
    <xf numFmtId="0" fontId="12" fillId="10" borderId="38" xfId="0" applyFont="1" applyFill="1" applyBorder="1" applyAlignment="1">
      <alignment horizontal="center" vertical="center" wrapText="1"/>
    </xf>
    <xf numFmtId="0" fontId="22" fillId="10" borderId="38" xfId="0" applyFont="1" applyFill="1" applyBorder="1" applyAlignment="1">
      <alignment horizontal="center" vertical="center" wrapText="1"/>
    </xf>
    <xf numFmtId="0" fontId="12" fillId="6" borderId="43" xfId="0" applyFont="1" applyFill="1" applyBorder="1" applyAlignment="1">
      <alignment vertical="center" wrapText="1"/>
    </xf>
    <xf numFmtId="0" fontId="12" fillId="6" borderId="43" xfId="0" applyFont="1" applyFill="1" applyBorder="1" applyAlignment="1">
      <alignment horizontal="center" vertical="center" wrapText="1"/>
    </xf>
    <xf numFmtId="0" fontId="17" fillId="6" borderId="43" xfId="0" applyFont="1" applyFill="1" applyBorder="1" applyAlignment="1">
      <alignment horizontal="center" vertical="center" wrapText="1"/>
    </xf>
    <xf numFmtId="0" fontId="12" fillId="6" borderId="42" xfId="0" applyFont="1" applyFill="1" applyBorder="1" applyAlignment="1">
      <alignment vertical="center" wrapText="1"/>
    </xf>
    <xf numFmtId="0" fontId="12" fillId="6" borderId="42" xfId="0" applyFont="1" applyFill="1" applyBorder="1" applyAlignment="1">
      <alignment horizontal="center" vertical="center" wrapText="1"/>
    </xf>
    <xf numFmtId="0" fontId="17" fillId="6" borderId="42" xfId="0" applyFont="1" applyFill="1" applyBorder="1" applyAlignment="1">
      <alignment horizontal="center" vertical="center" wrapText="1"/>
    </xf>
    <xf numFmtId="0" fontId="3" fillId="2" borderId="18" xfId="0" applyFont="1" applyFill="1" applyBorder="1"/>
    <xf numFmtId="0" fontId="9" fillId="2" borderId="1" xfId="0" applyFont="1" applyFill="1" applyBorder="1" applyAlignment="1">
      <alignment horizontal="center"/>
    </xf>
    <xf numFmtId="0" fontId="9" fillId="2" borderId="7" xfId="0" applyFont="1" applyFill="1" applyBorder="1" applyAlignment="1">
      <alignment horizontal="right"/>
    </xf>
    <xf numFmtId="0" fontId="9" fillId="2" borderId="6" xfId="0" applyFont="1" applyFill="1" applyBorder="1" applyAlignment="1">
      <alignment horizontal="right"/>
    </xf>
    <xf numFmtId="0" fontId="16" fillId="0" borderId="28" xfId="0" applyFont="1" applyBorder="1" applyAlignment="1">
      <alignment horizontal="center" vertical="center" wrapText="1"/>
    </xf>
    <xf numFmtId="0" fontId="28" fillId="12" borderId="44" xfId="0" applyFont="1" applyFill="1" applyBorder="1" applyAlignment="1">
      <alignment horizontal="center" vertical="center" wrapText="1"/>
    </xf>
    <xf numFmtId="0" fontId="28" fillId="9" borderId="44" xfId="0" applyFont="1" applyFill="1" applyBorder="1" applyAlignment="1">
      <alignment vertical="center" wrapText="1"/>
    </xf>
    <xf numFmtId="0" fontId="28" fillId="6" borderId="44" xfId="0" applyFont="1" applyFill="1" applyBorder="1" applyAlignment="1">
      <alignment horizontal="center" vertical="center" wrapText="1"/>
    </xf>
    <xf numFmtId="0" fontId="28" fillId="6" borderId="44" xfId="0" applyFont="1" applyFill="1" applyBorder="1" applyAlignment="1">
      <alignment vertical="center" wrapText="1"/>
    </xf>
    <xf numFmtId="0" fontId="28" fillId="6" borderId="0" xfId="0" applyFont="1" applyFill="1" applyAlignment="1">
      <alignment vertical="center" wrapText="1"/>
    </xf>
    <xf numFmtId="0" fontId="28" fillId="9" borderId="45" xfId="0" applyFont="1" applyFill="1" applyBorder="1" applyAlignment="1">
      <alignment horizontal="center" vertical="center" wrapText="1"/>
    </xf>
    <xf numFmtId="0" fontId="28" fillId="6" borderId="46" xfId="0" applyFont="1" applyFill="1" applyBorder="1" applyAlignment="1">
      <alignment vertical="center" wrapText="1"/>
    </xf>
    <xf numFmtId="0" fontId="28" fillId="9" borderId="48" xfId="0" applyFont="1" applyFill="1" applyBorder="1" applyAlignment="1">
      <alignment horizontal="center" vertical="center" wrapText="1"/>
    </xf>
    <xf numFmtId="0" fontId="28" fillId="0" borderId="47" xfId="0" applyFont="1" applyBorder="1" applyAlignment="1">
      <alignment horizontal="center" vertical="center" wrapText="1"/>
    </xf>
    <xf numFmtId="0" fontId="28" fillId="0" borderId="45" xfId="0" applyFont="1" applyBorder="1" applyAlignment="1">
      <alignment horizontal="center" vertical="center" wrapText="1"/>
    </xf>
    <xf numFmtId="0" fontId="16" fillId="0" borderId="47" xfId="0" applyFont="1" applyBorder="1" applyAlignment="1">
      <alignment horizontal="center" vertical="center" wrapText="1"/>
    </xf>
    <xf numFmtId="0" fontId="30" fillId="0" borderId="0" xfId="0" applyFont="1"/>
    <xf numFmtId="0" fontId="28" fillId="2" borderId="0" xfId="0" applyFont="1" applyFill="1" applyAlignment="1">
      <alignment horizontal="center" vertical="center" wrapText="1"/>
    </xf>
    <xf numFmtId="0" fontId="28" fillId="2" borderId="0" xfId="0" applyFont="1" applyFill="1" applyAlignment="1">
      <alignment vertical="center" wrapText="1"/>
    </xf>
    <xf numFmtId="0" fontId="28" fillId="2" borderId="47" xfId="0" applyFont="1" applyFill="1" applyBorder="1" applyAlignment="1">
      <alignment horizontal="center" vertical="center" wrapText="1"/>
    </xf>
    <xf numFmtId="0" fontId="28" fillId="2" borderId="49" xfId="0" applyFont="1" applyFill="1" applyBorder="1" applyAlignment="1">
      <alignment vertical="center" wrapText="1"/>
    </xf>
    <xf numFmtId="0" fontId="28" fillId="7" borderId="0" xfId="0" applyFont="1" applyFill="1" applyAlignment="1">
      <alignment vertical="center" wrapText="1"/>
    </xf>
    <xf numFmtId="0" fontId="27" fillId="7" borderId="47" xfId="0" applyFont="1" applyFill="1" applyBorder="1" applyAlignment="1">
      <alignment vertical="center" wrapText="1"/>
    </xf>
    <xf numFmtId="0" fontId="27" fillId="7" borderId="47"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9" xfId="0" applyFont="1" applyFill="1" applyBorder="1" applyAlignment="1">
      <alignment horizontal="center" vertical="center" wrapText="1"/>
    </xf>
    <xf numFmtId="0" fontId="28" fillId="7" borderId="49" xfId="0" applyFont="1" applyFill="1" applyBorder="1" applyAlignment="1">
      <alignment vertical="center" wrapText="1"/>
    </xf>
    <xf numFmtId="0" fontId="27" fillId="7" borderId="49" xfId="0" applyFont="1" applyFill="1" applyBorder="1" applyAlignment="1">
      <alignment horizontal="center" vertical="center" wrapText="1"/>
    </xf>
    <xf numFmtId="0" fontId="27" fillId="7" borderId="49" xfId="0" applyFont="1" applyFill="1" applyBorder="1" applyAlignment="1">
      <alignment vertical="center" wrapText="1"/>
    </xf>
    <xf numFmtId="0" fontId="28" fillId="7" borderId="47" xfId="0" applyFont="1" applyFill="1" applyBorder="1" applyAlignment="1">
      <alignment horizontal="center" vertical="center" wrapText="1"/>
    </xf>
    <xf numFmtId="0" fontId="0" fillId="0" borderId="47" xfId="0" applyBorder="1"/>
    <xf numFmtId="0" fontId="28" fillId="13" borderId="49" xfId="0" applyFont="1" applyFill="1" applyBorder="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6" fillId="11" borderId="0" xfId="0" applyFont="1" applyFill="1" applyAlignment="1">
      <alignment horizontal="center" vertical="center" wrapText="1"/>
    </xf>
    <xf numFmtId="0" fontId="28" fillId="9" borderId="44" xfId="0" applyFont="1" applyFill="1" applyBorder="1" applyAlignment="1">
      <alignment horizontal="center" vertical="center" wrapText="1"/>
    </xf>
    <xf numFmtId="0" fontId="28" fillId="0" borderId="53" xfId="0" applyFont="1" applyBorder="1" applyAlignment="1">
      <alignment horizontal="center" vertical="center" wrapText="1"/>
    </xf>
    <xf numFmtId="0" fontId="28" fillId="0" borderId="54" xfId="0" applyFont="1" applyBorder="1" applyAlignment="1">
      <alignment horizontal="center" vertical="center" wrapText="1"/>
    </xf>
    <xf numFmtId="0" fontId="28" fillId="2" borderId="46" xfId="0" applyFont="1" applyFill="1" applyBorder="1" applyAlignment="1">
      <alignment horizontal="center" vertical="center" wrapText="1"/>
    </xf>
    <xf numFmtId="0" fontId="27" fillId="2" borderId="0" xfId="0" applyFont="1" applyFill="1" applyAlignment="1">
      <alignment vertical="center" wrapText="1"/>
    </xf>
    <xf numFmtId="0" fontId="27" fillId="2" borderId="47" xfId="0" applyFont="1" applyFill="1" applyBorder="1" applyAlignment="1">
      <alignment vertical="center" wrapText="1"/>
    </xf>
    <xf numFmtId="0" fontId="27" fillId="2" borderId="47" xfId="0" applyFont="1" applyFill="1" applyBorder="1" applyAlignment="1">
      <alignment horizontal="center" vertical="center" wrapText="1"/>
    </xf>
    <xf numFmtId="0" fontId="28" fillId="2" borderId="46" xfId="0" applyFont="1" applyFill="1" applyBorder="1" applyAlignment="1">
      <alignment vertical="center" wrapText="1"/>
    </xf>
    <xf numFmtId="0" fontId="27" fillId="2" borderId="46" xfId="0" applyFont="1" applyFill="1" applyBorder="1" applyAlignment="1">
      <alignment horizontal="center" vertical="center" wrapText="1"/>
    </xf>
    <xf numFmtId="0" fontId="27" fillId="2" borderId="0" xfId="0" applyFont="1" applyFill="1" applyAlignment="1">
      <alignment horizontal="center" vertical="center" wrapText="1"/>
    </xf>
    <xf numFmtId="0" fontId="28" fillId="2" borderId="47" xfId="0" applyFont="1" applyFill="1" applyBorder="1" applyAlignment="1">
      <alignment vertical="center" wrapText="1"/>
    </xf>
    <xf numFmtId="0" fontId="28" fillId="2" borderId="49" xfId="0" applyFont="1" applyFill="1" applyBorder="1" applyAlignment="1">
      <alignment horizontal="center" vertical="center" wrapText="1"/>
    </xf>
    <xf numFmtId="0" fontId="27" fillId="2" borderId="49" xfId="0" applyFont="1" applyFill="1" applyBorder="1" applyAlignment="1">
      <alignment horizontal="center" vertical="center" wrapText="1"/>
    </xf>
    <xf numFmtId="0" fontId="27" fillId="2" borderId="49" xfId="0" applyFont="1" applyFill="1" applyBorder="1" applyAlignment="1">
      <alignment vertical="center" wrapText="1"/>
    </xf>
    <xf numFmtId="0" fontId="0" fillId="0" borderId="47" xfId="0" applyBorder="1" applyAlignment="1">
      <alignment horizontal="center"/>
    </xf>
    <xf numFmtId="0" fontId="27" fillId="7" borderId="46"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0" borderId="1" xfId="0" applyFont="1" applyBorder="1" applyAlignment="1">
      <alignment horizontal="center" vertical="center" wrapText="1"/>
    </xf>
    <xf numFmtId="0" fontId="32" fillId="0" borderId="57" xfId="0" applyFont="1" applyBorder="1" applyAlignment="1">
      <alignment horizontal="center" vertical="center" wrapText="1"/>
    </xf>
    <xf numFmtId="0" fontId="0" fillId="0" borderId="57" xfId="0" applyBorder="1" applyAlignment="1">
      <alignment horizontal="center" vertical="center" wrapText="1"/>
    </xf>
    <xf numFmtId="0" fontId="1" fillId="0" borderId="22" xfId="0" applyFont="1" applyBorder="1"/>
    <xf numFmtId="0" fontId="9" fillId="2" borderId="0" xfId="0" applyFont="1" applyFill="1" applyAlignment="1">
      <alignment horizontal="center"/>
    </xf>
    <xf numFmtId="0" fontId="8" fillId="2" borderId="0" xfId="0" applyFont="1" applyFill="1" applyAlignment="1">
      <alignment horizontal="right"/>
    </xf>
    <xf numFmtId="0" fontId="8" fillId="2" borderId="0" xfId="0" applyFont="1" applyFill="1" applyAlignment="1">
      <alignment horizontal="left"/>
    </xf>
    <xf numFmtId="1" fontId="1" fillId="2" borderId="0" xfId="0" applyNumberFormat="1" applyFont="1" applyFill="1"/>
    <xf numFmtId="0" fontId="3" fillId="2" borderId="59" xfId="0" applyFont="1" applyFill="1" applyBorder="1" applyAlignment="1">
      <alignment horizontal="right"/>
    </xf>
    <xf numFmtId="0" fontId="8" fillId="0" borderId="21" xfId="0" applyFont="1" applyBorder="1" applyAlignment="1">
      <alignment horizontal="right"/>
    </xf>
    <xf numFmtId="0" fontId="3" fillId="14" borderId="1" xfId="0" applyFont="1" applyFill="1" applyBorder="1" applyAlignment="1">
      <alignment horizontal="center"/>
    </xf>
    <xf numFmtId="0" fontId="3" fillId="15" borderId="1" xfId="0" applyFont="1" applyFill="1" applyBorder="1" applyAlignment="1">
      <alignment horizontal="center"/>
    </xf>
    <xf numFmtId="0" fontId="3" fillId="16" borderId="1" xfId="0" applyFont="1" applyFill="1" applyBorder="1" applyAlignment="1">
      <alignment horizontal="center"/>
    </xf>
    <xf numFmtId="0" fontId="3" fillId="17" borderId="1" xfId="0" applyFont="1" applyFill="1" applyBorder="1" applyAlignment="1">
      <alignment horizontal="center"/>
    </xf>
    <xf numFmtId="0" fontId="30" fillId="2" borderId="0" xfId="0" applyFont="1" applyFill="1"/>
    <xf numFmtId="0" fontId="0" fillId="0" borderId="0" xfId="0" quotePrefix="1" applyAlignment="1">
      <alignment horizontal="right"/>
    </xf>
    <xf numFmtId="0" fontId="1" fillId="2" borderId="10" xfId="0" applyFont="1" applyFill="1" applyBorder="1"/>
    <xf numFmtId="0" fontId="17" fillId="6" borderId="38" xfId="0" applyFont="1" applyFill="1" applyBorder="1" applyAlignment="1">
      <alignment horizontal="center" vertical="center" textRotation="90" wrapText="1"/>
    </xf>
    <xf numFmtId="0" fontId="35" fillId="18" borderId="0" xfId="0" applyFont="1" applyFill="1" applyAlignment="1">
      <alignment horizontal="center"/>
    </xf>
    <xf numFmtId="0" fontId="36" fillId="0" borderId="0" xfId="0" applyFont="1"/>
    <xf numFmtId="0" fontId="16" fillId="19" borderId="1" xfId="0" applyFont="1" applyFill="1" applyBorder="1" applyAlignment="1">
      <alignment horizontal="center"/>
    </xf>
    <xf numFmtId="0" fontId="16" fillId="20" borderId="1" xfId="0" applyFont="1" applyFill="1" applyBorder="1" applyAlignment="1">
      <alignment horizontal="center"/>
    </xf>
    <xf numFmtId="0" fontId="0" fillId="21" borderId="1" xfId="0" applyFill="1" applyBorder="1"/>
    <xf numFmtId="0" fontId="0" fillId="0" borderId="1" xfId="0" applyBorder="1"/>
    <xf numFmtId="0" fontId="0" fillId="22" borderId="1" xfId="0" applyFill="1" applyBorder="1"/>
    <xf numFmtId="0" fontId="1" fillId="2" borderId="58" xfId="0" applyFont="1" applyFill="1" applyBorder="1"/>
    <xf numFmtId="0" fontId="3" fillId="17" borderId="2" xfId="0" applyFont="1" applyFill="1" applyBorder="1" applyAlignment="1">
      <alignment horizontal="center" vertical="center" wrapText="1"/>
    </xf>
    <xf numFmtId="0" fontId="3" fillId="17" borderId="3" xfId="0" applyFont="1" applyFill="1" applyBorder="1" applyAlignment="1">
      <alignment horizontal="center" vertical="center" wrapText="1"/>
    </xf>
    <xf numFmtId="0" fontId="3" fillId="17" borderId="4" xfId="0" applyFont="1" applyFill="1" applyBorder="1" applyAlignment="1">
      <alignment horizontal="center" vertical="center" wrapText="1"/>
    </xf>
    <xf numFmtId="0" fontId="3" fillId="17" borderId="16" xfId="0" applyFont="1" applyFill="1" applyBorder="1" applyAlignment="1">
      <alignment horizontal="center" vertical="center" wrapText="1"/>
    </xf>
    <xf numFmtId="0" fontId="3" fillId="17" borderId="0" xfId="0" applyFont="1" applyFill="1" applyAlignment="1">
      <alignment horizontal="center" vertical="center" wrapText="1"/>
    </xf>
    <xf numFmtId="0" fontId="3" fillId="17" borderId="17" xfId="0" applyFont="1" applyFill="1" applyBorder="1" applyAlignment="1">
      <alignment horizontal="center" vertical="center" wrapText="1"/>
    </xf>
    <xf numFmtId="0" fontId="3" fillId="17" borderId="5" xfId="0" applyFont="1" applyFill="1" applyBorder="1" applyAlignment="1">
      <alignment horizontal="center" vertical="center" wrapText="1"/>
    </xf>
    <xf numFmtId="0" fontId="3" fillId="17" borderId="6" xfId="0" applyFont="1" applyFill="1" applyBorder="1" applyAlignment="1">
      <alignment horizontal="center" vertical="center" wrapText="1"/>
    </xf>
    <xf numFmtId="0" fontId="3" fillId="17" borderId="7" xfId="0" applyFont="1" applyFill="1" applyBorder="1" applyAlignment="1">
      <alignment horizontal="center" vertical="center" wrapText="1"/>
    </xf>
    <xf numFmtId="0" fontId="2" fillId="2" borderId="12"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0" fontId="4" fillId="2" borderId="9" xfId="0" applyFont="1" applyFill="1" applyBorder="1" applyAlignment="1">
      <alignment horizontal="center"/>
    </xf>
    <xf numFmtId="0" fontId="4" fillId="2" borderId="10" xfId="0" applyFont="1" applyFill="1" applyBorder="1" applyAlignment="1">
      <alignment horizontal="center"/>
    </xf>
    <xf numFmtId="0" fontId="4" fillId="2" borderId="11" xfId="0" applyFont="1" applyFill="1" applyBorder="1" applyAlignment="1">
      <alignment horizontal="center"/>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0" xfId="0" applyFont="1" applyFill="1" applyAlignment="1">
      <alignment horizontal="center" vertical="center" wrapText="1"/>
    </xf>
    <xf numFmtId="0" fontId="3" fillId="3" borderId="17" xfId="0" applyFont="1" applyFill="1" applyBorder="1" applyAlignment="1">
      <alignment horizontal="center" vertical="center" wrapText="1"/>
    </xf>
    <xf numFmtId="0" fontId="3" fillId="3" borderId="5" xfId="0" applyFont="1" applyFill="1" applyBorder="1" applyAlignment="1">
      <alignment horizontal="center" vertical="center" wrapTex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14" borderId="2" xfId="0" applyFont="1" applyFill="1" applyBorder="1" applyAlignment="1">
      <alignment horizontal="center" vertical="center" wrapText="1"/>
    </xf>
    <xf numFmtId="0" fontId="3" fillId="14" borderId="3" xfId="0" applyFont="1" applyFill="1" applyBorder="1" applyAlignment="1">
      <alignment horizontal="center" vertical="center" wrapText="1"/>
    </xf>
    <xf numFmtId="0" fontId="3" fillId="14" borderId="4" xfId="0" applyFont="1" applyFill="1" applyBorder="1" applyAlignment="1">
      <alignment horizontal="center" vertical="center" wrapText="1"/>
    </xf>
    <xf numFmtId="0" fontId="3" fillId="14" borderId="16" xfId="0" applyFont="1" applyFill="1" applyBorder="1" applyAlignment="1">
      <alignment horizontal="center" vertical="center" wrapText="1"/>
    </xf>
    <xf numFmtId="0" fontId="3" fillId="14" borderId="0" xfId="0" applyFont="1" applyFill="1" applyAlignment="1">
      <alignment horizontal="center" vertical="center" wrapText="1"/>
    </xf>
    <xf numFmtId="0" fontId="3" fillId="14" borderId="17" xfId="0" applyFont="1" applyFill="1" applyBorder="1" applyAlignment="1">
      <alignment horizontal="center" vertical="center" wrapText="1"/>
    </xf>
    <xf numFmtId="0" fontId="3" fillId="14" borderId="5" xfId="0" applyFont="1" applyFill="1" applyBorder="1" applyAlignment="1">
      <alignment horizontal="center" vertical="center" wrapText="1"/>
    </xf>
    <xf numFmtId="0" fontId="3" fillId="14" borderId="6" xfId="0" applyFont="1" applyFill="1" applyBorder="1" applyAlignment="1">
      <alignment horizontal="center" vertical="center" wrapText="1"/>
    </xf>
    <xf numFmtId="0" fontId="3" fillId="14" borderId="7"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17"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17" borderId="1" xfId="0" applyFont="1" applyFill="1" applyBorder="1" applyAlignment="1">
      <alignment horizontal="center" vertical="center" wrapText="1"/>
    </xf>
    <xf numFmtId="0" fontId="3" fillId="15" borderId="2" xfId="0" applyFont="1" applyFill="1" applyBorder="1" applyAlignment="1">
      <alignment horizontal="center" vertical="center" wrapText="1"/>
    </xf>
    <xf numFmtId="0" fontId="3" fillId="15" borderId="3" xfId="0" applyFont="1" applyFill="1" applyBorder="1" applyAlignment="1">
      <alignment horizontal="center" vertical="center" wrapText="1"/>
    </xf>
    <xf numFmtId="0" fontId="3" fillId="15" borderId="4"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5" borderId="0" xfId="0" applyFont="1" applyFill="1" applyAlignment="1">
      <alignment horizontal="center" vertical="center" wrapText="1"/>
    </xf>
    <xf numFmtId="0" fontId="3" fillId="15" borderId="17" xfId="0" applyFont="1" applyFill="1" applyBorder="1" applyAlignment="1">
      <alignment horizontal="center" vertical="center" wrapText="1"/>
    </xf>
    <xf numFmtId="0" fontId="3" fillId="15" borderId="5" xfId="0" applyFont="1" applyFill="1" applyBorder="1" applyAlignment="1">
      <alignment horizontal="center" vertical="center" wrapText="1"/>
    </xf>
    <xf numFmtId="0" fontId="3" fillId="15" borderId="6" xfId="0" applyFont="1" applyFill="1" applyBorder="1" applyAlignment="1">
      <alignment horizontal="center" vertical="center" wrapText="1"/>
    </xf>
    <xf numFmtId="0" fontId="3" fillId="15" borderId="7"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3" fillId="16" borderId="2" xfId="0" applyFont="1" applyFill="1" applyBorder="1" applyAlignment="1">
      <alignment horizontal="center" vertical="center" wrapText="1"/>
    </xf>
    <xf numFmtId="0" fontId="3" fillId="16" borderId="3" xfId="0" applyFont="1" applyFill="1" applyBorder="1" applyAlignment="1">
      <alignment horizontal="center" vertical="center" wrapText="1"/>
    </xf>
    <xf numFmtId="0" fontId="3" fillId="16" borderId="4" xfId="0" applyFont="1" applyFill="1" applyBorder="1" applyAlignment="1">
      <alignment horizontal="center" vertical="center" wrapText="1"/>
    </xf>
    <xf numFmtId="0" fontId="3" fillId="16" borderId="16" xfId="0" applyFont="1" applyFill="1" applyBorder="1" applyAlignment="1">
      <alignment horizontal="center" vertical="center" wrapText="1"/>
    </xf>
    <xf numFmtId="0" fontId="3" fillId="16" borderId="0" xfId="0" applyFont="1" applyFill="1" applyAlignment="1">
      <alignment horizontal="center" vertical="center" wrapText="1"/>
    </xf>
    <xf numFmtId="0" fontId="3" fillId="16" borderId="17" xfId="0" applyFont="1" applyFill="1" applyBorder="1" applyAlignment="1">
      <alignment horizontal="center" vertical="center" wrapText="1"/>
    </xf>
    <xf numFmtId="0" fontId="3" fillId="16" borderId="5" xfId="0" applyFont="1" applyFill="1" applyBorder="1" applyAlignment="1">
      <alignment horizontal="center" vertical="center" wrapText="1"/>
    </xf>
    <xf numFmtId="0" fontId="3" fillId="16" borderId="6" xfId="0" applyFont="1" applyFill="1" applyBorder="1" applyAlignment="1">
      <alignment horizontal="center" vertical="center" wrapText="1"/>
    </xf>
    <xf numFmtId="0" fontId="3" fillId="16" borderId="7" xfId="0" applyFont="1" applyFill="1" applyBorder="1" applyAlignment="1">
      <alignment horizontal="center" vertical="center" wrapText="1"/>
    </xf>
    <xf numFmtId="0" fontId="9" fillId="2" borderId="0" xfId="0" applyFont="1" applyFill="1" applyAlignment="1">
      <alignment horizontal="center" vertical="center" wrapText="1"/>
    </xf>
    <xf numFmtId="0" fontId="4" fillId="2" borderId="18" xfId="0" applyFont="1" applyFill="1" applyBorder="1" applyAlignment="1">
      <alignment horizontal="left" vertical="top" wrapText="1"/>
    </xf>
    <xf numFmtId="0" fontId="4" fillId="2" borderId="19" xfId="0" applyFont="1" applyFill="1" applyBorder="1" applyAlignment="1">
      <alignment horizontal="left" vertical="top" wrapText="1"/>
    </xf>
    <xf numFmtId="0" fontId="4" fillId="2" borderId="20" xfId="0" applyFont="1" applyFill="1" applyBorder="1" applyAlignment="1">
      <alignment horizontal="left" vertical="top" wrapText="1"/>
    </xf>
    <xf numFmtId="0" fontId="4" fillId="2" borderId="21" xfId="0" applyFont="1" applyFill="1" applyBorder="1" applyAlignment="1">
      <alignment horizontal="left" vertical="top" wrapText="1"/>
    </xf>
    <xf numFmtId="0" fontId="4" fillId="2" borderId="0" xfId="0" applyFont="1" applyFill="1" applyAlignment="1">
      <alignment horizontal="left" vertical="top" wrapText="1"/>
    </xf>
    <xf numFmtId="0" fontId="4" fillId="2" borderId="22" xfId="0" applyFont="1" applyFill="1" applyBorder="1" applyAlignment="1">
      <alignment horizontal="left" vertical="top" wrapText="1"/>
    </xf>
    <xf numFmtId="0" fontId="4" fillId="2" borderId="23" xfId="0" applyFont="1" applyFill="1" applyBorder="1" applyAlignment="1">
      <alignment horizontal="left" vertical="top" wrapText="1"/>
    </xf>
    <xf numFmtId="0" fontId="4" fillId="2" borderId="24" xfId="0" applyFont="1" applyFill="1" applyBorder="1" applyAlignment="1">
      <alignment horizontal="left" vertical="top" wrapText="1"/>
    </xf>
    <xf numFmtId="0" fontId="4" fillId="2" borderId="25" xfId="0" applyFont="1" applyFill="1" applyBorder="1" applyAlignment="1">
      <alignment horizontal="left" vertical="top" wrapText="1"/>
    </xf>
    <xf numFmtId="0" fontId="5" fillId="2" borderId="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17"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3" fillId="2" borderId="17" xfId="0" applyFont="1" applyFill="1" applyBorder="1" applyAlignment="1">
      <alignment horizontal="center" vertical="center" textRotation="90"/>
    </xf>
    <xf numFmtId="0" fontId="3" fillId="2" borderId="7" xfId="0" applyFont="1" applyFill="1" applyBorder="1" applyAlignment="1">
      <alignment horizontal="center" vertical="center" textRotation="90"/>
    </xf>
    <xf numFmtId="0" fontId="3" fillId="2" borderId="17" xfId="0" applyFont="1" applyFill="1" applyBorder="1" applyAlignment="1">
      <alignment vertical="center" textRotation="90"/>
    </xf>
    <xf numFmtId="0" fontId="3" fillId="2" borderId="7" xfId="0" applyFont="1" applyFill="1" applyBorder="1" applyAlignment="1">
      <alignment vertical="center" textRotation="90"/>
    </xf>
    <xf numFmtId="0" fontId="5" fillId="2" borderId="1" xfId="0" applyFont="1" applyFill="1" applyBorder="1" applyAlignment="1">
      <alignment horizontal="center" vertical="center" wrapText="1"/>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14" xfId="0" applyFont="1" applyFill="1" applyBorder="1" applyAlignment="1">
      <alignment horizontal="center"/>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9" fillId="2" borderId="16" xfId="0" applyFont="1" applyFill="1" applyBorder="1" applyAlignment="1">
      <alignment horizontal="center" vertical="center" wrapText="1"/>
    </xf>
    <xf numFmtId="0" fontId="9" fillId="2" borderId="17"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6" xfId="0" applyFont="1" applyFill="1" applyBorder="1" applyAlignment="1">
      <alignment horizontal="center" vertical="center" wrapText="1"/>
    </xf>
    <xf numFmtId="0" fontId="9" fillId="2" borderId="7" xfId="0" applyFont="1" applyFill="1" applyBorder="1" applyAlignment="1">
      <alignment horizontal="center" vertical="center" wrapText="1"/>
    </xf>
    <xf numFmtId="0" fontId="14" fillId="6" borderId="0" xfId="0" applyFont="1" applyFill="1" applyAlignment="1">
      <alignment horizontal="center" vertical="center" wrapText="1"/>
    </xf>
    <xf numFmtId="0" fontId="17" fillId="0" borderId="31" xfId="0" applyFont="1" applyBorder="1" applyAlignment="1">
      <alignment horizontal="center" vertical="center" wrapText="1"/>
    </xf>
    <xf numFmtId="0" fontId="17" fillId="6" borderId="32" xfId="0" applyFont="1" applyFill="1" applyBorder="1" applyAlignment="1">
      <alignment horizontal="center" vertical="center" wrapText="1"/>
    </xf>
    <xf numFmtId="0" fontId="17" fillId="6" borderId="33" xfId="0" applyFont="1" applyFill="1" applyBorder="1" applyAlignment="1">
      <alignment horizontal="center" vertical="center" wrapText="1"/>
    </xf>
    <xf numFmtId="0" fontId="17" fillId="6" borderId="37" xfId="0" applyFont="1" applyFill="1" applyBorder="1" applyAlignment="1">
      <alignment horizontal="center" vertical="center" wrapText="1"/>
    </xf>
    <xf numFmtId="0" fontId="17" fillId="6" borderId="36" xfId="0" applyFont="1" applyFill="1" applyBorder="1" applyAlignment="1">
      <alignment horizontal="center" vertical="center" wrapText="1"/>
    </xf>
    <xf numFmtId="0" fontId="17" fillId="6" borderId="35" xfId="0" applyFont="1" applyFill="1" applyBorder="1" applyAlignment="1">
      <alignment horizontal="center" vertical="center" wrapText="1"/>
    </xf>
    <xf numFmtId="0" fontId="14" fillId="7" borderId="0" xfId="0" applyFont="1" applyFill="1" applyAlignment="1">
      <alignment horizontal="center" vertical="center" wrapText="1"/>
    </xf>
    <xf numFmtId="0" fontId="15" fillId="7" borderId="0" xfId="0" applyFont="1" applyFill="1" applyAlignment="1">
      <alignment horizontal="center" vertical="center" wrapText="1"/>
    </xf>
    <xf numFmtId="0" fontId="14" fillId="6" borderId="29" xfId="0" applyFont="1" applyFill="1" applyBorder="1" applyAlignment="1">
      <alignment horizontal="center" vertical="center" wrapText="1"/>
    </xf>
    <xf numFmtId="0" fontId="14" fillId="9" borderId="0" xfId="0" applyFont="1" applyFill="1" applyAlignment="1">
      <alignment vertical="center" wrapText="1"/>
    </xf>
    <xf numFmtId="0" fontId="14" fillId="9" borderId="0" xfId="0" applyFont="1" applyFill="1" applyAlignment="1">
      <alignment horizontal="center" vertical="center" wrapText="1"/>
    </xf>
    <xf numFmtId="0" fontId="0" fillId="0" borderId="0" xfId="0" applyAlignment="1">
      <alignment horizontal="center"/>
    </xf>
    <xf numFmtId="0" fontId="14" fillId="0" borderId="0" xfId="0" applyFont="1" applyAlignment="1">
      <alignment vertical="center" wrapText="1"/>
    </xf>
    <xf numFmtId="0" fontId="14" fillId="0" borderId="28" xfId="0" applyFont="1" applyBorder="1" applyAlignment="1">
      <alignment vertical="center" wrapText="1"/>
    </xf>
    <xf numFmtId="0" fontId="14" fillId="0" borderId="0" xfId="0" applyFont="1" applyAlignment="1">
      <alignment horizontal="center" vertical="center" wrapText="1"/>
    </xf>
    <xf numFmtId="0" fontId="14" fillId="0" borderId="28" xfId="0" applyFont="1" applyBorder="1" applyAlignment="1">
      <alignment horizontal="center" vertical="center" wrapText="1"/>
    </xf>
    <xf numFmtId="0" fontId="14" fillId="6" borderId="29" xfId="0" applyFont="1" applyFill="1" applyBorder="1" applyAlignment="1">
      <alignment vertical="center" wrapText="1"/>
    </xf>
    <xf numFmtId="0" fontId="14" fillId="6" borderId="0" xfId="0" applyFont="1" applyFill="1" applyAlignment="1">
      <alignment vertical="center" wrapText="1"/>
    </xf>
    <xf numFmtId="0" fontId="15" fillId="0" borderId="0" xfId="0" applyFont="1" applyAlignment="1">
      <alignment vertical="center" wrapText="1"/>
    </xf>
    <xf numFmtId="0" fontId="15" fillId="0" borderId="28" xfId="0" applyFont="1" applyBorder="1" applyAlignment="1">
      <alignment vertical="center" wrapText="1"/>
    </xf>
    <xf numFmtId="0" fontId="20" fillId="6" borderId="29" xfId="0" applyFont="1" applyFill="1" applyBorder="1" applyAlignment="1">
      <alignment horizontal="center" vertical="center" wrapText="1"/>
    </xf>
    <xf numFmtId="0" fontId="20" fillId="6" borderId="0" xfId="0" applyFont="1" applyFill="1" applyAlignment="1">
      <alignment horizontal="center" vertical="center" wrapText="1"/>
    </xf>
    <xf numFmtId="0" fontId="15" fillId="0" borderId="0" xfId="0" applyFont="1" applyAlignment="1">
      <alignment horizontal="center" vertical="center" wrapText="1"/>
    </xf>
    <xf numFmtId="0" fontId="16" fillId="0" borderId="28" xfId="0" applyFont="1" applyBorder="1" applyAlignment="1">
      <alignment horizontal="left" vertical="center"/>
    </xf>
    <xf numFmtId="0" fontId="22" fillId="10" borderId="38" xfId="0" applyFont="1" applyFill="1" applyBorder="1" applyAlignment="1">
      <alignment horizontal="center" vertical="center" wrapText="1"/>
    </xf>
    <xf numFmtId="0" fontId="17" fillId="10" borderId="38" xfId="0" applyFont="1" applyFill="1" applyBorder="1" applyAlignment="1">
      <alignment horizontal="center" vertical="center" wrapText="1"/>
    </xf>
    <xf numFmtId="0" fontId="17" fillId="6" borderId="39" xfId="0" applyFont="1" applyFill="1" applyBorder="1" applyAlignment="1">
      <alignment horizontal="center" vertical="center" textRotation="90" wrapText="1"/>
    </xf>
    <xf numFmtId="0" fontId="17" fillId="6" borderId="40" xfId="0" applyFont="1" applyFill="1" applyBorder="1" applyAlignment="1">
      <alignment horizontal="center" vertical="center" textRotation="90" wrapText="1"/>
    </xf>
    <xf numFmtId="0" fontId="17" fillId="6" borderId="41" xfId="0" applyFont="1" applyFill="1" applyBorder="1" applyAlignment="1">
      <alignment horizontal="center" vertical="center" textRotation="90" wrapText="1"/>
    </xf>
    <xf numFmtId="0" fontId="12" fillId="9" borderId="38" xfId="0" applyFont="1" applyFill="1" applyBorder="1" applyAlignment="1">
      <alignment vertical="center" wrapText="1"/>
    </xf>
    <xf numFmtId="0" fontId="17" fillId="6" borderId="38" xfId="0" applyFont="1" applyFill="1" applyBorder="1" applyAlignment="1">
      <alignment horizontal="center" vertical="center" textRotation="90" wrapText="1"/>
    </xf>
    <xf numFmtId="0" fontId="17" fillId="10" borderId="38" xfId="0" applyFont="1" applyFill="1" applyBorder="1" applyAlignment="1">
      <alignment horizontal="center" vertical="center" textRotation="90" wrapText="1"/>
    </xf>
    <xf numFmtId="0" fontId="12" fillId="9" borderId="38" xfId="0" applyFont="1" applyFill="1" applyBorder="1" applyAlignment="1">
      <alignment horizontal="left" vertical="center" wrapText="1"/>
    </xf>
    <xf numFmtId="0" fontId="22" fillId="10" borderId="51" xfId="0" applyFont="1" applyFill="1" applyBorder="1" applyAlignment="1">
      <alignment horizontal="center" vertical="center" wrapText="1"/>
    </xf>
    <xf numFmtId="0" fontId="22" fillId="10" borderId="52" xfId="0" applyFont="1" applyFill="1" applyBorder="1" applyAlignment="1">
      <alignment horizontal="center" vertical="center" wrapText="1"/>
    </xf>
    <xf numFmtId="0" fontId="16" fillId="0" borderId="0" xfId="0" applyFont="1" applyAlignment="1">
      <alignment horizontal="center" vertical="center" wrapText="1"/>
    </xf>
    <xf numFmtId="0" fontId="16" fillId="0" borderId="47" xfId="0" applyFont="1" applyBorder="1" applyAlignment="1">
      <alignment horizontal="center" vertical="center" wrapText="1"/>
    </xf>
    <xf numFmtId="0" fontId="26" fillId="11" borderId="0" xfId="0" applyFont="1" applyFill="1" applyAlignment="1">
      <alignment horizontal="center" vertical="center" wrapText="1"/>
    </xf>
    <xf numFmtId="0" fontId="28" fillId="6" borderId="46" xfId="0" applyFont="1" applyFill="1" applyBorder="1" applyAlignment="1">
      <alignment horizontal="center" vertical="center" wrapText="1"/>
    </xf>
    <xf numFmtId="0" fontId="28" fillId="6" borderId="0" xfId="0" applyFont="1" applyFill="1" applyAlignment="1">
      <alignment horizontal="center" vertical="center" wrapText="1"/>
    </xf>
    <xf numFmtId="0" fontId="28" fillId="12" borderId="55" xfId="0" applyFont="1" applyFill="1" applyBorder="1" applyAlignment="1">
      <alignment horizontal="center" vertical="center" wrapText="1"/>
    </xf>
    <xf numFmtId="0" fontId="28" fillId="12" borderId="0" xfId="0" applyFont="1" applyFill="1" applyAlignment="1">
      <alignment horizontal="center" vertical="center" wrapText="1"/>
    </xf>
    <xf numFmtId="0" fontId="28" fillId="12" borderId="44" xfId="0" applyFont="1" applyFill="1" applyBorder="1" applyAlignment="1">
      <alignment horizontal="center" vertical="center" wrapText="1"/>
    </xf>
    <xf numFmtId="0" fontId="26" fillId="12" borderId="55" xfId="0" applyFont="1" applyFill="1" applyBorder="1" applyAlignment="1">
      <alignment horizontal="center" vertical="center" wrapText="1"/>
    </xf>
    <xf numFmtId="0" fontId="26" fillId="12" borderId="0" xfId="0" applyFont="1" applyFill="1" applyAlignment="1">
      <alignment horizontal="center" vertical="center" wrapText="1"/>
    </xf>
    <xf numFmtId="0" fontId="26" fillId="12" borderId="56" xfId="0" applyFont="1" applyFill="1" applyBorder="1" applyAlignment="1">
      <alignment horizontal="center" vertical="center" wrapText="1"/>
    </xf>
    <xf numFmtId="0" fontId="28" fillId="2" borderId="46" xfId="0" applyFont="1" applyFill="1" applyBorder="1" applyAlignment="1">
      <alignment horizontal="center" vertical="center" wrapText="1"/>
    </xf>
    <xf numFmtId="0" fontId="28" fillId="2" borderId="0" xfId="0" applyFont="1" applyFill="1" applyAlignment="1">
      <alignment horizontal="center" vertical="center" wrapText="1"/>
    </xf>
    <xf numFmtId="0" fontId="28" fillId="2" borderId="47" xfId="0" applyFont="1" applyFill="1" applyBorder="1" applyAlignment="1">
      <alignment horizontal="center" vertical="center" wrapText="1"/>
    </xf>
    <xf numFmtId="0" fontId="28" fillId="13" borderId="46" xfId="0" applyFont="1" applyFill="1" applyBorder="1" applyAlignment="1">
      <alignment horizontal="center" vertical="center" wrapText="1"/>
    </xf>
    <xf numFmtId="0" fontId="28" fillId="13" borderId="0" xfId="0" applyFont="1" applyFill="1" applyAlignment="1">
      <alignment horizontal="center" vertical="center" wrapText="1"/>
    </xf>
    <xf numFmtId="0" fontId="28" fillId="13" borderId="47" xfId="0" applyFont="1" applyFill="1" applyBorder="1" applyAlignment="1">
      <alignment horizontal="center" vertical="center" wrapText="1"/>
    </xf>
    <xf numFmtId="0" fontId="28" fillId="7" borderId="46" xfId="0" applyFont="1" applyFill="1" applyBorder="1" applyAlignment="1">
      <alignment horizontal="center" vertical="center" wrapText="1"/>
    </xf>
    <xf numFmtId="0" fontId="28" fillId="7" borderId="0" xfId="0" applyFont="1" applyFill="1" applyAlignment="1">
      <alignment horizontal="center" vertical="center" wrapText="1"/>
    </xf>
    <xf numFmtId="0" fontId="28" fillId="7" borderId="47" xfId="0" applyFont="1" applyFill="1" applyBorder="1" applyAlignment="1">
      <alignment horizontal="center" vertical="center" wrapText="1"/>
    </xf>
    <xf numFmtId="0" fontId="28" fillId="7" borderId="46" xfId="0" applyFont="1" applyFill="1" applyBorder="1" applyAlignment="1">
      <alignment horizontal="left" vertical="center" wrapText="1"/>
    </xf>
    <xf numFmtId="0" fontId="28" fillId="7" borderId="0" xfId="0" applyFont="1" applyFill="1" applyAlignment="1">
      <alignment horizontal="left" vertical="center" wrapText="1"/>
    </xf>
    <xf numFmtId="0" fontId="28" fillId="7" borderId="47" xfId="0" applyFont="1" applyFill="1" applyBorder="1" applyAlignment="1">
      <alignment horizontal="left" vertical="center" wrapText="1"/>
    </xf>
    <xf numFmtId="0" fontId="28" fillId="2" borderId="46" xfId="0" applyFont="1" applyFill="1" applyBorder="1" applyAlignment="1">
      <alignment horizontal="left" vertical="center" wrapText="1"/>
    </xf>
    <xf numFmtId="0" fontId="28" fillId="2" borderId="0" xfId="0" applyFont="1" applyFill="1" applyAlignment="1">
      <alignment horizontal="left" vertical="center" wrapText="1"/>
    </xf>
    <xf numFmtId="0" fontId="28" fillId="2" borderId="47" xfId="0" applyFont="1" applyFill="1" applyBorder="1" applyAlignment="1">
      <alignment horizontal="left" vertical="center" wrapText="1"/>
    </xf>
    <xf numFmtId="0" fontId="27" fillId="2" borderId="46" xfId="0" applyFont="1" applyFill="1" applyBorder="1" applyAlignment="1">
      <alignment horizontal="center" vertical="center" wrapText="1"/>
    </xf>
    <xf numFmtId="0" fontId="27" fillId="2" borderId="0" xfId="0" applyFont="1" applyFill="1" applyAlignment="1">
      <alignment horizontal="center" vertical="center" wrapText="1"/>
    </xf>
    <xf numFmtId="0" fontId="26" fillId="11" borderId="49" xfId="0" applyFont="1" applyFill="1" applyBorder="1" applyAlignment="1">
      <alignment horizontal="center" vertical="center" wrapText="1"/>
    </xf>
    <xf numFmtId="0" fontId="26" fillId="13" borderId="0" xfId="0" applyFont="1" applyFill="1" applyAlignment="1">
      <alignment horizontal="center" vertical="center" wrapText="1"/>
    </xf>
    <xf numFmtId="0" fontId="26" fillId="13" borderId="28" xfId="0" applyFont="1" applyFill="1" applyBorder="1" applyAlignment="1">
      <alignment horizontal="center" vertical="center" wrapText="1"/>
    </xf>
    <xf numFmtId="0" fontId="26" fillId="11" borderId="47" xfId="0" applyFont="1" applyFill="1" applyBorder="1" applyAlignment="1">
      <alignment horizontal="center" vertical="center" wrapText="1"/>
    </xf>
    <xf numFmtId="0" fontId="16" fillId="0" borderId="28" xfId="0" applyFont="1" applyBorder="1" applyAlignment="1">
      <alignment horizontal="center" vertical="center" wrapText="1"/>
    </xf>
    <xf numFmtId="0" fontId="26" fillId="6" borderId="0" xfId="0" applyFont="1" applyFill="1" applyAlignment="1">
      <alignment horizontal="center" vertical="center" wrapText="1"/>
    </xf>
    <xf numFmtId="0" fontId="26" fillId="6" borderId="28" xfId="0" applyFont="1" applyFill="1" applyBorder="1" applyAlignment="1">
      <alignment horizontal="center" vertical="center" wrapText="1"/>
    </xf>
    <xf numFmtId="0" fontId="16" fillId="0" borderId="50"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438150</xdr:colOff>
          <xdr:row>0</xdr:row>
          <xdr:rowOff>57150</xdr:rowOff>
        </xdr:from>
        <xdr:to>
          <xdr:col>2</xdr:col>
          <xdr:colOff>66675</xdr:colOff>
          <xdr:row>1</xdr:row>
          <xdr:rowOff>28575</xdr:rowOff>
        </xdr:to>
        <xdr:sp macro="" textlink="">
          <xdr:nvSpPr>
            <xdr:cNvPr id="3073" name="Requisitos"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76"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95B76CE-7161-4049-B69D-C94814869DE7}">
  <we:reference id="wa200009404" version="1.0.0.8" store="pt-BR" storeType="OMEX"/>
  <we:alternateReferences>
    <we:reference id="WA200009404" version="1.0.0.8" store="WA200009404" storeType="OMEX"/>
  </we:alternateReferences>
  <we:properties>
    <we:property name="claude.fileId" value="&quot;f2724e99-796a-4862-a4e0-eab5afff9813&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04F4FD-0910-4984-A459-C00CB59BB9B0}">
  <dimension ref="I3:L27"/>
  <sheetViews>
    <sheetView zoomScale="115" zoomScaleNormal="115" workbookViewId="0">
      <selection activeCell="I3" sqref="I3:L22"/>
    </sheetView>
  </sheetViews>
  <sheetFormatPr defaultRowHeight="15" x14ac:dyDescent="0.25"/>
  <cols>
    <col min="10" max="10" width="22.7109375" style="79" customWidth="1"/>
    <col min="11" max="11" width="6.140625" customWidth="1"/>
  </cols>
  <sheetData>
    <row r="3" spans="9:11" x14ac:dyDescent="0.25">
      <c r="I3" t="s">
        <v>379</v>
      </c>
      <c r="K3" t="s">
        <v>380</v>
      </c>
    </row>
    <row r="4" spans="9:11" x14ac:dyDescent="0.25">
      <c r="I4">
        <v>2400</v>
      </c>
      <c r="J4" s="79" t="s">
        <v>365</v>
      </c>
      <c r="K4">
        <v>3600</v>
      </c>
    </row>
    <row r="5" spans="9:11" x14ac:dyDescent="0.25">
      <c r="I5">
        <f>'Diagrama Tecnólogo'!BA7-SUM('Diagrama Tecnólogo'!C6,'Diagrama Tecnólogo'!H6,'Diagrama Tecnólogo'!M6,'Diagrama Tecnólogo'!R6,'Diagrama Tecnólogo'!W6,'Diagrama Tecnólogo'!AB6)+'Diagrama Tecnólogo'!W41</f>
        <v>540</v>
      </c>
      <c r="J5" s="79" t="s">
        <v>377</v>
      </c>
      <c r="K5">
        <f>650</f>
        <v>650</v>
      </c>
    </row>
    <row r="6" spans="9:11" x14ac:dyDescent="0.25">
      <c r="I6">
        <v>240</v>
      </c>
      <c r="J6" s="79" t="s">
        <v>367</v>
      </c>
      <c r="K6">
        <v>360</v>
      </c>
    </row>
    <row r="7" spans="9:11" x14ac:dyDescent="0.25">
      <c r="I7">
        <v>120</v>
      </c>
      <c r="J7" s="79" t="s">
        <v>375</v>
      </c>
      <c r="K7">
        <v>160</v>
      </c>
    </row>
    <row r="8" spans="9:11" x14ac:dyDescent="0.25">
      <c r="I8">
        <v>90</v>
      </c>
      <c r="J8" s="79" t="s">
        <v>368</v>
      </c>
      <c r="K8">
        <v>90</v>
      </c>
    </row>
    <row r="9" spans="9:11" x14ac:dyDescent="0.25">
      <c r="I9">
        <v>90</v>
      </c>
      <c r="J9" s="79" t="s">
        <v>369</v>
      </c>
      <c r="K9">
        <v>90</v>
      </c>
    </row>
    <row r="10" spans="9:11" x14ac:dyDescent="0.25">
      <c r="I10">
        <v>60</v>
      </c>
      <c r="J10" s="79" t="s">
        <v>370</v>
      </c>
      <c r="K10">
        <v>60</v>
      </c>
    </row>
    <row r="11" spans="9:11" x14ac:dyDescent="0.25">
      <c r="I11">
        <v>60</v>
      </c>
      <c r="J11" s="79" t="s">
        <v>371</v>
      </c>
      <c r="K11">
        <v>60</v>
      </c>
    </row>
    <row r="12" spans="9:11" x14ac:dyDescent="0.25">
      <c r="I12">
        <v>30</v>
      </c>
      <c r="J12" s="79" t="s">
        <v>373</v>
      </c>
      <c r="K12">
        <v>30</v>
      </c>
    </row>
    <row r="13" spans="9:11" x14ac:dyDescent="0.25">
      <c r="I13">
        <v>60</v>
      </c>
      <c r="J13" s="79" t="s">
        <v>372</v>
      </c>
      <c r="K13">
        <v>60</v>
      </c>
    </row>
    <row r="14" spans="9:11" x14ac:dyDescent="0.25">
      <c r="I14" s="215" t="s">
        <v>378</v>
      </c>
      <c r="J14" s="79" t="s">
        <v>374</v>
      </c>
      <c r="K14">
        <v>30</v>
      </c>
    </row>
    <row r="16" spans="9:11" x14ac:dyDescent="0.25">
      <c r="I16" s="215"/>
    </row>
    <row r="17" spans="9:12" x14ac:dyDescent="0.25">
      <c r="I17" s="215"/>
    </row>
    <row r="20" spans="9:12" x14ac:dyDescent="0.25">
      <c r="I20">
        <f>I4-SUM(I5:I19)</f>
        <v>1110</v>
      </c>
      <c r="J20" s="79" t="s">
        <v>376</v>
      </c>
      <c r="K20">
        <f>K4-SUM(K5:K19)</f>
        <v>2010</v>
      </c>
    </row>
    <row r="21" spans="9:12" x14ac:dyDescent="0.25">
      <c r="J21" s="79" t="s">
        <v>377</v>
      </c>
      <c r="K21">
        <f>I5+K5</f>
        <v>1190</v>
      </c>
    </row>
    <row r="25" spans="9:12" x14ac:dyDescent="0.25">
      <c r="K25" t="s">
        <v>366</v>
      </c>
    </row>
    <row r="26" spans="9:12" x14ac:dyDescent="0.25">
      <c r="I26" s="1"/>
      <c r="K26">
        <f>SUM(K20:K25)/15</f>
        <v>213.33333333333334</v>
      </c>
      <c r="L26" t="s">
        <v>402</v>
      </c>
    </row>
    <row r="27" spans="9:12" x14ac:dyDescent="0.25">
      <c r="K27">
        <f>K26/17</f>
        <v>12.549019607843137</v>
      </c>
      <c r="L27" t="s">
        <v>401</v>
      </c>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E98DB-9714-4DC6-8260-57F5E5AF437F}">
  <sheetPr codeName="Diagrama5">
    <pageSetUpPr fitToPage="1"/>
  </sheetPr>
  <dimension ref="A1:BR96"/>
  <sheetViews>
    <sheetView showRuler="0" showWhiteSpace="0" view="pageBreakPreview" topLeftCell="A9" zoomScale="130" zoomScaleNormal="115" zoomScaleSheetLayoutView="130" zoomScalePageLayoutView="85" workbookViewId="0">
      <selection activeCell="W33" sqref="W33:Y35"/>
    </sheetView>
  </sheetViews>
  <sheetFormatPr defaultColWidth="9.140625" defaultRowHeight="15" x14ac:dyDescent="0.25"/>
  <cols>
    <col min="1" max="1" width="1.7109375" style="1" customWidth="1"/>
    <col min="2" max="2" width="2.85546875" style="1" customWidth="1"/>
    <col min="3" max="3" width="4.140625" style="1" customWidth="1"/>
    <col min="4" max="4" width="4" style="1" customWidth="1"/>
    <col min="5" max="5" width="3.7109375" style="1" customWidth="1"/>
    <col min="6" max="6" width="1.28515625" style="1" customWidth="1"/>
    <col min="7" max="7" width="2.42578125" style="1" customWidth="1"/>
    <col min="8" max="8" width="4.42578125" style="1" bestFit="1" customWidth="1"/>
    <col min="9" max="9" width="4.28515625" style="1" customWidth="1"/>
    <col min="10" max="10" width="4.28515625" style="1" bestFit="1" customWidth="1"/>
    <col min="11" max="11" width="1" style="1" customWidth="1"/>
    <col min="12" max="12" width="2.85546875" style="1" customWidth="1"/>
    <col min="13" max="13" width="4.140625" style="1" customWidth="1"/>
    <col min="14" max="14" width="4.7109375" style="1" customWidth="1"/>
    <col min="15" max="15" width="4" style="1" customWidth="1"/>
    <col min="16" max="16" width="1.140625" style="1" customWidth="1"/>
    <col min="17" max="17" width="2.5703125" style="1" customWidth="1"/>
    <col min="18" max="18" width="4.140625" style="1" customWidth="1"/>
    <col min="19" max="19" width="3.85546875" style="1" customWidth="1"/>
    <col min="20" max="20" width="5.28515625" style="1" bestFit="1" customWidth="1"/>
    <col min="21" max="21" width="1.28515625" style="1" customWidth="1"/>
    <col min="22" max="22" width="2.7109375" style="1" customWidth="1"/>
    <col min="23" max="23" width="4.140625" style="1" customWidth="1"/>
    <col min="24" max="24" width="4.5703125" style="1" customWidth="1"/>
    <col min="25" max="25" width="3.85546875" style="1" customWidth="1"/>
    <col min="26" max="26" width="1" style="1" customWidth="1"/>
    <col min="27" max="27" width="2.140625" style="1" customWidth="1"/>
    <col min="28" max="28" width="4.5703125" style="1" bestFit="1" customWidth="1"/>
    <col min="29" max="29" width="3.85546875" style="1" customWidth="1"/>
    <col min="30" max="30" width="4.85546875" style="1" customWidth="1"/>
    <col min="31" max="31" width="0.85546875" style="1" customWidth="1"/>
    <col min="32" max="32" width="2.42578125" style="1" customWidth="1"/>
    <col min="33" max="33" width="4.140625" style="1" customWidth="1"/>
    <col min="34" max="34" width="4" style="1" customWidth="1"/>
    <col min="35" max="35" width="4.85546875" style="1" customWidth="1"/>
    <col min="36" max="36" width="1" style="1" customWidth="1"/>
    <col min="37" max="37" width="2.42578125" style="1" customWidth="1"/>
    <col min="38" max="38" width="4.140625" style="1" customWidth="1"/>
    <col min="39" max="39" width="3.7109375" style="1" customWidth="1"/>
    <col min="40" max="40" width="4.85546875" style="1" customWidth="1"/>
    <col min="41" max="41" width="0.85546875" style="1" customWidth="1"/>
    <col min="42" max="42" width="2.7109375" style="1" customWidth="1"/>
    <col min="43" max="43" width="4.5703125" style="1" customWidth="1"/>
    <col min="44" max="44" width="4" style="1" customWidth="1"/>
    <col min="45" max="45" width="4.85546875" style="1" customWidth="1"/>
    <col min="46" max="46" width="1" style="1" customWidth="1"/>
    <col min="47" max="47" width="2.7109375" style="1" customWidth="1"/>
    <col min="48" max="48" width="4.140625" style="1" customWidth="1"/>
    <col min="49" max="49" width="4.28515625" style="1" customWidth="1"/>
    <col min="50" max="50" width="3.7109375" style="1" customWidth="1"/>
    <col min="51" max="51" width="1.140625" style="1" customWidth="1"/>
    <col min="52" max="52" width="4.5703125" style="42" customWidth="1"/>
    <col min="53" max="53" width="5.85546875" style="1" customWidth="1"/>
    <col min="54" max="16384" width="9.140625" style="1"/>
  </cols>
  <sheetData>
    <row r="1" spans="1:58" ht="3.75" customHeight="1" thickBot="1" x14ac:dyDescent="0.3"/>
    <row r="2" spans="1:58" s="2" customFormat="1" ht="12.75" customHeight="1" thickBot="1" x14ac:dyDescent="0.25">
      <c r="B2" s="235" t="s">
        <v>364</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K2" s="236"/>
      <c r="AL2" s="236"/>
      <c r="AM2" s="236"/>
      <c r="AN2" s="236"/>
      <c r="AO2" s="236"/>
      <c r="AP2" s="236"/>
      <c r="AQ2" s="236"/>
      <c r="AR2" s="236"/>
      <c r="AS2" s="236"/>
      <c r="AT2" s="236"/>
      <c r="AU2" s="236"/>
      <c r="AV2" s="236"/>
      <c r="AW2" s="236"/>
      <c r="AX2" s="236"/>
      <c r="AY2" s="237"/>
      <c r="AZ2" s="44"/>
    </row>
    <row r="3" spans="1:58" s="2" customFormat="1" ht="3.75" customHeight="1" x14ac:dyDescent="0.25">
      <c r="B3" s="15"/>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50"/>
      <c r="AH3" s="50"/>
      <c r="AI3" s="50"/>
      <c r="AJ3" s="50"/>
      <c r="AK3" s="50"/>
      <c r="AL3" s="50"/>
      <c r="AM3" s="50"/>
      <c r="AN3" s="50"/>
      <c r="AO3" s="50"/>
      <c r="AP3" s="50"/>
      <c r="AQ3" s="50"/>
      <c r="AR3" s="50"/>
      <c r="AS3" s="50"/>
      <c r="AT3" s="50"/>
      <c r="AU3" s="50"/>
      <c r="AV3" s="50"/>
      <c r="AW3" s="50"/>
      <c r="AX3" s="50"/>
      <c r="AY3" s="33"/>
      <c r="AZ3" s="44"/>
    </row>
    <row r="4" spans="1:58" s="3" customFormat="1" x14ac:dyDescent="0.25">
      <c r="B4" s="18"/>
      <c r="C4" s="238" t="s">
        <v>1</v>
      </c>
      <c r="D4" s="239"/>
      <c r="E4" s="240"/>
      <c r="F4" s="49"/>
      <c r="G4" s="49"/>
      <c r="H4" s="238" t="s">
        <v>2</v>
      </c>
      <c r="I4" s="239"/>
      <c r="J4" s="240"/>
      <c r="K4" s="49"/>
      <c r="L4" s="49"/>
      <c r="M4" s="238" t="s">
        <v>3</v>
      </c>
      <c r="N4" s="239"/>
      <c r="O4" s="240"/>
      <c r="P4" s="49"/>
      <c r="Q4" s="49"/>
      <c r="R4" s="238" t="s">
        <v>4</v>
      </c>
      <c r="S4" s="239"/>
      <c r="T4" s="240"/>
      <c r="U4" s="49"/>
      <c r="V4" s="49"/>
      <c r="W4" s="238" t="s">
        <v>5</v>
      </c>
      <c r="X4" s="239"/>
      <c r="Y4" s="240"/>
      <c r="Z4" s="49"/>
      <c r="AA4" s="49"/>
      <c r="AB4" s="238" t="s">
        <v>6</v>
      </c>
      <c r="AC4" s="239"/>
      <c r="AD4" s="240"/>
      <c r="AE4" s="49"/>
      <c r="AF4" s="50"/>
      <c r="AG4" s="50"/>
      <c r="AH4" s="50"/>
      <c r="AI4" s="50"/>
      <c r="AJ4" s="50"/>
      <c r="AK4" s="50"/>
      <c r="AL4" s="50"/>
      <c r="AM4" s="50"/>
      <c r="AN4" s="50"/>
      <c r="AO4" s="50"/>
      <c r="AP4" s="50"/>
      <c r="AQ4" s="50"/>
      <c r="AR4" s="50"/>
      <c r="AS4" s="50"/>
      <c r="AT4" s="50"/>
      <c r="AU4" s="50"/>
      <c r="AV4" s="50"/>
      <c r="AW4" s="50"/>
      <c r="AX4" s="50"/>
      <c r="AY4" s="50"/>
      <c r="AZ4" s="209"/>
      <c r="BA4" s="46"/>
    </row>
    <row r="5" spans="1:58" s="3" customFormat="1" x14ac:dyDescent="0.25">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50"/>
      <c r="AG5" s="50"/>
      <c r="AH5" s="50"/>
      <c r="AI5" s="50"/>
      <c r="AJ5" s="50"/>
      <c r="AK5" s="214"/>
      <c r="AL5" s="50"/>
      <c r="AM5" s="50"/>
      <c r="AN5" s="50"/>
      <c r="AO5" s="50"/>
      <c r="AP5" s="50"/>
      <c r="AQ5" s="50"/>
      <c r="AR5" s="50"/>
      <c r="AS5" s="50"/>
      <c r="AT5" s="50"/>
      <c r="AU5" s="50"/>
      <c r="AV5" s="50"/>
      <c r="AW5" s="50"/>
      <c r="AX5" s="50"/>
      <c r="AY5" s="50"/>
      <c r="AZ5" s="209"/>
      <c r="BA5" s="46"/>
    </row>
    <row r="6" spans="1:58" s="3" customFormat="1" ht="13.5" customHeight="1" x14ac:dyDescent="0.25">
      <c r="A6" s="69" t="s">
        <v>15</v>
      </c>
      <c r="B6" s="18"/>
      <c r="C6" s="68">
        <f>SUM(C11,C16,C21,C26,C31,C36,C41,C46,)</f>
        <v>255</v>
      </c>
      <c r="D6" s="68">
        <f>SUM(D11,D16,D21,D26,D31,D36,D41,D46)</f>
        <v>90</v>
      </c>
      <c r="E6" s="68">
        <f>SUM(E11,E16,E21,E26,E31,E36,E41,E46)</f>
        <v>345</v>
      </c>
      <c r="F6" s="49"/>
      <c r="G6" s="49"/>
      <c r="H6" s="68">
        <f>SUM(H11,H16,H21,H26,H31,H36,H41,H46,)</f>
        <v>270</v>
      </c>
      <c r="I6" s="68">
        <f>SUM(I11,I16,I21,I26,I31,I36,I41,I46)</f>
        <v>75</v>
      </c>
      <c r="J6" s="68">
        <f>SUM(J11,J16,J21,J26,J31,J36,J41,J46)</f>
        <v>345</v>
      </c>
      <c r="K6" s="49"/>
      <c r="L6" s="49"/>
      <c r="M6" s="68">
        <f>SUM(M11,M16,M21,M26,M31,M36,M41,M46,)</f>
        <v>315</v>
      </c>
      <c r="N6" s="68">
        <f>SUM(N11,N16,N21,N26,N31,N36,N41,N46)</f>
        <v>75</v>
      </c>
      <c r="O6" s="68">
        <f>SUM(O11,O16,O21,O26,O31,O36,O41,O46)</f>
        <v>390</v>
      </c>
      <c r="P6" s="49"/>
      <c r="Q6" s="49"/>
      <c r="R6" s="68">
        <f>SUM(R11,R16,R21,R26,R31,R36,R41,R46,)</f>
        <v>240</v>
      </c>
      <c r="S6" s="68">
        <f>SUM(S11,S16,S21,S26,S31,S36,S41,S46)</f>
        <v>210</v>
      </c>
      <c r="T6" s="68">
        <f>SUM(T11,T16,T21,T26,T31,T36,T41,T46)</f>
        <v>450</v>
      </c>
      <c r="U6" s="49"/>
      <c r="V6" s="49"/>
      <c r="W6" s="68">
        <f>SUM(W11,W16,W21,W26,W31,W36,W41,W46,)</f>
        <v>240</v>
      </c>
      <c r="X6" s="68">
        <f>SUM(X11,X16,X21,X26,X31,X36,X41,X46)</f>
        <v>240</v>
      </c>
      <c r="Y6" s="68">
        <f>SUM(Y11,Y16,Y21,Y26,Y31,Y36,Y41,Y46)</f>
        <v>480</v>
      </c>
      <c r="Z6" s="49"/>
      <c r="AA6" s="49"/>
      <c r="AB6" s="68">
        <f>SUM(AB11,AB16,AB21,AB26,AB31,AB36,AB41,AB46,)</f>
        <v>60</v>
      </c>
      <c r="AC6" s="68">
        <f>SUM(AC11,AC16,AC21,AC26,AC31,AC36,AC41,AC46)</f>
        <v>360</v>
      </c>
      <c r="AD6" s="68">
        <f>SUM(AD11,AD16,AD21,AD26,AD31,AD36,AD41,AD46)</f>
        <v>420</v>
      </c>
      <c r="AE6" s="49"/>
      <c r="AF6" s="50"/>
      <c r="AG6" s="50"/>
      <c r="AH6" s="50"/>
      <c r="AI6" s="50"/>
      <c r="AJ6" s="50"/>
      <c r="AK6" s="50"/>
      <c r="AL6" s="50"/>
      <c r="AM6" s="50"/>
      <c r="AN6" s="50"/>
      <c r="AO6" s="50"/>
      <c r="AP6" s="50"/>
      <c r="AQ6" s="50"/>
      <c r="AR6" s="50"/>
      <c r="AS6" s="50"/>
      <c r="AT6" s="50"/>
      <c r="AU6" s="50"/>
      <c r="AV6" s="50"/>
      <c r="AW6" s="50"/>
      <c r="AX6" s="50"/>
      <c r="AY6" s="50"/>
      <c r="AZ6" s="209"/>
      <c r="BA6" s="46"/>
    </row>
    <row r="7" spans="1:58" ht="10.5" customHeight="1" x14ac:dyDescent="0.25">
      <c r="B7" s="19"/>
      <c r="C7" s="7"/>
      <c r="D7" s="7"/>
      <c r="E7" s="7"/>
      <c r="F7" s="7"/>
      <c r="G7" s="7"/>
      <c r="H7" s="7"/>
      <c r="I7" s="7"/>
      <c r="J7" s="7"/>
      <c r="K7" s="7"/>
      <c r="L7" s="7"/>
      <c r="M7" s="7"/>
      <c r="N7" s="7"/>
      <c r="O7" s="7"/>
      <c r="P7" s="7"/>
      <c r="Q7" s="7"/>
      <c r="R7" s="7"/>
      <c r="S7" s="7"/>
      <c r="T7" s="7"/>
      <c r="U7" s="7"/>
      <c r="V7" s="7"/>
      <c r="W7" s="7"/>
      <c r="X7" s="7"/>
      <c r="Y7" s="7"/>
      <c r="Z7" s="7"/>
      <c r="AA7" s="7"/>
      <c r="AB7" s="7"/>
      <c r="AC7" s="7"/>
      <c r="AD7" s="7"/>
      <c r="AE7" s="7"/>
      <c r="AF7" s="50"/>
      <c r="AG7" s="50"/>
      <c r="AH7" s="50"/>
      <c r="AI7" s="50"/>
      <c r="AJ7" s="50"/>
      <c r="AK7" s="50"/>
      <c r="AL7" s="50"/>
      <c r="AM7" s="50"/>
      <c r="AN7" s="50"/>
      <c r="AO7" s="50"/>
      <c r="AP7" s="50"/>
      <c r="AQ7" s="50"/>
      <c r="AR7" s="50"/>
      <c r="AS7" s="50"/>
      <c r="AT7" s="50"/>
      <c r="AU7" s="50"/>
      <c r="AV7" s="50"/>
      <c r="AW7" s="50"/>
      <c r="AX7" s="50"/>
      <c r="AY7" s="29"/>
      <c r="AZ7" s="205" t="s">
        <v>400</v>
      </c>
      <c r="BA7" s="206">
        <f>SUM(E6,J6,O6,T6,Y6,AD6)-SUM(BA8:BA11)</f>
        <v>1875</v>
      </c>
    </row>
    <row r="8" spans="1:58" ht="15" customHeight="1" x14ac:dyDescent="0.25">
      <c r="B8" s="19"/>
      <c r="C8" s="250" t="s">
        <v>381</v>
      </c>
      <c r="D8" s="251"/>
      <c r="E8" s="252"/>
      <c r="F8" s="7"/>
      <c r="G8" s="7"/>
      <c r="H8" s="250" t="str">
        <f>TEXT(INT(LEFT(C33,2))+1,"0") &amp; " - Cálculo Diferencial e Integral II"</f>
        <v>7 - Cálculo Diferencial e Integral II</v>
      </c>
      <c r="I8" s="251"/>
      <c r="J8" s="252"/>
      <c r="K8" s="7"/>
      <c r="L8" s="59"/>
      <c r="M8" s="259" t="str">
        <f>TEXT(INT(LEFT(H33,2))+1,"0") &amp; " - Sinais e Sistemas I"</f>
        <v>14 - Sinais e Sistemas I</v>
      </c>
      <c r="N8" s="260"/>
      <c r="O8" s="261"/>
      <c r="P8" s="7"/>
      <c r="Q8" s="7"/>
      <c r="R8" s="241" t="str">
        <f>TEXT(INT(LEFT(M33,2))+1,"0") &amp; " - Atividades Curriculares de Extensão I"</f>
        <v>19 - Atividades Curriculares de Extensão I</v>
      </c>
      <c r="S8" s="242"/>
      <c r="T8" s="243"/>
      <c r="U8" s="7"/>
      <c r="V8" s="7"/>
      <c r="W8" s="241" t="str">
        <f>TEXT(INT(LEFT(R38,2))+1,"0") &amp; " - Atividades Curriculares de Extensão II"</f>
        <v>26 - Atividades Curriculares de Extensão II</v>
      </c>
      <c r="X8" s="242"/>
      <c r="Y8" s="243"/>
      <c r="Z8" s="7"/>
      <c r="AA8" s="50"/>
      <c r="AB8" s="241" t="str">
        <f>TEXT(INT(LEFT(W38,2))+1,"0") &amp; "  - Atividades Curriculares de Extensão III"</f>
        <v>33  - Atividades Curriculares de Extensão III</v>
      </c>
      <c r="AC8" s="242"/>
      <c r="AD8" s="243"/>
      <c r="AE8" s="7"/>
      <c r="AF8" s="50"/>
      <c r="AG8" s="50"/>
      <c r="AH8" s="50"/>
      <c r="AI8" s="50"/>
      <c r="AJ8" s="49"/>
      <c r="AK8" s="7"/>
      <c r="AL8" s="7"/>
      <c r="AM8" s="7"/>
      <c r="AN8" s="7"/>
      <c r="AO8" s="50"/>
      <c r="AP8" s="50"/>
      <c r="AQ8" s="50"/>
      <c r="AR8" s="7"/>
      <c r="AS8" s="7"/>
      <c r="AT8" s="7"/>
      <c r="AU8" s="7"/>
      <c r="AV8" s="7"/>
      <c r="AW8" s="50"/>
      <c r="AX8" s="50"/>
      <c r="AY8" s="50"/>
      <c r="AZ8" s="205" t="s">
        <v>14</v>
      </c>
      <c r="BA8" s="206">
        <f>AD36</f>
        <v>80</v>
      </c>
      <c r="BB8" s="50"/>
      <c r="BC8" s="50"/>
      <c r="BD8" s="50"/>
      <c r="BE8" s="50"/>
      <c r="BF8" s="50"/>
    </row>
    <row r="9" spans="1:58" x14ac:dyDescent="0.25">
      <c r="B9" s="19"/>
      <c r="C9" s="253"/>
      <c r="D9" s="254"/>
      <c r="E9" s="255"/>
      <c r="F9" s="7"/>
      <c r="G9" s="7"/>
      <c r="H9" s="253"/>
      <c r="I9" s="254"/>
      <c r="J9" s="255"/>
      <c r="K9" s="7"/>
      <c r="L9" s="59"/>
      <c r="M9" s="262"/>
      <c r="N9" s="263"/>
      <c r="O9" s="264"/>
      <c r="P9" s="7"/>
      <c r="Q9" s="7"/>
      <c r="R9" s="244"/>
      <c r="S9" s="245"/>
      <c r="T9" s="246"/>
      <c r="U9" s="7"/>
      <c r="V9" s="7"/>
      <c r="W9" s="244"/>
      <c r="X9" s="245"/>
      <c r="Y9" s="246"/>
      <c r="Z9" s="7"/>
      <c r="AA9" s="50"/>
      <c r="AB9" s="244"/>
      <c r="AC9" s="245"/>
      <c r="AD9" s="246"/>
      <c r="AE9" s="7"/>
      <c r="AF9" s="50"/>
      <c r="AG9" s="50"/>
      <c r="AH9" s="50"/>
      <c r="AI9" s="50"/>
      <c r="AJ9" s="49"/>
      <c r="AK9" s="7"/>
      <c r="AL9" s="7"/>
      <c r="AM9" s="7"/>
      <c r="AN9" s="7"/>
      <c r="AO9" s="50"/>
      <c r="AP9" s="50"/>
      <c r="AQ9" s="50"/>
      <c r="AR9" s="7"/>
      <c r="AS9" s="7"/>
      <c r="AT9" s="7"/>
      <c r="AU9" s="7"/>
      <c r="AV9" s="7"/>
      <c r="AW9" s="50"/>
      <c r="AX9" s="50"/>
      <c r="AY9" s="50"/>
      <c r="AZ9" s="205" t="s">
        <v>403</v>
      </c>
      <c r="BA9" s="206">
        <f>AD31</f>
        <v>160</v>
      </c>
      <c r="BB9" s="50"/>
      <c r="BC9" s="50"/>
      <c r="BD9" s="50"/>
      <c r="BE9" s="50"/>
      <c r="BF9" s="50"/>
    </row>
    <row r="10" spans="1:58" ht="14.25" customHeight="1" x14ac:dyDescent="0.25">
      <c r="B10" s="19"/>
      <c r="C10" s="256"/>
      <c r="D10" s="257"/>
      <c r="E10" s="258"/>
      <c r="F10" s="7"/>
      <c r="G10" s="58" t="str">
        <f>LEFT(C8,2)</f>
        <v xml:space="preserve">1 </v>
      </c>
      <c r="H10" s="256"/>
      <c r="I10" s="257"/>
      <c r="J10" s="258"/>
      <c r="K10" s="7"/>
      <c r="L10" s="58" t="str">
        <f>LEFT(H8,2)</f>
        <v xml:space="preserve">7 </v>
      </c>
      <c r="M10" s="265"/>
      <c r="N10" s="266"/>
      <c r="O10" s="267"/>
      <c r="P10" s="7"/>
      <c r="Q10" s="7"/>
      <c r="R10" s="247"/>
      <c r="S10" s="248"/>
      <c r="T10" s="249"/>
      <c r="U10" s="7"/>
      <c r="V10" s="7"/>
      <c r="W10" s="247"/>
      <c r="X10" s="248"/>
      <c r="Y10" s="249"/>
      <c r="Z10" s="7"/>
      <c r="AA10" s="50"/>
      <c r="AB10" s="247"/>
      <c r="AC10" s="248"/>
      <c r="AD10" s="249"/>
      <c r="AE10" s="7"/>
      <c r="AF10" s="50"/>
      <c r="AG10" s="50"/>
      <c r="AH10" s="50"/>
      <c r="AI10" s="50"/>
      <c r="AJ10" s="49"/>
      <c r="AK10" s="7"/>
      <c r="AL10" s="7"/>
      <c r="AM10" s="7"/>
      <c r="AN10" s="7"/>
      <c r="AO10" s="50"/>
      <c r="AP10" s="50"/>
      <c r="AQ10" s="50"/>
      <c r="AR10" s="7"/>
      <c r="AS10" s="7"/>
      <c r="AT10" s="7"/>
      <c r="AU10" s="7"/>
      <c r="AV10" s="7"/>
      <c r="AW10" s="50"/>
      <c r="AX10" s="50"/>
      <c r="AY10" s="50"/>
      <c r="AZ10" s="205" t="s">
        <v>27</v>
      </c>
      <c r="BA10" s="206">
        <v>75</v>
      </c>
      <c r="BB10" s="50"/>
      <c r="BC10" s="50" t="s">
        <v>386</v>
      </c>
      <c r="BD10" s="50"/>
      <c r="BE10" s="50"/>
      <c r="BF10" s="50"/>
    </row>
    <row r="11" spans="1:58" ht="12" customHeight="1" x14ac:dyDescent="0.25">
      <c r="B11" s="19"/>
      <c r="C11" s="210">
        <v>60</v>
      </c>
      <c r="D11" s="210">
        <v>0</v>
      </c>
      <c r="E11" s="210">
        <f>C11+D11</f>
        <v>60</v>
      </c>
      <c r="F11" s="7"/>
      <c r="G11" s="7"/>
      <c r="H11" s="210">
        <v>90</v>
      </c>
      <c r="I11" s="210">
        <v>0</v>
      </c>
      <c r="J11" s="210">
        <f>H11+I11</f>
        <v>90</v>
      </c>
      <c r="K11" s="7"/>
      <c r="L11" s="59"/>
      <c r="M11" s="6">
        <v>90</v>
      </c>
      <c r="N11" s="6">
        <v>0</v>
      </c>
      <c r="O11" s="6">
        <f>M11+N11</f>
        <v>90</v>
      </c>
      <c r="P11" s="7"/>
      <c r="Q11" s="7"/>
      <c r="R11" s="47">
        <v>0</v>
      </c>
      <c r="S11" s="47">
        <v>90</v>
      </c>
      <c r="T11" s="47">
        <f>R11+S11</f>
        <v>90</v>
      </c>
      <c r="U11" s="7"/>
      <c r="V11" s="7"/>
      <c r="W11" s="47">
        <v>0</v>
      </c>
      <c r="X11" s="47">
        <v>90</v>
      </c>
      <c r="Y11" s="47">
        <f>W11+X11</f>
        <v>90</v>
      </c>
      <c r="Z11" s="7"/>
      <c r="AA11" s="50"/>
      <c r="AB11" s="47">
        <v>0</v>
      </c>
      <c r="AC11" s="47">
        <v>60</v>
      </c>
      <c r="AD11" s="47">
        <f>AB11+AC11</f>
        <v>60</v>
      </c>
      <c r="AE11" s="7"/>
      <c r="AF11" s="50"/>
      <c r="AG11" s="50"/>
      <c r="AH11" s="50"/>
      <c r="AI11" s="50"/>
      <c r="AJ11" s="7"/>
      <c r="AK11" s="7"/>
      <c r="AL11" s="7"/>
      <c r="AM11" s="7"/>
      <c r="AN11" s="7"/>
      <c r="AO11" s="50"/>
      <c r="AP11" s="50"/>
      <c r="AQ11" s="50"/>
      <c r="AR11" s="7"/>
      <c r="AS11" s="7"/>
      <c r="AT11" s="7"/>
      <c r="AU11" s="7"/>
      <c r="AV11" s="7"/>
      <c r="AW11" s="50"/>
      <c r="AX11" s="50"/>
      <c r="AY11" s="29"/>
      <c r="AZ11" s="205" t="s">
        <v>399</v>
      </c>
      <c r="BA11" s="206">
        <f>T11+Y11+AD11</f>
        <v>240</v>
      </c>
      <c r="BB11" s="50"/>
      <c r="BC11" s="50" t="s">
        <v>382</v>
      </c>
      <c r="BD11" s="50"/>
      <c r="BE11" s="50"/>
      <c r="BF11" s="50"/>
    </row>
    <row r="12" spans="1:58" ht="5.25" customHeight="1" x14ac:dyDescent="0.25">
      <c r="B12" s="19"/>
      <c r="C12" s="7"/>
      <c r="D12" s="7"/>
      <c r="E12" s="7"/>
      <c r="F12" s="7"/>
      <c r="G12" s="7"/>
      <c r="H12" s="7"/>
      <c r="I12" s="7"/>
      <c r="J12" s="7"/>
      <c r="K12" s="7"/>
      <c r="L12" s="59"/>
      <c r="M12" s="7"/>
      <c r="N12" s="7"/>
      <c r="O12" s="7"/>
      <c r="P12" s="7"/>
      <c r="Q12" s="59"/>
      <c r="R12" s="7"/>
      <c r="S12" s="7"/>
      <c r="T12" s="7"/>
      <c r="U12" s="7"/>
      <c r="V12" s="7"/>
      <c r="W12" s="216"/>
      <c r="X12" s="216"/>
      <c r="Y12" s="216"/>
      <c r="Z12" s="7"/>
      <c r="AA12" s="7"/>
      <c r="AB12" s="7"/>
      <c r="AC12" s="7"/>
      <c r="AD12" s="7"/>
      <c r="AE12" s="7"/>
      <c r="AF12" s="50"/>
      <c r="AG12" s="50"/>
      <c r="AH12" s="50"/>
      <c r="AI12" s="50"/>
      <c r="AJ12" s="7"/>
      <c r="AK12" s="7"/>
      <c r="AL12" s="7"/>
      <c r="AM12" s="7"/>
      <c r="AN12" s="7"/>
      <c r="AO12" s="50"/>
      <c r="AP12" s="50"/>
      <c r="AQ12" s="50"/>
      <c r="AR12" s="7"/>
      <c r="AS12" s="7"/>
      <c r="AT12" s="7"/>
      <c r="AU12" s="7"/>
      <c r="AV12" s="7"/>
      <c r="AW12" s="50"/>
      <c r="AX12" s="50"/>
      <c r="AY12" s="29"/>
      <c r="BB12" s="50"/>
      <c r="BC12" s="50"/>
      <c r="BD12" s="50"/>
      <c r="BE12" s="50"/>
      <c r="BF12" s="50"/>
    </row>
    <row r="13" spans="1:58" ht="15" customHeight="1" thickBot="1" x14ac:dyDescent="0.3">
      <c r="B13" s="225"/>
      <c r="C13" s="259" t="str">
        <f>TEXT(INT(LEFT(C8,2))+1,"0") &amp; "  - Ciência de dados aplicada a Metrologia"</f>
        <v>2  - Ciência de dados aplicada a Metrologia</v>
      </c>
      <c r="D13" s="260"/>
      <c r="E13" s="261"/>
      <c r="F13" s="7"/>
      <c r="G13" s="59"/>
      <c r="H13" s="226" t="str">
        <f>TEXT(INT(LEFT(H8,2))+1,"0") &amp; " - Circuitos Elétricos I"</f>
        <v>8 - Circuitos Elétricos I</v>
      </c>
      <c r="I13" s="227"/>
      <c r="J13" s="228"/>
      <c r="K13" s="7"/>
      <c r="M13" s="268" t="str">
        <f>TEXT(INT(LEFT(M8,2))+1,"0") &amp; " - Eletrônica Analógica I"</f>
        <v>15 - Eletrônica Analógica I</v>
      </c>
      <c r="N13" s="268"/>
      <c r="O13" s="268"/>
      <c r="P13" s="7"/>
      <c r="Q13" s="60" t="str">
        <f>LEFT(R18,2)</f>
        <v>21</v>
      </c>
      <c r="R13" s="226" t="str">
        <f>TEXT(INT(LEFT(R8,2))+1,"0") &amp; " - Eletrônica Analógica II"</f>
        <v>20 - Eletrônica Analógica II</v>
      </c>
      <c r="S13" s="227"/>
      <c r="T13" s="228"/>
      <c r="U13" s="7"/>
      <c r="V13" s="59"/>
      <c r="W13" s="226" t="str">
        <f>TEXT(INT(LEFT(W8,2))+1,"0") &amp; " - Conversão de Energia e Maquinas"</f>
        <v>27 - Conversão de Energia e Maquinas</v>
      </c>
      <c r="X13" s="227"/>
      <c r="Y13" s="228"/>
      <c r="Z13" s="7"/>
      <c r="AA13" s="7"/>
      <c r="AB13" s="226" t="str">
        <f>TEXT(INT(LEFT(AB8,2))+1,"0") &amp; " - Instalação, Proteção e Especificação de Sistemas Industriais"</f>
        <v>34 - Instalação, Proteção e Especificação de Sistemas Industriais</v>
      </c>
      <c r="AC13" s="227"/>
      <c r="AD13" s="228"/>
      <c r="AE13" s="7"/>
      <c r="AF13" s="50"/>
      <c r="AG13" s="50"/>
      <c r="AH13" s="50"/>
      <c r="AI13" s="50"/>
      <c r="AJ13" s="7"/>
      <c r="AK13" s="7"/>
      <c r="AL13" s="7"/>
      <c r="AM13" s="7"/>
      <c r="AN13" s="7"/>
      <c r="AO13" s="50"/>
      <c r="AP13" s="50"/>
      <c r="AQ13" s="7"/>
      <c r="AR13" s="7"/>
      <c r="AS13" s="7"/>
      <c r="AT13" s="7"/>
      <c r="AU13" s="7"/>
      <c r="AV13" s="7"/>
      <c r="AW13" s="50"/>
      <c r="AX13" s="50"/>
      <c r="AY13" s="50"/>
      <c r="AZ13" s="205" t="s">
        <v>398</v>
      </c>
      <c r="BA13" s="206">
        <f>SUM(BA7:BA11)</f>
        <v>2430</v>
      </c>
      <c r="BB13" s="7"/>
      <c r="BC13" s="7" t="s">
        <v>383</v>
      </c>
      <c r="BD13" s="50"/>
      <c r="BE13" s="50"/>
      <c r="BF13" s="50"/>
    </row>
    <row r="14" spans="1:58" ht="16.5" thickTop="1" thickBot="1" x14ac:dyDescent="0.3">
      <c r="B14" s="225"/>
      <c r="C14" s="262"/>
      <c r="D14" s="263"/>
      <c r="E14" s="264"/>
      <c r="F14" s="7"/>
      <c r="G14" s="60" t="str">
        <f>LEFT(H18,2)</f>
        <v xml:space="preserve">9 </v>
      </c>
      <c r="H14" s="229"/>
      <c r="I14" s="230"/>
      <c r="J14" s="231"/>
      <c r="K14" s="7"/>
      <c r="L14" s="60" t="str">
        <f>LEFT(M18,2)</f>
        <v>16</v>
      </c>
      <c r="M14" s="268"/>
      <c r="N14" s="268"/>
      <c r="O14" s="268"/>
      <c r="P14" s="7"/>
      <c r="Q14" s="58" t="str">
        <f>LEFT(M13,2)</f>
        <v>15</v>
      </c>
      <c r="R14" s="229"/>
      <c r="S14" s="230"/>
      <c r="T14" s="231"/>
      <c r="U14" s="7"/>
      <c r="V14" s="58" t="str">
        <f>LEFT(H13,2)</f>
        <v xml:space="preserve">8 </v>
      </c>
      <c r="W14" s="229"/>
      <c r="X14" s="230"/>
      <c r="Y14" s="231"/>
      <c r="Z14" s="7"/>
      <c r="AA14" s="7"/>
      <c r="AB14" s="229"/>
      <c r="AC14" s="230"/>
      <c r="AD14" s="231"/>
      <c r="AE14" s="7"/>
      <c r="AF14" s="50"/>
      <c r="AG14" s="50"/>
      <c r="AH14" s="50"/>
      <c r="AI14" s="50"/>
      <c r="AJ14" s="207">
        <f>BD28-BD27</f>
        <v>-4860</v>
      </c>
      <c r="AK14" s="7"/>
      <c r="AL14" s="7"/>
      <c r="AM14" s="7"/>
      <c r="AN14" s="7"/>
      <c r="AO14" s="50"/>
      <c r="AP14" s="50"/>
      <c r="AQ14" s="7"/>
      <c r="AR14" s="7"/>
      <c r="AS14" s="7"/>
      <c r="AT14" s="7"/>
      <c r="AU14" s="7"/>
      <c r="AV14" s="7"/>
      <c r="AW14" s="50"/>
      <c r="AX14" s="50"/>
      <c r="AY14" s="50"/>
      <c r="AZ14" s="205"/>
      <c r="BA14" s="206"/>
      <c r="BB14" s="7"/>
      <c r="BC14" s="7" t="s">
        <v>384</v>
      </c>
      <c r="BD14" s="50"/>
      <c r="BE14" s="50"/>
      <c r="BF14" s="50"/>
    </row>
    <row r="15" spans="1:58" ht="14.25" customHeight="1" thickTop="1" x14ac:dyDescent="0.25">
      <c r="B15" s="225"/>
      <c r="C15" s="265"/>
      <c r="D15" s="266"/>
      <c r="E15" s="267"/>
      <c r="F15" s="7"/>
      <c r="G15" s="61" t="str">
        <f>LEFT(C8,2)</f>
        <v xml:space="preserve">1 </v>
      </c>
      <c r="H15" s="232"/>
      <c r="I15" s="233"/>
      <c r="J15" s="234"/>
      <c r="K15" s="7"/>
      <c r="L15" s="58" t="str">
        <f>LEFT(H13,2)</f>
        <v xml:space="preserve">8 </v>
      </c>
      <c r="M15" s="268"/>
      <c r="N15" s="268"/>
      <c r="O15" s="268"/>
      <c r="P15" s="7"/>
      <c r="Q15" s="58" t="str">
        <f>LEFT(M18,2)</f>
        <v>16</v>
      </c>
      <c r="R15" s="232"/>
      <c r="S15" s="233"/>
      <c r="T15" s="234"/>
      <c r="U15" s="7"/>
      <c r="V15" s="58" t="str">
        <f>LEFT(M13,2)</f>
        <v>15</v>
      </c>
      <c r="W15" s="232"/>
      <c r="X15" s="233"/>
      <c r="Y15" s="234"/>
      <c r="Z15" s="7"/>
      <c r="AA15" s="7"/>
      <c r="AB15" s="232"/>
      <c r="AC15" s="233"/>
      <c r="AD15" s="234"/>
      <c r="AE15" s="7"/>
      <c r="AF15" s="50"/>
      <c r="AG15" s="50"/>
      <c r="AH15" s="50"/>
      <c r="AI15" s="50"/>
      <c r="AJ15" s="50"/>
      <c r="AK15" s="7"/>
      <c r="AL15" s="7"/>
      <c r="AM15" s="7"/>
      <c r="AN15" s="7"/>
      <c r="AO15" s="50"/>
      <c r="AP15" s="50"/>
      <c r="AQ15" s="7"/>
      <c r="AR15" s="7"/>
      <c r="AS15" s="7"/>
      <c r="AT15" s="7"/>
      <c r="AU15" s="7"/>
      <c r="AV15" s="7"/>
      <c r="AW15" s="7"/>
      <c r="AX15" s="7"/>
      <c r="AY15" s="29"/>
      <c r="BB15" s="7"/>
      <c r="BC15" s="7" t="s">
        <v>385</v>
      </c>
      <c r="BD15" s="50"/>
      <c r="BE15" s="50"/>
      <c r="BF15" s="7"/>
    </row>
    <row r="16" spans="1:58" ht="12" customHeight="1" x14ac:dyDescent="0.25">
      <c r="B16" s="225"/>
      <c r="C16" s="6">
        <v>30</v>
      </c>
      <c r="D16" s="6">
        <v>30</v>
      </c>
      <c r="E16" s="6">
        <f>C16+D16</f>
        <v>60</v>
      </c>
      <c r="F16" s="7"/>
      <c r="G16" s="59"/>
      <c r="H16" s="213">
        <v>75</v>
      </c>
      <c r="I16" s="213">
        <v>0</v>
      </c>
      <c r="J16" s="213">
        <f>H16+I16</f>
        <v>75</v>
      </c>
      <c r="K16" s="7"/>
      <c r="L16" s="59"/>
      <c r="M16" s="213">
        <v>60</v>
      </c>
      <c r="N16" s="213">
        <v>0</v>
      </c>
      <c r="O16" s="213">
        <f>M16+N16</f>
        <v>60</v>
      </c>
      <c r="P16" s="7"/>
      <c r="Q16" s="59"/>
      <c r="R16" s="213">
        <v>60</v>
      </c>
      <c r="S16" s="213">
        <v>0</v>
      </c>
      <c r="T16" s="213">
        <f>R16+S16</f>
        <v>60</v>
      </c>
      <c r="U16" s="7"/>
      <c r="V16" s="59"/>
      <c r="W16" s="213">
        <v>45</v>
      </c>
      <c r="X16" s="213">
        <v>15</v>
      </c>
      <c r="Y16" s="213">
        <f>W16+X16</f>
        <v>60</v>
      </c>
      <c r="Z16" s="7"/>
      <c r="AA16" s="7"/>
      <c r="AB16" s="213">
        <v>30</v>
      </c>
      <c r="AC16" s="213">
        <v>30</v>
      </c>
      <c r="AD16" s="213">
        <f>AB16+AC16</f>
        <v>60</v>
      </c>
      <c r="AE16" s="7"/>
      <c r="AF16" s="50"/>
      <c r="AG16" s="50"/>
      <c r="AH16" s="50"/>
      <c r="AI16" s="50"/>
      <c r="AJ16" s="50"/>
      <c r="AK16" s="7"/>
      <c r="AL16" s="7"/>
      <c r="AM16" s="7"/>
      <c r="AN16" s="7"/>
      <c r="AO16" s="50"/>
      <c r="AP16" s="50"/>
      <c r="AQ16" s="7"/>
      <c r="AR16" s="7"/>
      <c r="AS16" s="7"/>
      <c r="AT16" s="7"/>
      <c r="AU16" s="7"/>
      <c r="AV16" s="7"/>
      <c r="AW16" s="7"/>
      <c r="AX16" s="7"/>
      <c r="AY16" s="29"/>
      <c r="BB16" s="7"/>
      <c r="BC16" s="7"/>
      <c r="BD16" s="50"/>
      <c r="BE16" s="50"/>
      <c r="BF16" s="7"/>
    </row>
    <row r="17" spans="1:70" ht="5.25" customHeight="1" x14ac:dyDescent="0.25">
      <c r="B17" s="19"/>
      <c r="C17" s="7"/>
      <c r="D17" s="7"/>
      <c r="E17" s="7"/>
      <c r="F17" s="7"/>
      <c r="G17" s="7"/>
      <c r="H17" s="7"/>
      <c r="I17" s="7"/>
      <c r="J17" s="7"/>
      <c r="K17" s="7"/>
      <c r="L17" s="59"/>
      <c r="M17" s="7"/>
      <c r="N17" s="7"/>
      <c r="O17" s="7"/>
      <c r="P17" s="7"/>
      <c r="Q17" s="59"/>
      <c r="R17" s="7"/>
      <c r="S17" s="7"/>
      <c r="T17" s="7"/>
      <c r="U17" s="7"/>
      <c r="V17" s="7"/>
      <c r="W17" s="7"/>
      <c r="X17" s="7"/>
      <c r="Y17" s="7"/>
      <c r="Z17" s="7"/>
      <c r="AA17" s="59"/>
      <c r="AB17" s="7"/>
      <c r="AC17" s="7"/>
      <c r="AD17" s="7"/>
      <c r="AE17" s="7"/>
      <c r="AF17" s="50"/>
      <c r="AG17" s="50"/>
      <c r="AH17" s="50"/>
      <c r="AI17" s="50"/>
      <c r="AJ17" s="7"/>
      <c r="AK17" s="7"/>
      <c r="AL17" s="7"/>
      <c r="AM17" s="50"/>
      <c r="AN17" s="50"/>
      <c r="AO17" s="50"/>
      <c r="AP17" s="50"/>
      <c r="AQ17" s="7"/>
      <c r="AR17" s="7"/>
      <c r="AS17" s="7"/>
      <c r="AT17" s="7"/>
      <c r="AU17" s="7"/>
      <c r="AV17" s="7"/>
      <c r="AW17" s="50"/>
      <c r="AX17" s="50"/>
      <c r="AY17" s="29"/>
      <c r="BB17" s="7"/>
      <c r="BC17" s="7"/>
      <c r="BD17" s="50"/>
      <c r="BE17" s="50"/>
      <c r="BF17" s="50"/>
    </row>
    <row r="18" spans="1:70" ht="15" customHeight="1" thickBot="1" x14ac:dyDescent="0.3">
      <c r="A18" s="203"/>
      <c r="B18" s="19"/>
      <c r="C18" s="279" t="str">
        <f>TEXT(INT(LEFT(C13,2))+1,"0") &amp; " - Expressão Gráfica"</f>
        <v>3 - Expressão Gráfica</v>
      </c>
      <c r="D18" s="280"/>
      <c r="E18" s="281"/>
      <c r="F18" s="7"/>
      <c r="H18" s="226" t="str">
        <f>TEXT(INT(LEFT(H13,2))+1,"0") &amp; " - Experimental de Circuitos  Elétricos I"</f>
        <v>9 - Experimental de Circuitos  Elétricos I</v>
      </c>
      <c r="I18" s="227"/>
      <c r="J18" s="228"/>
      <c r="K18" s="7"/>
      <c r="M18" s="268" t="str">
        <f>TEXT(INT(LEFT(M13,2))+1,"0") &amp; " - Experimental de Eletrônica Analógica I"</f>
        <v>16 - Experimental de Eletrônica Analógica I</v>
      </c>
      <c r="N18" s="268"/>
      <c r="O18" s="268"/>
      <c r="P18" s="7"/>
      <c r="Q18" s="60" t="str">
        <f>LEFT(R13,2)</f>
        <v>20</v>
      </c>
      <c r="R18" s="226" t="str">
        <f>TEXT(INT(LEFT(R13,2))+1,"0") &amp; "  - Experimental de Eletrônica Analógica II"</f>
        <v>21  - Experimental de Eletrônica Analógica II</v>
      </c>
      <c r="S18" s="227"/>
      <c r="T18" s="228"/>
      <c r="U18" s="7"/>
      <c r="V18" s="59"/>
      <c r="W18" s="259" t="str">
        <f>TEXT(INT(LEFT(W13,2))+1,"0") &amp; " - Experimental de Sistemas de Controle Realimentado"</f>
        <v>28 - Experimental de Sistemas de Controle Realimentado</v>
      </c>
      <c r="X18" s="260"/>
      <c r="Y18" s="261"/>
      <c r="Z18" s="7"/>
      <c r="AB18" s="226" t="str">
        <f>TEXT(INT(LEFT(AB13,2))+1,"0") &amp; " - Experimental de Instalações Elétricas"</f>
        <v>35 - Experimental de Instalações Elétricas</v>
      </c>
      <c r="AC18" s="227"/>
      <c r="AD18" s="228"/>
      <c r="AE18" s="7"/>
      <c r="AF18" s="50"/>
      <c r="AG18" s="50"/>
      <c r="AH18" s="50"/>
      <c r="AI18" s="50"/>
      <c r="AJ18" s="50"/>
      <c r="AK18" s="50"/>
      <c r="AL18" s="50"/>
      <c r="AM18" s="50"/>
      <c r="AN18" s="50"/>
      <c r="AO18" s="50"/>
      <c r="AP18" s="50"/>
      <c r="AQ18" s="7"/>
      <c r="AR18" s="7"/>
      <c r="AS18" s="7"/>
      <c r="AT18" s="7"/>
      <c r="AU18" s="7"/>
      <c r="AV18" s="7"/>
      <c r="AW18" s="7"/>
      <c r="AX18" s="7"/>
      <c r="AY18" s="29"/>
      <c r="BB18" s="7"/>
      <c r="BC18" s="7"/>
      <c r="BD18" s="7"/>
      <c r="BE18" s="50"/>
      <c r="BF18" s="7"/>
    </row>
    <row r="19" spans="1:70" ht="16.5" thickTop="1" thickBot="1" x14ac:dyDescent="0.3">
      <c r="B19" s="19"/>
      <c r="C19" s="282"/>
      <c r="D19" s="283"/>
      <c r="E19" s="284"/>
      <c r="F19" s="7"/>
      <c r="G19" s="60" t="str">
        <f>LEFT(H13,2)</f>
        <v xml:space="preserve">8 </v>
      </c>
      <c r="H19" s="229"/>
      <c r="I19" s="230"/>
      <c r="J19" s="231"/>
      <c r="K19" s="7"/>
      <c r="L19" s="60" t="str">
        <f>LEFT(M13,2)</f>
        <v>15</v>
      </c>
      <c r="M19" s="268"/>
      <c r="N19" s="268"/>
      <c r="O19" s="268"/>
      <c r="P19" s="7"/>
      <c r="Q19" s="58" t="str">
        <f>LEFT(M13,2)</f>
        <v>15</v>
      </c>
      <c r="R19" s="229"/>
      <c r="S19" s="230"/>
      <c r="T19" s="231"/>
      <c r="U19" s="7"/>
      <c r="V19" s="60" t="str">
        <f>LEFT(W33,2)</f>
        <v>31</v>
      </c>
      <c r="W19" s="262"/>
      <c r="X19" s="263"/>
      <c r="Y19" s="264"/>
      <c r="Z19" s="7"/>
      <c r="AA19" s="60" t="str">
        <f>LEFT(AB23,2)</f>
        <v>36</v>
      </c>
      <c r="AB19" s="229"/>
      <c r="AC19" s="230"/>
      <c r="AD19" s="231"/>
      <c r="AE19" s="7"/>
      <c r="AF19" s="50"/>
      <c r="AG19" s="50"/>
      <c r="AH19" s="50"/>
      <c r="AI19" s="50"/>
      <c r="AJ19" s="50"/>
      <c r="AK19" s="50"/>
      <c r="AL19" s="50"/>
      <c r="AM19" s="50"/>
      <c r="AN19" s="50"/>
      <c r="AO19" s="50"/>
      <c r="AP19" s="50"/>
      <c r="AQ19" s="7"/>
      <c r="AR19" s="7"/>
      <c r="AS19" s="7"/>
      <c r="AT19" s="7"/>
      <c r="AU19" s="7"/>
      <c r="AV19" s="7"/>
      <c r="AW19" s="7"/>
      <c r="AX19" s="7"/>
      <c r="AY19" s="29"/>
      <c r="BB19" s="7"/>
      <c r="BC19" s="7"/>
      <c r="BD19" s="7"/>
      <c r="BE19" s="50"/>
      <c r="BF19" s="7"/>
    </row>
    <row r="20" spans="1:70" ht="24.75" customHeight="1" thickTop="1" x14ac:dyDescent="0.25">
      <c r="A20" s="203"/>
      <c r="B20" s="19"/>
      <c r="C20" s="285"/>
      <c r="D20" s="286"/>
      <c r="E20" s="287"/>
      <c r="F20" s="7"/>
      <c r="G20" s="58" t="str">
        <f>LEFT(C8,2)</f>
        <v xml:space="preserve">1 </v>
      </c>
      <c r="H20" s="232"/>
      <c r="I20" s="233"/>
      <c r="J20" s="234"/>
      <c r="K20" s="7"/>
      <c r="L20" s="58" t="str">
        <f>LEFT(H13,2)</f>
        <v xml:space="preserve">8 </v>
      </c>
      <c r="M20" s="268"/>
      <c r="N20" s="268"/>
      <c r="O20" s="268"/>
      <c r="P20" s="7"/>
      <c r="Q20" s="58" t="str">
        <f>LEFT(M18,2)</f>
        <v>16</v>
      </c>
      <c r="R20" s="232"/>
      <c r="S20" s="233"/>
      <c r="T20" s="234"/>
      <c r="U20" s="7"/>
      <c r="V20" s="58" t="str">
        <f>LEFT(R38,2)</f>
        <v>25</v>
      </c>
      <c r="W20" s="265"/>
      <c r="X20" s="266"/>
      <c r="Y20" s="267"/>
      <c r="Z20" s="7"/>
      <c r="AA20" s="58" t="str">
        <f>LEFT(H18,2)</f>
        <v xml:space="preserve">9 </v>
      </c>
      <c r="AB20" s="232"/>
      <c r="AC20" s="233"/>
      <c r="AD20" s="234"/>
      <c r="AE20" s="7"/>
      <c r="AF20" s="50"/>
      <c r="AG20" s="50"/>
      <c r="AH20" s="50"/>
      <c r="AI20" s="50"/>
      <c r="AJ20" s="50"/>
      <c r="AK20" s="50"/>
      <c r="AL20" s="50"/>
      <c r="AM20" s="50"/>
      <c r="AN20" s="214"/>
      <c r="AO20" s="50"/>
      <c r="AP20" s="50"/>
      <c r="AQ20" s="7"/>
      <c r="AR20" s="7"/>
      <c r="AS20" s="7"/>
      <c r="AT20" s="7"/>
      <c r="AU20" s="50"/>
      <c r="AV20" s="7"/>
      <c r="AW20" s="7"/>
      <c r="AX20" s="7"/>
      <c r="AY20" s="29"/>
      <c r="BA20"/>
      <c r="BB20" s="73"/>
      <c r="BC20" s="50"/>
      <c r="BD20" s="50"/>
    </row>
    <row r="21" spans="1:70" ht="11.25" customHeight="1" x14ac:dyDescent="0.25">
      <c r="A21" s="203"/>
      <c r="B21" s="19"/>
      <c r="C21" s="212">
        <f>60</f>
        <v>60</v>
      </c>
      <c r="D21" s="212">
        <v>0</v>
      </c>
      <c r="E21" s="212">
        <f>C21+D21</f>
        <v>60</v>
      </c>
      <c r="F21" s="7"/>
      <c r="G21"/>
      <c r="H21" s="213">
        <v>0</v>
      </c>
      <c r="I21" s="213">
        <v>15</v>
      </c>
      <c r="J21" s="213">
        <f>H21+I21</f>
        <v>15</v>
      </c>
      <c r="K21" s="7"/>
      <c r="L21" s="59"/>
      <c r="M21" s="213">
        <v>0</v>
      </c>
      <c r="N21" s="213">
        <v>30</v>
      </c>
      <c r="O21" s="213">
        <f>M21+N21</f>
        <v>30</v>
      </c>
      <c r="P21" s="7"/>
      <c r="Q21" s="59"/>
      <c r="R21" s="213">
        <v>0</v>
      </c>
      <c r="S21" s="213">
        <v>30</v>
      </c>
      <c r="T21" s="213">
        <f>R21+S21</f>
        <v>30</v>
      </c>
      <c r="U21" s="7"/>
      <c r="V21" s="59"/>
      <c r="W21" s="6">
        <v>0</v>
      </c>
      <c r="X21" s="6">
        <v>30</v>
      </c>
      <c r="Y21" s="6">
        <f>W21+X21</f>
        <v>30</v>
      </c>
      <c r="Z21" s="7"/>
      <c r="AA21" s="59"/>
      <c r="AB21" s="213">
        <v>0</v>
      </c>
      <c r="AC21" s="213">
        <v>30</v>
      </c>
      <c r="AD21" s="213">
        <f>AB21+AC21</f>
        <v>30</v>
      </c>
      <c r="AE21" s="7"/>
      <c r="AF21" s="50"/>
      <c r="AG21" s="50"/>
      <c r="AH21" s="50"/>
      <c r="AI21" s="50"/>
      <c r="AJ21" s="50"/>
      <c r="AK21" s="50"/>
      <c r="AL21" s="50"/>
      <c r="AM21" s="50"/>
      <c r="AN21" s="50"/>
      <c r="AO21" s="50"/>
      <c r="AP21" s="7"/>
      <c r="AQ21" s="7"/>
      <c r="AR21" s="7"/>
      <c r="AS21" s="7"/>
      <c r="AT21" s="7"/>
      <c r="AU21" s="50"/>
      <c r="AV21" s="7"/>
      <c r="AW21" s="7"/>
      <c r="AX21" s="7"/>
      <c r="AY21" s="29"/>
      <c r="BA21"/>
    </row>
    <row r="22" spans="1:70" ht="5.25" customHeight="1" x14ac:dyDescent="0.25">
      <c r="B22" s="19"/>
      <c r="F22" s="7"/>
      <c r="G22" s="7"/>
      <c r="H22" s="7"/>
      <c r="I22" s="7"/>
      <c r="J22" s="7"/>
      <c r="K22" s="7"/>
      <c r="L22" s="59"/>
      <c r="M22" s="7"/>
      <c r="N22" s="7"/>
      <c r="O22" s="7"/>
      <c r="P22" s="7"/>
      <c r="Q22" s="59"/>
      <c r="R22" s="7"/>
      <c r="S22" s="7"/>
      <c r="T22" s="7"/>
      <c r="U22" s="7"/>
      <c r="V22" s="7"/>
      <c r="W22" s="7"/>
      <c r="X22" s="7"/>
      <c r="Y22" s="7"/>
      <c r="Z22" s="7"/>
      <c r="AA22" s="7"/>
      <c r="AB22" s="7"/>
      <c r="AC22" s="7"/>
      <c r="AD22" s="7"/>
      <c r="AE22" s="50"/>
      <c r="AF22" s="50"/>
      <c r="AG22" s="50"/>
      <c r="AH22" s="50"/>
      <c r="AI22" s="50"/>
      <c r="AJ22" s="50"/>
      <c r="AK22" s="50"/>
      <c r="AL22" s="50"/>
      <c r="AM22" s="50"/>
      <c r="AN22" s="50"/>
      <c r="AO22" s="50"/>
      <c r="AP22" s="7"/>
      <c r="AQ22" s="7"/>
      <c r="AR22" s="7"/>
      <c r="AS22" s="7"/>
      <c r="AT22" s="50"/>
      <c r="AU22" s="50"/>
      <c r="AV22" s="50"/>
      <c r="AW22" s="50"/>
      <c r="AX22" s="50"/>
      <c r="AY22" s="29"/>
      <c r="BA22"/>
    </row>
    <row r="23" spans="1:70" ht="15" customHeight="1" x14ac:dyDescent="0.25">
      <c r="B23" s="19"/>
      <c r="C23" s="259" t="str">
        <f>TEXT(INT(LEFT(C18,2))+1,"0") &amp; " - Introdução à Engenharia de Controle e Automação"</f>
        <v>4 - Introdução à Engenharia de Controle e Automação</v>
      </c>
      <c r="D23" s="260"/>
      <c r="E23" s="261"/>
      <c r="F23" s="7"/>
      <c r="G23" s="7"/>
      <c r="H23" s="269" t="str">
        <f>TEXT(INT(LEFT(H18,2))+1,"0") &amp; " - Experimental de Física Básica: Mecânica"</f>
        <v>10 - Experimental de Física Básica: Mecânica</v>
      </c>
      <c r="I23" s="270"/>
      <c r="J23" s="271"/>
      <c r="K23" s="7"/>
      <c r="L23" s="50"/>
      <c r="M23" s="268" t="str">
        <f>TEXT(INT(LEFT(M18,2))+1,"0") &amp; " - Eletromagnetismo e Circuitos Trifasicos"</f>
        <v>17 - Eletromagnetismo e Circuitos Trifasicos</v>
      </c>
      <c r="N23" s="268"/>
      <c r="O23" s="268"/>
      <c r="P23" s="7"/>
      <c r="Q23" s="62"/>
      <c r="R23" s="315" t="str">
        <f>TEXT(INT(LEFT(R18,2))+1,"0") &amp; " - Instrumentação e Dispositivos Inteligentes"</f>
        <v>22 - Instrumentação e Dispositivos Inteligentes</v>
      </c>
      <c r="S23" s="316"/>
      <c r="T23" s="317"/>
      <c r="U23" s="7"/>
      <c r="V23" s="59"/>
      <c r="W23" s="259" t="str">
        <f>TEXT(INT(LEFT(W18,2))+1,"0") &amp; " - Manipuladores Robóticos Industriais e Inteligentes"</f>
        <v>29 - Manipuladores Robóticos Industriais e Inteligentes</v>
      </c>
      <c r="X23" s="260"/>
      <c r="Y23" s="261"/>
      <c r="Z23" s="7"/>
      <c r="AB23" s="226" t="str">
        <f>TEXT(INT(LEFT(AB18,2))+1,"0") &amp; " - Instalações Elétricas"</f>
        <v>36 - Instalações Elétricas</v>
      </c>
      <c r="AC23" s="227"/>
      <c r="AD23" s="228"/>
      <c r="AE23" s="7"/>
      <c r="AF23" s="50"/>
      <c r="AG23" s="50"/>
      <c r="AH23" s="50"/>
      <c r="AI23" s="50"/>
      <c r="AJ23" s="50"/>
      <c r="AK23" s="50"/>
      <c r="AL23" s="50"/>
      <c r="AM23" s="50"/>
      <c r="AN23" s="50"/>
      <c r="AO23" s="50"/>
      <c r="AP23" s="7"/>
      <c r="AQ23" s="7"/>
      <c r="AR23" s="7"/>
      <c r="AS23" s="7"/>
      <c r="AT23" s="50"/>
      <c r="AU23" s="50"/>
      <c r="AV23" s="50"/>
      <c r="AW23" s="50"/>
      <c r="AX23" s="50"/>
      <c r="AY23" s="29"/>
      <c r="BA23"/>
    </row>
    <row r="24" spans="1:70" ht="15.75" thickBot="1" x14ac:dyDescent="0.3">
      <c r="B24" s="19"/>
      <c r="C24" s="262"/>
      <c r="D24" s="263"/>
      <c r="E24" s="264"/>
      <c r="F24" s="7"/>
      <c r="G24" s="58" t="str">
        <f>LEFT(C8,2)</f>
        <v xml:space="preserve">1 </v>
      </c>
      <c r="H24" s="272"/>
      <c r="I24" s="273"/>
      <c r="J24" s="274"/>
      <c r="K24" s="7"/>
      <c r="L24" s="50"/>
      <c r="M24" s="268"/>
      <c r="N24" s="268"/>
      <c r="O24" s="268"/>
      <c r="P24" s="7"/>
      <c r="Q24" s="150" t="str">
        <f>LEFT(M28,2)</f>
        <v>11</v>
      </c>
      <c r="R24" s="318"/>
      <c r="S24" s="288"/>
      <c r="T24" s="319"/>
      <c r="U24" s="7"/>
      <c r="V24" s="61" t="str">
        <f>LEFT(R13,2)</f>
        <v>20</v>
      </c>
      <c r="W24" s="262"/>
      <c r="X24" s="263"/>
      <c r="Y24" s="264"/>
      <c r="Z24" s="7"/>
      <c r="AA24" s="60" t="str">
        <f>LEFT(AB18,2)</f>
        <v>35</v>
      </c>
      <c r="AB24" s="229"/>
      <c r="AC24" s="230"/>
      <c r="AD24" s="231"/>
      <c r="AE24" s="7"/>
      <c r="AF24" s="50"/>
      <c r="AG24" s="50"/>
      <c r="AH24" s="50"/>
      <c r="AI24" s="7"/>
      <c r="AJ24" s="7"/>
      <c r="AK24" s="7"/>
      <c r="AL24" s="7"/>
      <c r="AM24" s="7"/>
      <c r="AN24" s="7"/>
      <c r="AO24" s="7"/>
      <c r="AP24" s="7"/>
      <c r="AQ24" s="7"/>
      <c r="AR24" s="7"/>
      <c r="AS24" s="7"/>
      <c r="AT24" s="7"/>
      <c r="AU24" s="7"/>
      <c r="AV24" s="7"/>
      <c r="AW24" s="7"/>
      <c r="AX24" s="7"/>
      <c r="AY24" s="22"/>
      <c r="BA24"/>
    </row>
    <row r="25" spans="1:70" ht="25.5" customHeight="1" thickTop="1" thickBot="1" x14ac:dyDescent="0.3">
      <c r="B25" s="19"/>
      <c r="C25" s="265"/>
      <c r="D25" s="266"/>
      <c r="E25" s="267"/>
      <c r="F25" s="7"/>
      <c r="G25" s="60" t="str">
        <f>LEFT(H28,2)</f>
        <v>12</v>
      </c>
      <c r="H25" s="275"/>
      <c r="I25" s="276"/>
      <c r="J25" s="277"/>
      <c r="K25" s="7"/>
      <c r="L25" s="58" t="str">
        <f>LEFT(H8,2)</f>
        <v xml:space="preserve">7 </v>
      </c>
      <c r="M25" s="268"/>
      <c r="N25" s="268"/>
      <c r="O25" s="268"/>
      <c r="P25" s="7"/>
      <c r="Q25" s="151" t="str">
        <f>LEFT(H28,2)</f>
        <v>12</v>
      </c>
      <c r="R25" s="320"/>
      <c r="S25" s="321"/>
      <c r="T25" s="322"/>
      <c r="U25" s="7"/>
      <c r="V25" s="61" t="str">
        <f>LEFT(W33,2)</f>
        <v>31</v>
      </c>
      <c r="W25" s="265"/>
      <c r="X25" s="266"/>
      <c r="Y25" s="267"/>
      <c r="Z25" s="7"/>
      <c r="AA25" s="58" t="str">
        <f>LEFT(H18,2)</f>
        <v xml:space="preserve">9 </v>
      </c>
      <c r="AB25" s="232"/>
      <c r="AC25" s="233"/>
      <c r="AD25" s="234"/>
      <c r="AE25" s="7"/>
      <c r="AF25" s="50"/>
      <c r="AG25" s="50"/>
      <c r="AH25" s="50"/>
      <c r="AI25" s="7"/>
      <c r="AJ25" s="7"/>
      <c r="AK25" s="7"/>
      <c r="AL25" s="7"/>
      <c r="AM25" s="7"/>
      <c r="AN25" s="7"/>
      <c r="AO25" s="7"/>
      <c r="AP25" s="7"/>
      <c r="AQ25" s="7"/>
      <c r="AR25" s="7"/>
      <c r="AS25" s="7"/>
      <c r="AT25" s="7"/>
      <c r="AU25" s="7"/>
      <c r="AV25" s="7"/>
      <c r="AW25" s="7"/>
      <c r="AX25" s="7"/>
      <c r="AY25" s="22"/>
      <c r="BA25"/>
    </row>
    <row r="26" spans="1:70" ht="11.25" customHeight="1" thickTop="1" x14ac:dyDescent="0.25">
      <c r="B26" s="19"/>
      <c r="C26" s="6">
        <v>30</v>
      </c>
      <c r="D26" s="6">
        <v>0</v>
      </c>
      <c r="E26" s="6">
        <f>C26+D26</f>
        <v>30</v>
      </c>
      <c r="F26" s="7"/>
      <c r="G26" s="7"/>
      <c r="H26" s="211">
        <v>0</v>
      </c>
      <c r="I26" s="211">
        <v>30</v>
      </c>
      <c r="J26" s="211">
        <f>H26+I26</f>
        <v>30</v>
      </c>
      <c r="K26" s="7"/>
      <c r="L26" s="59"/>
      <c r="M26" s="213">
        <v>75</v>
      </c>
      <c r="N26" s="213">
        <v>15</v>
      </c>
      <c r="O26" s="213">
        <f>M26+N26</f>
        <v>90</v>
      </c>
      <c r="P26" s="7"/>
      <c r="Q26" s="62"/>
      <c r="R26" s="149">
        <v>30</v>
      </c>
      <c r="S26" s="149">
        <v>30</v>
      </c>
      <c r="T26" s="149">
        <f>R26+S26</f>
        <v>60</v>
      </c>
      <c r="U26" s="7"/>
      <c r="V26" s="59"/>
      <c r="W26" s="6">
        <v>45</v>
      </c>
      <c r="X26" s="6">
        <v>15</v>
      </c>
      <c r="Y26" s="6">
        <f>W26+X26</f>
        <v>60</v>
      </c>
      <c r="Z26" s="7"/>
      <c r="AA26" s="59"/>
      <c r="AB26" s="213">
        <v>30</v>
      </c>
      <c r="AC26" s="213">
        <v>0</v>
      </c>
      <c r="AD26" s="213">
        <f>AB26+AC26</f>
        <v>30</v>
      </c>
      <c r="AE26" s="7"/>
      <c r="AF26" s="50"/>
      <c r="AG26" s="50"/>
      <c r="AH26" s="50"/>
      <c r="AI26" s="50"/>
      <c r="AJ26" s="50"/>
      <c r="AK26" s="50"/>
      <c r="AL26" s="50"/>
      <c r="AM26" s="7"/>
      <c r="AN26" s="7"/>
      <c r="AO26" s="7"/>
      <c r="AP26" s="50"/>
      <c r="AQ26" s="50"/>
      <c r="AR26" s="50"/>
      <c r="AS26" s="50"/>
      <c r="AT26" s="50"/>
      <c r="AU26" s="50"/>
      <c r="AV26" s="50"/>
      <c r="AW26" s="50"/>
      <c r="AX26" s="50"/>
      <c r="AY26" s="22"/>
      <c r="BA26"/>
    </row>
    <row r="27" spans="1:70" ht="4.5" customHeight="1" x14ac:dyDescent="0.25">
      <c r="B27" s="19"/>
      <c r="C27" s="7"/>
      <c r="D27" s="7"/>
      <c r="E27" s="7"/>
      <c r="F27" s="7"/>
      <c r="G27" s="7"/>
      <c r="H27" s="7"/>
      <c r="I27" s="7"/>
      <c r="J27" s="7"/>
      <c r="K27" s="7"/>
      <c r="L27" s="59"/>
      <c r="M27" s="7"/>
      <c r="N27" s="7"/>
      <c r="O27" s="7"/>
      <c r="P27" s="7"/>
      <c r="Q27" s="59"/>
      <c r="R27" s="7"/>
      <c r="S27" s="7"/>
      <c r="T27" s="7"/>
      <c r="U27" s="7"/>
      <c r="V27" s="7"/>
      <c r="W27" s="7"/>
      <c r="X27" s="7"/>
      <c r="Y27" s="7"/>
      <c r="Z27" s="7"/>
      <c r="AA27" s="7"/>
      <c r="AB27" s="7"/>
      <c r="AC27" s="7"/>
      <c r="AD27" s="7"/>
      <c r="AE27" s="7"/>
      <c r="AF27" s="50"/>
      <c r="AG27" s="50"/>
      <c r="AH27" s="50"/>
      <c r="AI27" s="50"/>
      <c r="AJ27" s="50"/>
      <c r="AK27" s="50"/>
      <c r="AL27" s="50"/>
      <c r="AM27" s="7"/>
      <c r="AN27" s="7"/>
      <c r="AO27" s="7"/>
      <c r="AP27" s="50"/>
      <c r="AQ27" s="50"/>
      <c r="AR27" s="50"/>
      <c r="AS27" s="50"/>
      <c r="AT27" s="50"/>
      <c r="AU27" s="50"/>
      <c r="AV27" s="50"/>
      <c r="AW27" s="50"/>
      <c r="AX27" s="50"/>
      <c r="AY27" s="22"/>
      <c r="BA27"/>
      <c r="BC27" s="205" t="s">
        <v>29</v>
      </c>
      <c r="BD27" s="206">
        <f>SUM(BA7:BA14)</f>
        <v>4860</v>
      </c>
    </row>
    <row r="28" spans="1:70" ht="11.25" customHeight="1" x14ac:dyDescent="0.25">
      <c r="B28" s="19"/>
      <c r="C28" s="226" t="str">
        <f>TEXT(INT(LEFT(C23,2))+1,"0") &amp; " - Programação Embarcada com IA"</f>
        <v>5 - Programação Embarcada com IA</v>
      </c>
      <c r="D28" s="227"/>
      <c r="E28" s="228"/>
      <c r="F28" s="7"/>
      <c r="G28" s="7"/>
      <c r="H28" s="269" t="str">
        <f>TEXT(INT(LEFT(M28,2))+1,"0") &amp; " - Física Básica: Mecânica"</f>
        <v>12 - Física Básica: Mecânica</v>
      </c>
      <c r="I28" s="270"/>
      <c r="J28" s="271"/>
      <c r="K28" s="7"/>
      <c r="L28" s="59"/>
      <c r="M28" s="279" t="str">
        <f>TEXT(INT(LEFT(H23,2))+1,"0") &amp; " - Fenômenos de Transporte"</f>
        <v>11 - Fenômenos de Transporte</v>
      </c>
      <c r="N28" s="280"/>
      <c r="O28" s="281"/>
      <c r="P28" s="7"/>
      <c r="Q28" s="59"/>
      <c r="R28" s="259" t="str">
        <f>TEXT(INT(LEFT(R23,2))+1,"0") &amp; " - Informática Industrial II"</f>
        <v>23 - Informática Industrial II</v>
      </c>
      <c r="S28" s="260"/>
      <c r="T28" s="261"/>
      <c r="U28" s="7"/>
      <c r="V28" s="59"/>
      <c r="W28" s="259" t="str">
        <f>TEXT(INT(LEFT(W23,2))+1,"0") &amp; " - Redes Industriais para Controle e Automação II"</f>
        <v>30 - Redes Industriais para Controle e Automação II</v>
      </c>
      <c r="X28" s="260"/>
      <c r="Y28" s="261"/>
      <c r="Z28" s="7"/>
      <c r="AA28" s="309" t="s">
        <v>25</v>
      </c>
      <c r="AB28" s="278" t="str">
        <f>TEXT(INT(LEFT(AB23,2))+1,"0") &amp; " - Estágio Supervisionado Obrigatório (**)"</f>
        <v>37 - Estágio Supervisionado Obrigatório (**)</v>
      </c>
      <c r="AC28" s="278"/>
      <c r="AD28" s="278"/>
      <c r="AE28" s="7"/>
      <c r="AF28" s="50"/>
      <c r="AG28" s="50"/>
      <c r="AH28" s="50"/>
      <c r="AI28" s="7"/>
      <c r="AJ28" s="7"/>
      <c r="AK28" s="7"/>
      <c r="AL28" s="7"/>
      <c r="AM28" s="50"/>
      <c r="AN28" s="50"/>
      <c r="AO28" s="50"/>
      <c r="AP28" s="50"/>
      <c r="AQ28" s="50"/>
      <c r="AR28" s="50"/>
      <c r="AS28" s="50"/>
      <c r="AT28" s="50"/>
      <c r="AU28" s="50"/>
      <c r="AV28" s="50"/>
      <c r="AW28" s="50"/>
      <c r="AX28" s="50"/>
      <c r="AY28" s="22"/>
      <c r="BA28"/>
      <c r="BC28" s="50"/>
      <c r="BD28" s="50"/>
    </row>
    <row r="29" spans="1:70" ht="12.75" customHeight="1" x14ac:dyDescent="0.25">
      <c r="B29" s="19"/>
      <c r="C29" s="229"/>
      <c r="D29" s="230"/>
      <c r="E29" s="231"/>
      <c r="F29" s="7"/>
      <c r="G29" s="58" t="str">
        <f>LEFT(C8,2)</f>
        <v xml:space="preserve">1 </v>
      </c>
      <c r="H29" s="272"/>
      <c r="I29" s="273"/>
      <c r="J29" s="274"/>
      <c r="K29" s="7"/>
      <c r="L29" s="59"/>
      <c r="M29" s="282"/>
      <c r="N29" s="283"/>
      <c r="O29" s="284"/>
      <c r="P29" s="7"/>
      <c r="Q29" s="59"/>
      <c r="R29" s="262"/>
      <c r="S29" s="263"/>
      <c r="T29" s="264"/>
      <c r="U29" s="7"/>
      <c r="V29" s="58" t="str">
        <f>LEFT(R28,2)</f>
        <v>23</v>
      </c>
      <c r="W29" s="262"/>
      <c r="X29" s="263"/>
      <c r="Y29" s="264"/>
      <c r="Z29" s="7"/>
      <c r="AA29" s="309"/>
      <c r="AB29" s="278"/>
      <c r="AC29" s="278"/>
      <c r="AD29" s="278"/>
      <c r="AE29" s="7"/>
      <c r="AF29" s="50"/>
      <c r="AG29" s="50"/>
      <c r="AH29" s="50"/>
      <c r="AI29" s="7"/>
      <c r="AJ29" s="7"/>
      <c r="AK29" s="7"/>
      <c r="AL29" s="7"/>
      <c r="AM29" s="50"/>
      <c r="AN29" s="50"/>
      <c r="AO29" s="50"/>
      <c r="AP29" s="50"/>
      <c r="AQ29" s="50"/>
      <c r="AR29" s="50"/>
      <c r="AS29" s="50"/>
      <c r="AT29" s="50"/>
      <c r="AU29" s="50"/>
      <c r="AV29" s="50"/>
      <c r="AW29" s="50"/>
      <c r="AX29" s="50"/>
      <c r="AY29" s="22"/>
      <c r="BA29"/>
      <c r="BC29" s="50"/>
      <c r="BD29" s="50"/>
    </row>
    <row r="30" spans="1:70" ht="32.25" customHeight="1" thickBot="1" x14ac:dyDescent="0.3">
      <c r="B30" s="19"/>
      <c r="C30" s="232"/>
      <c r="D30" s="233"/>
      <c r="E30" s="234"/>
      <c r="F30" s="7"/>
      <c r="G30" s="60" t="str">
        <f>LEFT(H23,2)</f>
        <v>10</v>
      </c>
      <c r="H30" s="275"/>
      <c r="I30" s="276"/>
      <c r="J30" s="277"/>
      <c r="K30" s="7"/>
      <c r="L30" s="58" t="str">
        <f>LEFT(C8,2)</f>
        <v xml:space="preserve">1 </v>
      </c>
      <c r="M30" s="285"/>
      <c r="N30" s="286"/>
      <c r="O30" s="287"/>
      <c r="P30" s="7"/>
      <c r="Q30" s="58" t="str">
        <f>LEFT(M33,2)</f>
        <v>18</v>
      </c>
      <c r="R30" s="265"/>
      <c r="S30" s="266"/>
      <c r="T30" s="267"/>
      <c r="U30" s="7"/>
      <c r="V30" s="58" t="str">
        <f>LEFT(R33,2)</f>
        <v>24</v>
      </c>
      <c r="W30" s="265"/>
      <c r="X30" s="266"/>
      <c r="Y30" s="267"/>
      <c r="Z30" s="7"/>
      <c r="AA30" s="310"/>
      <c r="AB30" s="278"/>
      <c r="AC30" s="278"/>
      <c r="AD30" s="278"/>
      <c r="AE30" s="7"/>
      <c r="AF30" s="50"/>
      <c r="AG30" s="50"/>
      <c r="AH30" s="50"/>
      <c r="AI30" s="7"/>
      <c r="AJ30" s="7"/>
      <c r="AK30" s="7"/>
      <c r="AL30" s="7"/>
      <c r="AM30" s="50"/>
      <c r="AN30" s="50"/>
      <c r="AO30" s="50"/>
      <c r="AP30" s="50"/>
      <c r="AQ30" s="50"/>
      <c r="AR30" s="50"/>
      <c r="AS30" s="50"/>
      <c r="AT30" s="50"/>
      <c r="AU30" s="50"/>
      <c r="AV30" s="50"/>
      <c r="AW30" s="50"/>
      <c r="AX30" s="50"/>
      <c r="AY30" s="22"/>
      <c r="BA30"/>
      <c r="BC30" s="50"/>
      <c r="BD30" s="50"/>
      <c r="BE30" s="50"/>
      <c r="BF30" s="50"/>
      <c r="BG30" s="7"/>
      <c r="BH30" s="7"/>
      <c r="BI30" s="7"/>
      <c r="BJ30" s="7"/>
      <c r="BK30" s="7"/>
      <c r="BL30" s="7"/>
      <c r="BM30" s="50"/>
      <c r="BN30" s="50"/>
      <c r="BO30" s="50"/>
      <c r="BP30" s="50"/>
      <c r="BQ30" s="50"/>
      <c r="BR30" s="50"/>
    </row>
    <row r="31" spans="1:70" ht="13.5" customHeight="1" thickTop="1" x14ac:dyDescent="0.25">
      <c r="B31" s="19"/>
      <c r="C31" s="213">
        <v>45</v>
      </c>
      <c r="D31" s="213">
        <v>30</v>
      </c>
      <c r="E31" s="213">
        <f>C31+D31</f>
        <v>75</v>
      </c>
      <c r="F31" s="7"/>
      <c r="G31" s="7"/>
      <c r="H31" s="211">
        <v>60</v>
      </c>
      <c r="I31" s="211">
        <v>0</v>
      </c>
      <c r="J31" s="211">
        <f>H31+I31</f>
        <v>60</v>
      </c>
      <c r="K31" s="7"/>
      <c r="L31" s="7"/>
      <c r="M31" s="212">
        <v>60</v>
      </c>
      <c r="N31" s="212">
        <v>0</v>
      </c>
      <c r="O31" s="212">
        <f>M31+N31</f>
        <v>60</v>
      </c>
      <c r="P31" s="7"/>
      <c r="Q31" s="59"/>
      <c r="R31" s="6">
        <v>30</v>
      </c>
      <c r="S31" s="6">
        <v>30</v>
      </c>
      <c r="T31" s="6">
        <f>R31+S31</f>
        <v>60</v>
      </c>
      <c r="U31" s="7"/>
      <c r="V31" s="59"/>
      <c r="W31" s="6">
        <v>45</v>
      </c>
      <c r="X31" s="6">
        <v>30</v>
      </c>
      <c r="Y31" s="6">
        <f>W31+X31</f>
        <v>75</v>
      </c>
      <c r="Z31" s="7"/>
      <c r="AA31" s="7"/>
      <c r="AB31" s="6">
        <v>0</v>
      </c>
      <c r="AC31" s="6">
        <v>160</v>
      </c>
      <c r="AD31" s="6">
        <v>160</v>
      </c>
      <c r="AE31" s="7"/>
      <c r="AF31" s="50"/>
      <c r="AG31" s="50"/>
      <c r="AH31" s="50"/>
      <c r="AI31" s="7"/>
      <c r="AJ31" s="7"/>
      <c r="AK31" s="7"/>
      <c r="AL31" s="7"/>
      <c r="AM31" s="7"/>
      <c r="AN31" s="7"/>
      <c r="AO31" s="7"/>
      <c r="AP31" s="7"/>
      <c r="AQ31" s="7"/>
      <c r="AR31" s="7"/>
      <c r="AS31" s="7"/>
      <c r="AT31" s="7"/>
      <c r="AU31" s="50"/>
      <c r="AV31" s="50"/>
      <c r="AW31" s="50"/>
      <c r="AX31" s="50"/>
      <c r="AY31" s="22"/>
      <c r="BA31"/>
      <c r="BC31" s="50"/>
      <c r="BD31" s="50"/>
      <c r="BE31" s="50"/>
      <c r="BF31" s="50"/>
      <c r="BG31" s="7"/>
      <c r="BH31" s="7"/>
      <c r="BI31" s="7"/>
      <c r="BJ31" s="50"/>
      <c r="BK31" s="50"/>
      <c r="BL31" s="50"/>
      <c r="BM31" s="50"/>
      <c r="BN31" s="50"/>
      <c r="BO31" s="50"/>
      <c r="BP31" s="50"/>
      <c r="BQ31" s="50"/>
      <c r="BR31" s="50"/>
    </row>
    <row r="32" spans="1:70" ht="4.5" customHeight="1" x14ac:dyDescent="0.25">
      <c r="B32" s="19"/>
      <c r="C32" s="7"/>
      <c r="D32" s="7"/>
      <c r="E32" s="7"/>
      <c r="F32" s="7"/>
      <c r="G32" s="7"/>
      <c r="H32" s="7"/>
      <c r="I32" s="7"/>
      <c r="J32" s="7"/>
      <c r="K32" s="7"/>
      <c r="P32" s="7"/>
      <c r="Q32" s="7"/>
      <c r="R32" s="7"/>
      <c r="S32" s="7"/>
      <c r="T32" s="7"/>
      <c r="U32" s="7"/>
      <c r="V32" s="7"/>
      <c r="W32" s="7"/>
      <c r="X32" s="7"/>
      <c r="Y32" s="7"/>
      <c r="Z32" s="7"/>
      <c r="AA32" s="7"/>
      <c r="AB32" s="7"/>
      <c r="AC32" s="7"/>
      <c r="AD32" s="7"/>
      <c r="AE32" s="7"/>
      <c r="AF32" s="50"/>
      <c r="AG32" s="50"/>
      <c r="AH32" s="50"/>
      <c r="AI32" s="50"/>
      <c r="AJ32" s="7"/>
      <c r="AK32" s="7"/>
      <c r="AL32" s="7"/>
      <c r="AM32" s="7"/>
      <c r="AN32" s="7"/>
      <c r="AO32" s="50"/>
      <c r="AP32" s="7"/>
      <c r="AQ32" s="7"/>
      <c r="AR32" s="7"/>
      <c r="AS32" s="7"/>
      <c r="AT32" s="7"/>
      <c r="AU32" s="50"/>
      <c r="AV32" s="50"/>
      <c r="AW32" s="50"/>
      <c r="AX32" s="50"/>
      <c r="AY32" s="22"/>
      <c r="BA32"/>
    </row>
    <row r="33" spans="1:53" ht="18" customHeight="1" x14ac:dyDescent="0.25">
      <c r="B33" s="19"/>
      <c r="C33" s="226" t="str">
        <f>TEXT(INT(LEFT(C28,2))+1,"0") &amp; " - Sistemas Digitais"</f>
        <v>6 - Sistemas Digitais</v>
      </c>
      <c r="D33" s="227"/>
      <c r="E33" s="228"/>
      <c r="F33" s="7"/>
      <c r="G33" s="7"/>
      <c r="H33" s="226" t="str">
        <f>TEXT(INT(LEFT(H28,2))+1,"0") &amp; " - Arquitetura de software em Sistemas Embarcados"</f>
        <v>13 - Arquitetura de software em Sistemas Embarcados</v>
      </c>
      <c r="I33" s="227"/>
      <c r="J33" s="228"/>
      <c r="K33" s="7"/>
      <c r="L33" s="7"/>
      <c r="M33" s="259" t="str">
        <f>TEXT(INT(LEFT(M23,2))+1,"0") &amp; " - Informática Industrial I"</f>
        <v>18 - Informática Industrial I</v>
      </c>
      <c r="N33" s="260"/>
      <c r="O33" s="261"/>
      <c r="P33" s="7"/>
      <c r="Q33" s="59"/>
      <c r="R33" s="259" t="str">
        <f>TEXT(INT(LEFT(R28,2))+1,"0") &amp; " - Redes Industriais para Controle e Automação I"</f>
        <v>24 - Redes Industriais para Controle e Automação I</v>
      </c>
      <c r="S33" s="260"/>
      <c r="T33" s="261"/>
      <c r="U33" s="7"/>
      <c r="V33" s="59"/>
      <c r="W33" s="259" t="str">
        <f>TEXT(INT(LEFT(W28,2))+1,"0") &amp; " - Sistemas de Controle Realimentado"</f>
        <v>31 - Sistemas de Controle Realimentado</v>
      </c>
      <c r="X33" s="260"/>
      <c r="Y33" s="261"/>
      <c r="Z33" s="7"/>
      <c r="AA33" s="7"/>
      <c r="AB33" s="241" t="str">
        <f>TEXT(INT(LEFT(AB28,2))+1,"0") &amp; "  -Atividades Complementares"</f>
        <v>38  -Atividades Complementares</v>
      </c>
      <c r="AC33" s="242"/>
      <c r="AD33" s="243"/>
      <c r="AE33" s="7"/>
      <c r="AF33" s="50"/>
      <c r="AG33" s="50"/>
      <c r="AH33" s="50"/>
      <c r="AI33" s="50"/>
      <c r="AJ33" s="7"/>
      <c r="AK33" s="7"/>
      <c r="AL33" s="7"/>
      <c r="AM33" s="7"/>
      <c r="AN33" s="7"/>
      <c r="AO33" s="50"/>
      <c r="AP33" s="7"/>
      <c r="AQ33" s="7"/>
      <c r="AR33" s="7"/>
      <c r="AS33" s="7"/>
      <c r="AT33" s="7"/>
      <c r="AU33" s="50"/>
      <c r="AV33" s="50"/>
      <c r="AW33" s="50"/>
      <c r="AX33" s="50"/>
      <c r="AY33" s="22"/>
      <c r="BA33"/>
    </row>
    <row r="34" spans="1:53" ht="18" customHeight="1" thickBot="1" x14ac:dyDescent="0.3">
      <c r="B34" s="19"/>
      <c r="C34" s="229"/>
      <c r="D34" s="230"/>
      <c r="E34" s="231"/>
      <c r="F34" s="7"/>
      <c r="G34" s="7"/>
      <c r="H34" s="229"/>
      <c r="I34" s="230"/>
      <c r="J34" s="231"/>
      <c r="K34" s="7"/>
      <c r="L34" s="58" t="str">
        <f>LEFT(C43,2)</f>
        <v/>
      </c>
      <c r="M34" s="262"/>
      <c r="N34" s="263"/>
      <c r="O34" s="264"/>
      <c r="P34" s="7"/>
      <c r="Q34" s="61" t="str">
        <f>LEFT(H33,2)</f>
        <v>13</v>
      </c>
      <c r="R34" s="262"/>
      <c r="S34" s="263"/>
      <c r="T34" s="264"/>
      <c r="U34" s="7"/>
      <c r="V34" s="60" t="str">
        <f>LEFT(W18,2)</f>
        <v>28</v>
      </c>
      <c r="W34" s="262"/>
      <c r="X34" s="263"/>
      <c r="Y34" s="264"/>
      <c r="Z34" s="7"/>
      <c r="AA34" s="7"/>
      <c r="AB34" s="244"/>
      <c r="AC34" s="245"/>
      <c r="AD34" s="246"/>
      <c r="AE34" s="7"/>
      <c r="AF34" s="50"/>
      <c r="AG34" s="50"/>
      <c r="AH34" s="50"/>
      <c r="AI34" s="50"/>
      <c r="AJ34" s="7"/>
      <c r="AK34" s="7"/>
      <c r="AL34" s="7"/>
      <c r="AM34" s="7"/>
      <c r="AN34" s="7"/>
      <c r="AO34" s="50"/>
      <c r="AP34" s="7"/>
      <c r="AQ34" s="7"/>
      <c r="AR34" s="7"/>
      <c r="AS34" s="7"/>
      <c r="AT34" s="7"/>
      <c r="AU34" s="50"/>
      <c r="AV34" s="50"/>
      <c r="AW34" s="50"/>
      <c r="AX34" s="50"/>
      <c r="AY34" s="22"/>
      <c r="BA34"/>
    </row>
    <row r="35" spans="1:53" ht="22.5" customHeight="1" thickTop="1" thickBot="1" x14ac:dyDescent="0.3">
      <c r="B35" s="208" t="str">
        <f>LEFT(C13,2)</f>
        <v xml:space="preserve">2 </v>
      </c>
      <c r="C35" s="232"/>
      <c r="D35" s="233"/>
      <c r="E35" s="234"/>
      <c r="F35" s="7"/>
      <c r="G35" s="58" t="str">
        <f>LEFT(C33,2)</f>
        <v xml:space="preserve">6 </v>
      </c>
      <c r="H35" s="232"/>
      <c r="I35" s="233"/>
      <c r="J35" s="234"/>
      <c r="K35" s="7"/>
      <c r="L35" s="58" t="str">
        <f>LEFT(H33,2)</f>
        <v>13</v>
      </c>
      <c r="M35" s="265"/>
      <c r="N35" s="266"/>
      <c r="O35" s="267"/>
      <c r="P35" s="7"/>
      <c r="Q35" s="61" t="str">
        <f>LEFT(M38,2)</f>
        <v/>
      </c>
      <c r="R35" s="265"/>
      <c r="S35" s="266"/>
      <c r="T35" s="267"/>
      <c r="U35" s="7"/>
      <c r="V35" s="58" t="str">
        <f>LEFT(R38,2)</f>
        <v>25</v>
      </c>
      <c r="W35" s="265"/>
      <c r="X35" s="266"/>
      <c r="Y35" s="267"/>
      <c r="Z35" s="7"/>
      <c r="AA35" s="7"/>
      <c r="AB35" s="247"/>
      <c r="AC35" s="248"/>
      <c r="AD35" s="249"/>
      <c r="AE35" s="7"/>
      <c r="AF35" s="50"/>
      <c r="AG35" s="50"/>
      <c r="AH35" s="50"/>
      <c r="AI35" s="50"/>
      <c r="AJ35" s="7"/>
      <c r="AK35" s="7"/>
      <c r="AL35" s="7"/>
      <c r="AM35" s="7"/>
      <c r="AN35" s="7"/>
      <c r="AO35" s="50"/>
      <c r="AP35" s="7"/>
      <c r="AQ35" s="7"/>
      <c r="AR35" s="7"/>
      <c r="AS35" s="7"/>
      <c r="AT35" s="7"/>
      <c r="AU35" s="50"/>
      <c r="AV35" s="50"/>
      <c r="AW35" s="50"/>
      <c r="AX35" s="50"/>
      <c r="AY35" s="22"/>
      <c r="BA35"/>
    </row>
    <row r="36" spans="1:53" ht="12" customHeight="1" thickTop="1" x14ac:dyDescent="0.25">
      <c r="A36" s="203"/>
      <c r="C36" s="213">
        <v>30</v>
      </c>
      <c r="D36" s="213">
        <v>30</v>
      </c>
      <c r="E36" s="213">
        <f>C36+D36</f>
        <v>60</v>
      </c>
      <c r="F36" s="7"/>
      <c r="G36" s="7"/>
      <c r="H36" s="213">
        <v>45</v>
      </c>
      <c r="I36" s="213">
        <v>30</v>
      </c>
      <c r="J36" s="213">
        <f>H36+I36</f>
        <v>75</v>
      </c>
      <c r="K36" s="7"/>
      <c r="L36" s="7"/>
      <c r="M36" s="6">
        <v>30</v>
      </c>
      <c r="N36" s="6">
        <v>30</v>
      </c>
      <c r="O36" s="6">
        <f>M36+N36</f>
        <v>60</v>
      </c>
      <c r="P36" s="7"/>
      <c r="Q36" s="59"/>
      <c r="R36" s="6">
        <v>60</v>
      </c>
      <c r="S36" s="6">
        <v>30</v>
      </c>
      <c r="T36" s="6">
        <f>R36+S36</f>
        <v>90</v>
      </c>
      <c r="U36" s="7"/>
      <c r="V36" s="59"/>
      <c r="W36" s="6">
        <v>60</v>
      </c>
      <c r="X36" s="6">
        <v>30</v>
      </c>
      <c r="Y36" s="6">
        <f>W36+X36</f>
        <v>90</v>
      </c>
      <c r="Z36" s="7"/>
      <c r="AA36" s="7"/>
      <c r="AB36" s="47">
        <v>0</v>
      </c>
      <c r="AC36" s="47">
        <v>80</v>
      </c>
      <c r="AD36" s="47">
        <f>AB36+AC36</f>
        <v>80</v>
      </c>
      <c r="AE36" s="7"/>
      <c r="AF36" s="50"/>
      <c r="AG36" s="50"/>
      <c r="AH36" s="50"/>
      <c r="AI36" s="50"/>
      <c r="AJ36" s="7"/>
      <c r="AK36" s="7"/>
      <c r="AL36" s="7"/>
      <c r="AM36" s="7"/>
      <c r="AN36" s="7"/>
      <c r="AO36" s="50"/>
      <c r="AP36" s="7"/>
      <c r="AQ36" s="7"/>
      <c r="AR36" s="7"/>
      <c r="AS36" s="7"/>
      <c r="AT36" s="7"/>
      <c r="AU36" s="50"/>
      <c r="AV36" s="50"/>
      <c r="AW36" s="50"/>
      <c r="AX36" s="50"/>
      <c r="AY36" s="22"/>
      <c r="BA36"/>
    </row>
    <row r="37" spans="1:53" ht="4.5" customHeight="1" x14ac:dyDescent="0.25">
      <c r="A37" s="203"/>
      <c r="B37" s="7"/>
      <c r="C37" s="7"/>
      <c r="D37" s="7"/>
      <c r="E37" s="7"/>
      <c r="F37" s="7"/>
      <c r="G37" s="7"/>
      <c r="H37" s="7"/>
      <c r="I37" s="7"/>
      <c r="J37" s="7"/>
      <c r="K37" s="7"/>
      <c r="L37" s="59"/>
      <c r="M37" s="7"/>
      <c r="N37" s="7"/>
      <c r="O37" s="7"/>
      <c r="P37" s="7"/>
      <c r="Q37" s="59"/>
      <c r="R37" s="7"/>
      <c r="S37" s="7"/>
      <c r="T37" s="7"/>
      <c r="U37" s="7"/>
      <c r="W37" s="7"/>
      <c r="X37" s="7"/>
      <c r="Y37" s="7"/>
      <c r="Z37" s="7"/>
      <c r="AA37" s="50"/>
      <c r="AB37" s="50"/>
      <c r="AC37" s="50"/>
      <c r="AD37" s="50"/>
      <c r="AE37" s="7"/>
      <c r="AF37" s="62"/>
      <c r="AG37" s="50"/>
      <c r="AH37" s="50"/>
      <c r="AI37" s="50"/>
      <c r="AJ37" s="7"/>
      <c r="AK37" s="62"/>
      <c r="AL37" s="50"/>
      <c r="AM37" s="50"/>
      <c r="AN37" s="50"/>
      <c r="AO37" s="50"/>
      <c r="AP37" s="7"/>
      <c r="AQ37" s="7"/>
      <c r="AR37" s="7"/>
      <c r="AS37" s="7"/>
      <c r="AT37" s="7"/>
      <c r="AU37" s="50"/>
      <c r="AV37" s="50"/>
      <c r="AW37" s="50"/>
      <c r="AX37" s="50"/>
      <c r="AY37" s="22"/>
      <c r="BA37"/>
    </row>
    <row r="38" spans="1:53" ht="15.75" customHeight="1" thickBot="1" x14ac:dyDescent="0.3">
      <c r="A38" s="203"/>
      <c r="B38" s="7"/>
      <c r="C38" s="7"/>
      <c r="D38" s="7"/>
      <c r="E38" s="7"/>
      <c r="F38" s="7"/>
      <c r="G38" s="7"/>
      <c r="H38" s="7"/>
      <c r="I38" s="7"/>
      <c r="J38" s="7"/>
      <c r="K38" s="7"/>
      <c r="L38" s="50"/>
      <c r="M38" s="50"/>
      <c r="N38" s="50"/>
      <c r="O38" s="50"/>
      <c r="P38" s="7"/>
      <c r="Q38" s="59"/>
      <c r="R38" s="259" t="str">
        <f>TEXT(INT(LEFT(R33,2))+1,"0") &amp; " - Sinais e Sistemas II"</f>
        <v>25 - Sinais e Sistemas II</v>
      </c>
      <c r="S38" s="260"/>
      <c r="T38" s="261"/>
      <c r="U38" s="50"/>
      <c r="V38" s="59"/>
      <c r="W38" s="259" t="str">
        <f>TEXT(INT(LEFT(W33,2))+1,"0") &amp; " - Optativa"</f>
        <v>32 - Optativa</v>
      </c>
      <c r="X38" s="260"/>
      <c r="Y38" s="261"/>
      <c r="Z38" s="50"/>
      <c r="AA38" s="50"/>
      <c r="AB38" s="50"/>
      <c r="AC38" s="50"/>
      <c r="AD38" s="50"/>
      <c r="AE38" s="41"/>
      <c r="AF38" s="7"/>
      <c r="AG38" s="7"/>
      <c r="AH38" s="7"/>
      <c r="AI38" s="7"/>
      <c r="AJ38" s="7"/>
      <c r="AK38" s="7"/>
      <c r="AL38" s="7"/>
      <c r="AM38" s="7"/>
      <c r="AN38" s="7"/>
      <c r="AO38" s="55"/>
      <c r="AP38" s="50"/>
      <c r="AQ38" s="50"/>
      <c r="AR38" s="50"/>
      <c r="AS38" s="50"/>
      <c r="AT38" s="50"/>
      <c r="AU38" s="50"/>
      <c r="AV38" s="50"/>
      <c r="AW38" s="54"/>
      <c r="AX38" s="54"/>
      <c r="AY38" s="22"/>
      <c r="BA38"/>
    </row>
    <row r="39" spans="1:53" ht="15" customHeight="1" x14ac:dyDescent="0.25">
      <c r="A39" s="203"/>
      <c r="B39" s="7"/>
      <c r="C39" s="7"/>
      <c r="D39" s="7"/>
      <c r="E39" s="7"/>
      <c r="F39" s="7"/>
      <c r="G39" s="7"/>
      <c r="H39" s="7"/>
      <c r="I39" s="7"/>
      <c r="J39" s="7"/>
      <c r="K39" s="7"/>
      <c r="L39" s="50"/>
      <c r="M39" s="50"/>
      <c r="N39" s="50"/>
      <c r="O39" s="50"/>
      <c r="P39" s="7"/>
      <c r="Q39" s="59"/>
      <c r="R39" s="262"/>
      <c r="S39" s="263"/>
      <c r="T39" s="264"/>
      <c r="U39" s="50"/>
      <c r="V39" s="50"/>
      <c r="W39" s="262"/>
      <c r="X39" s="263"/>
      <c r="Y39" s="264"/>
      <c r="Z39" s="50"/>
      <c r="AA39" s="7"/>
      <c r="AB39" s="7"/>
      <c r="AC39" s="7"/>
      <c r="AD39" s="7"/>
      <c r="AE39" s="41"/>
      <c r="AF39" s="7"/>
      <c r="AG39" s="76"/>
      <c r="AH39" s="7" t="s">
        <v>84</v>
      </c>
      <c r="AI39" s="7"/>
      <c r="AJ39" s="7"/>
      <c r="AK39" s="7"/>
      <c r="AL39" s="7"/>
      <c r="AM39" s="7"/>
      <c r="AN39" s="7"/>
      <c r="AO39" s="55"/>
      <c r="AP39" s="35"/>
      <c r="AQ39" s="36" t="s">
        <v>85</v>
      </c>
      <c r="AR39" s="12"/>
      <c r="AS39" s="12"/>
      <c r="AT39" s="27"/>
      <c r="AU39" s="28"/>
      <c r="AV39" s="50"/>
      <c r="AW39" s="7"/>
      <c r="AX39" s="7"/>
      <c r="AY39" s="22"/>
      <c r="BA39"/>
    </row>
    <row r="40" spans="1:53" ht="15" customHeight="1" x14ac:dyDescent="0.25">
      <c r="A40" s="203"/>
      <c r="B40" s="7"/>
      <c r="C40" s="7"/>
      <c r="D40" s="7"/>
      <c r="E40" s="7"/>
      <c r="F40" s="7"/>
      <c r="G40" s="7"/>
      <c r="H40" s="7"/>
      <c r="I40" s="7"/>
      <c r="J40" s="7"/>
      <c r="K40" s="7"/>
      <c r="L40" s="50"/>
      <c r="M40" s="50"/>
      <c r="N40" s="50"/>
      <c r="O40" s="50"/>
      <c r="P40" s="7"/>
      <c r="Q40" s="58" t="str">
        <f>LEFT(M8,2)</f>
        <v>14</v>
      </c>
      <c r="R40" s="265"/>
      <c r="S40" s="266"/>
      <c r="T40" s="267"/>
      <c r="U40" s="50"/>
      <c r="V40" s="50"/>
      <c r="W40" s="265"/>
      <c r="X40" s="266"/>
      <c r="Y40" s="267"/>
      <c r="Z40" s="50"/>
      <c r="AA40" s="7"/>
      <c r="AB40" s="7"/>
      <c r="AC40" s="7"/>
      <c r="AD40" s="7"/>
      <c r="AE40" s="41"/>
      <c r="AF40" s="7"/>
      <c r="AG40" s="77"/>
      <c r="AH40" s="7" t="s">
        <v>86</v>
      </c>
      <c r="AI40" s="7"/>
      <c r="AJ40" s="7"/>
      <c r="AK40" s="7"/>
      <c r="AL40" s="7"/>
      <c r="AM40" s="7"/>
      <c r="AN40" s="7"/>
      <c r="AO40" s="55"/>
      <c r="AP40" s="37"/>
      <c r="AQ40" s="11"/>
      <c r="AR40" s="56" t="s">
        <v>87</v>
      </c>
      <c r="AS40" s="56"/>
      <c r="AT40" s="50"/>
      <c r="AU40" s="29"/>
      <c r="AV40" s="50"/>
      <c r="AW40" s="56"/>
      <c r="AX40" s="56"/>
      <c r="AY40" s="25"/>
      <c r="BA40"/>
    </row>
    <row r="41" spans="1:53" ht="14.25" customHeight="1" thickBot="1" x14ac:dyDescent="0.3">
      <c r="A41" s="203"/>
      <c r="B41" s="7"/>
      <c r="C41" s="7"/>
      <c r="D41" s="7"/>
      <c r="E41" s="7"/>
      <c r="F41" s="7"/>
      <c r="G41" s="7"/>
      <c r="H41" s="7"/>
      <c r="I41" s="7"/>
      <c r="J41" s="7"/>
      <c r="K41" s="7"/>
      <c r="L41" s="50"/>
      <c r="M41" s="50"/>
      <c r="N41" s="50"/>
      <c r="O41" s="50"/>
      <c r="P41" s="7"/>
      <c r="Q41" s="59"/>
      <c r="R41" s="6">
        <v>60</v>
      </c>
      <c r="S41" s="6">
        <v>0</v>
      </c>
      <c r="T41" s="6">
        <f>R41+S41</f>
        <v>60</v>
      </c>
      <c r="U41" s="50"/>
      <c r="V41" s="50"/>
      <c r="W41" s="6">
        <v>45</v>
      </c>
      <c r="X41" s="6">
        <v>30</v>
      </c>
      <c r="Y41" s="6">
        <f>W41+X41</f>
        <v>75</v>
      </c>
      <c r="Z41" s="50"/>
      <c r="AA41" s="7"/>
      <c r="AB41" s="7"/>
      <c r="AC41" s="7"/>
      <c r="AD41" s="7"/>
      <c r="AE41" s="41"/>
      <c r="AF41" s="7"/>
      <c r="AG41" s="70"/>
      <c r="AH41" s="7" t="s">
        <v>88</v>
      </c>
      <c r="AI41" s="7"/>
      <c r="AJ41" s="7"/>
      <c r="AK41" s="7"/>
      <c r="AL41" s="7"/>
      <c r="AM41" s="7"/>
      <c r="AN41" s="7"/>
      <c r="AO41" s="52"/>
      <c r="AP41" s="19"/>
      <c r="AQ41" s="8"/>
      <c r="AR41" s="56" t="s">
        <v>89</v>
      </c>
      <c r="AS41" s="56"/>
      <c r="AT41" s="50"/>
      <c r="AU41" s="29"/>
      <c r="AV41" s="50"/>
      <c r="AW41" s="52"/>
      <c r="AX41" s="52"/>
      <c r="AY41" s="26"/>
      <c r="BA41"/>
    </row>
    <row r="42" spans="1:53" ht="6.75" customHeight="1" thickTop="1" x14ac:dyDescent="0.25">
      <c r="B42" s="19"/>
      <c r="C42" s="7"/>
      <c r="D42" s="7"/>
      <c r="E42" s="7"/>
      <c r="F42" s="7"/>
      <c r="G42" s="7"/>
      <c r="H42" s="7"/>
      <c r="I42" s="7"/>
      <c r="J42" s="7"/>
      <c r="K42" s="7"/>
      <c r="L42" s="50"/>
      <c r="M42" s="50"/>
      <c r="N42" s="50"/>
      <c r="O42" s="50"/>
      <c r="P42" s="7"/>
      <c r="Q42" s="50"/>
      <c r="R42" s="50"/>
      <c r="S42" s="50"/>
      <c r="T42" s="50"/>
      <c r="U42" s="50"/>
      <c r="V42" s="50"/>
      <c r="W42" s="7"/>
      <c r="X42" s="7"/>
      <c r="Y42" s="7"/>
      <c r="Z42" s="50"/>
      <c r="AA42" s="59"/>
      <c r="AB42" s="7"/>
      <c r="AC42" s="7"/>
      <c r="AD42" s="7"/>
      <c r="AE42" s="50"/>
      <c r="AF42" s="7"/>
      <c r="AG42" s="7"/>
      <c r="AH42" s="7"/>
      <c r="AI42" s="7"/>
      <c r="AJ42" s="7"/>
      <c r="AK42" s="7"/>
      <c r="AL42" s="7"/>
      <c r="AM42" s="52"/>
      <c r="AN42" s="52"/>
      <c r="AO42" s="7"/>
      <c r="AP42" s="19"/>
      <c r="AQ42" s="57"/>
      <c r="AR42" s="57"/>
      <c r="AS42" s="57"/>
      <c r="AT42" s="50"/>
      <c r="AU42" s="29"/>
      <c r="AV42" s="52"/>
      <c r="AW42" s="52"/>
      <c r="AX42" s="52"/>
      <c r="AY42" s="26"/>
    </row>
    <row r="43" spans="1:53" ht="15" customHeight="1" x14ac:dyDescent="0.25">
      <c r="A43" s="203"/>
      <c r="B43" s="50"/>
      <c r="C43" s="50"/>
      <c r="D43" s="50"/>
      <c r="E43" s="50"/>
      <c r="F43" s="7"/>
      <c r="G43" s="7"/>
      <c r="H43" s="288"/>
      <c r="I43" s="288"/>
      <c r="J43" s="288"/>
      <c r="K43" s="7"/>
      <c r="L43" s="50"/>
      <c r="M43" s="50"/>
      <c r="N43" s="50"/>
      <c r="O43" s="50"/>
      <c r="P43" s="7"/>
      <c r="Q43" s="50"/>
      <c r="R43" s="50"/>
      <c r="S43" s="50"/>
      <c r="T43" s="50"/>
      <c r="U43" s="50"/>
      <c r="V43" s="50"/>
      <c r="W43" s="7"/>
      <c r="X43" s="7"/>
      <c r="Y43" s="7"/>
      <c r="Z43" s="50"/>
      <c r="AA43" s="7"/>
      <c r="AB43" s="7"/>
      <c r="AC43" s="7"/>
      <c r="AD43" s="7"/>
      <c r="AE43" s="50"/>
      <c r="AF43" s="7"/>
      <c r="AG43" s="7"/>
      <c r="AH43" s="7"/>
      <c r="AI43" s="7"/>
      <c r="AJ43" s="7"/>
      <c r="AK43" s="7"/>
      <c r="AL43" s="7"/>
      <c r="AM43" s="7"/>
      <c r="AN43" s="7"/>
      <c r="AO43" s="7"/>
      <c r="AP43" s="19"/>
      <c r="AQ43" s="57"/>
      <c r="AR43" s="57"/>
      <c r="AS43" s="57"/>
      <c r="AT43" s="50"/>
      <c r="AU43" s="29"/>
      <c r="AV43" s="7"/>
      <c r="AW43" s="7"/>
      <c r="AX43" s="7"/>
      <c r="AY43" s="22"/>
    </row>
    <row r="44" spans="1:53" ht="15.75" customHeight="1" thickBot="1" x14ac:dyDescent="0.3">
      <c r="A44" s="203"/>
      <c r="B44" s="50"/>
      <c r="C44" s="50"/>
      <c r="D44" s="50"/>
      <c r="E44" s="50"/>
      <c r="F44" s="7"/>
      <c r="G44" s="7"/>
      <c r="H44" s="288"/>
      <c r="I44" s="288"/>
      <c r="J44" s="288"/>
      <c r="K44" s="7"/>
      <c r="L44" s="50"/>
      <c r="M44" s="50"/>
      <c r="N44" s="50"/>
      <c r="O44" s="50"/>
      <c r="P44" s="7"/>
      <c r="Q44" s="50"/>
      <c r="R44" s="50"/>
      <c r="S44" s="50"/>
      <c r="T44" s="50"/>
      <c r="U44" s="50"/>
      <c r="V44" s="50"/>
      <c r="W44" s="7"/>
      <c r="X44" s="7"/>
      <c r="Y44" s="7"/>
      <c r="Z44" s="50"/>
      <c r="AA44" s="7"/>
      <c r="AB44" s="7"/>
      <c r="AC44" s="7"/>
      <c r="AD44" s="7"/>
      <c r="AE44" s="7"/>
      <c r="AF44" s="7"/>
      <c r="AG44" s="7"/>
      <c r="AH44" s="7"/>
      <c r="AI44" s="7"/>
      <c r="AJ44" s="7"/>
      <c r="AK44" s="59"/>
      <c r="AL44" s="7"/>
      <c r="AM44" s="54"/>
      <c r="AN44" s="54"/>
      <c r="AO44" s="55"/>
      <c r="AP44" s="30"/>
      <c r="AQ44" s="31"/>
      <c r="AR44" s="31"/>
      <c r="AS44" s="31"/>
      <c r="AT44" s="31"/>
      <c r="AU44" s="32"/>
      <c r="AV44" s="7"/>
      <c r="AW44" s="7"/>
      <c r="AX44" s="7"/>
      <c r="AY44" s="22"/>
    </row>
    <row r="45" spans="1:53" ht="12.75" customHeight="1" x14ac:dyDescent="0.25">
      <c r="A45" s="203"/>
      <c r="B45" s="50"/>
      <c r="C45" s="50"/>
      <c r="D45" s="50"/>
      <c r="E45" s="50"/>
      <c r="F45" s="7"/>
      <c r="G45" s="7"/>
      <c r="H45" s="288"/>
      <c r="I45" s="288"/>
      <c r="J45" s="288"/>
      <c r="K45" s="7"/>
      <c r="L45" s="7"/>
      <c r="M45" s="7"/>
      <c r="N45" s="7"/>
      <c r="O45" s="7"/>
      <c r="P45" s="7"/>
      <c r="Q45" s="50"/>
      <c r="R45" s="50"/>
      <c r="S45" s="50"/>
      <c r="T45" s="50"/>
      <c r="U45" s="50"/>
      <c r="V45" s="50"/>
      <c r="W45" s="7"/>
      <c r="X45" s="7"/>
      <c r="Y45" s="7"/>
      <c r="Z45" s="7"/>
      <c r="AA45" s="7"/>
      <c r="AB45" s="7"/>
      <c r="AC45" s="7"/>
      <c r="AD45" s="7"/>
      <c r="AE45" s="55"/>
      <c r="AF45" s="7"/>
      <c r="AG45" s="7"/>
      <c r="AH45" s="7"/>
      <c r="AI45" s="7"/>
      <c r="AJ45" s="55"/>
      <c r="AK45" s="64"/>
      <c r="AL45" s="7"/>
      <c r="AM45" s="7"/>
      <c r="AN45" s="7"/>
      <c r="AO45" s="55"/>
      <c r="AP45" s="55"/>
      <c r="AQ45" s="55"/>
      <c r="AR45" s="55"/>
      <c r="AS45" s="55"/>
      <c r="AT45" s="55"/>
      <c r="AU45" s="7"/>
      <c r="AV45" s="7"/>
      <c r="AW45" s="7"/>
      <c r="AX45" s="7"/>
      <c r="AY45" s="22"/>
    </row>
    <row r="46" spans="1:53" ht="12.75" customHeight="1" x14ac:dyDescent="0.25">
      <c r="A46" s="203"/>
      <c r="B46" s="50"/>
      <c r="C46" s="50"/>
      <c r="D46" s="50"/>
      <c r="E46" s="50"/>
      <c r="F46" s="7"/>
      <c r="G46" s="7"/>
      <c r="H46" s="204"/>
      <c r="I46" s="204"/>
      <c r="J46" s="204"/>
      <c r="K46" s="7"/>
      <c r="L46" s="7"/>
      <c r="M46" s="7"/>
      <c r="N46" s="7"/>
      <c r="O46" s="7"/>
      <c r="P46" s="7"/>
      <c r="Q46" s="50"/>
      <c r="R46" s="50"/>
      <c r="S46" s="50"/>
      <c r="T46" s="50"/>
      <c r="U46" s="50"/>
      <c r="V46" s="50"/>
      <c r="W46" s="7"/>
      <c r="X46" s="7"/>
      <c r="Y46" s="7"/>
      <c r="Z46" s="7"/>
      <c r="AA46" s="7"/>
      <c r="AB46" s="7"/>
      <c r="AC46" s="7"/>
      <c r="AD46" s="7"/>
      <c r="AE46" s="55"/>
      <c r="AF46" s="7"/>
      <c r="AG46" s="7"/>
      <c r="AH46" s="7"/>
      <c r="AI46" s="7"/>
      <c r="AJ46" s="55"/>
      <c r="AK46" s="62"/>
      <c r="AL46" s="50"/>
      <c r="AM46" s="50"/>
      <c r="AN46" s="56"/>
      <c r="AO46" s="55"/>
      <c r="AP46" s="55"/>
      <c r="AQ46" s="55"/>
      <c r="AR46" s="55"/>
      <c r="AS46" s="55"/>
      <c r="AT46" s="55"/>
      <c r="AU46" s="7"/>
      <c r="AV46" s="7"/>
      <c r="AW46" s="7"/>
      <c r="AX46" s="7"/>
      <c r="AY46" s="22"/>
    </row>
    <row r="47" spans="1:53" ht="5.25" customHeight="1" thickBot="1" x14ac:dyDescent="0.3">
      <c r="B47" s="30"/>
      <c r="C47" s="31"/>
      <c r="D47" s="31"/>
      <c r="E47" s="31"/>
      <c r="F47" s="10"/>
      <c r="G47" s="10"/>
      <c r="H47" s="10"/>
      <c r="I47" s="10"/>
      <c r="J47" s="10"/>
      <c r="K47" s="10"/>
      <c r="L47" s="10"/>
      <c r="M47" s="39"/>
      <c r="N47" s="39"/>
      <c r="O47" s="39"/>
      <c r="P47" s="39"/>
      <c r="Q47" s="39"/>
      <c r="R47" s="39"/>
      <c r="S47" s="39"/>
      <c r="T47" s="39"/>
      <c r="U47" s="39"/>
      <c r="V47" s="39"/>
      <c r="W47" s="39"/>
      <c r="X47" s="39"/>
      <c r="Y47" s="39"/>
      <c r="Z47" s="10"/>
      <c r="AA47" s="31"/>
      <c r="AB47" s="31"/>
      <c r="AC47" s="31"/>
      <c r="AD47" s="31"/>
      <c r="AE47" s="40"/>
      <c r="AF47" s="40"/>
      <c r="AG47" s="10"/>
      <c r="AH47" s="10"/>
      <c r="AI47" s="10"/>
      <c r="AJ47" s="10"/>
      <c r="AK47" s="31"/>
      <c r="AL47" s="31"/>
      <c r="AM47" s="31"/>
      <c r="AN47" s="40"/>
      <c r="AO47" s="40"/>
      <c r="AP47" s="40"/>
      <c r="AQ47" s="10"/>
      <c r="AR47" s="10"/>
      <c r="AS47" s="10"/>
      <c r="AT47" s="10"/>
      <c r="AU47" s="10"/>
      <c r="AV47" s="10"/>
      <c r="AW47" s="10"/>
      <c r="AX47" s="10"/>
      <c r="AY47" s="24"/>
    </row>
    <row r="48" spans="1:53" ht="0.75" customHeight="1" thickBot="1" x14ac:dyDescent="0.3">
      <c r="B48" s="71"/>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72"/>
    </row>
    <row r="49" spans="2:53" ht="3" customHeight="1" thickBot="1" x14ac:dyDescent="0.3">
      <c r="B49" s="20"/>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21"/>
    </row>
    <row r="50" spans="2:53" ht="15" customHeight="1" thickBot="1" x14ac:dyDescent="0.3">
      <c r="B50" s="19"/>
      <c r="C50" s="7"/>
      <c r="D50" s="7"/>
      <c r="E50" s="7"/>
      <c r="F50" s="7"/>
      <c r="G50" s="7"/>
      <c r="H50" s="7"/>
      <c r="I50" s="7"/>
      <c r="J50" s="7"/>
      <c r="K50" s="7"/>
      <c r="L50" s="7"/>
      <c r="M50" s="7"/>
      <c r="N50" s="7"/>
      <c r="O50" s="7"/>
      <c r="P50" s="7"/>
      <c r="Q50" s="7"/>
      <c r="R50" s="312" t="s">
        <v>93</v>
      </c>
      <c r="S50" s="313"/>
      <c r="T50" s="313"/>
      <c r="U50" s="313"/>
      <c r="V50" s="313"/>
      <c r="W50" s="313"/>
      <c r="X50" s="313"/>
      <c r="Y50" s="313"/>
      <c r="Z50" s="313"/>
      <c r="AA50" s="313"/>
      <c r="AB50" s="313"/>
      <c r="AC50" s="313"/>
      <c r="AD50" s="313"/>
      <c r="AE50" s="313"/>
      <c r="AF50" s="313"/>
      <c r="AG50" s="313"/>
      <c r="AH50" s="313"/>
      <c r="AI50" s="314"/>
      <c r="AJ50" s="7"/>
      <c r="AK50" s="7"/>
      <c r="AL50" s="7"/>
      <c r="AM50" s="7"/>
      <c r="AN50" s="7"/>
      <c r="AO50" s="7"/>
      <c r="AP50" s="7"/>
      <c r="AQ50" s="7"/>
      <c r="AR50" s="7"/>
      <c r="AS50" s="7"/>
      <c r="AT50" s="7"/>
      <c r="AU50" s="7"/>
      <c r="AV50" s="7"/>
      <c r="AW50" s="7"/>
      <c r="AX50" s="7"/>
      <c r="AY50" s="22"/>
      <c r="BA50" s="43"/>
    </row>
    <row r="51" spans="2:53" ht="6" customHeight="1" x14ac:dyDescent="0.25">
      <c r="B51" s="19"/>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22"/>
      <c r="BA51" s="43"/>
    </row>
    <row r="52" spans="2:53" ht="14.45" customHeight="1" x14ac:dyDescent="0.25">
      <c r="B52" s="19"/>
      <c r="C52" s="259" t="s">
        <v>387</v>
      </c>
      <c r="D52" s="260"/>
      <c r="E52" s="261"/>
      <c r="F52" s="7"/>
      <c r="G52" s="5">
        <v>30</v>
      </c>
      <c r="H52" s="259" t="str">
        <f>TEXT(INT(LEFT(C52,2))+1,"0") &amp; " - Automação Residencial e Predial"</f>
        <v>2 - Automação Residencial e Predial</v>
      </c>
      <c r="I52" s="260"/>
      <c r="J52" s="261"/>
      <c r="K52" s="7"/>
      <c r="L52" s="7"/>
      <c r="M52" s="278" t="str">
        <f>TEXT(INT(LEFT(H52,2))+1,"0") &amp; " - Eficiência em Sistemas de Energia"</f>
        <v>3 - Eficiência em Sistemas de Energia</v>
      </c>
      <c r="N52" s="278"/>
      <c r="O52" s="278"/>
      <c r="P52" s="7"/>
      <c r="Q52" s="7"/>
      <c r="R52" s="278" t="str">
        <f>TEXT(INT(LEFT(M52,2))+1,"0") &amp; " - Fabricação Assistida por Computador"</f>
        <v>4 - Fabricação Assistida por Computador</v>
      </c>
      <c r="S52" s="278"/>
      <c r="T52" s="278"/>
      <c r="U52" s="7"/>
      <c r="V52" s="7"/>
      <c r="W52" s="278" t="str">
        <f>TEXT(INT(LEFT(R52,2))+1,"0") &amp; " - Fontes Renováveis não Convencionais - Técnicas e Aplicações"</f>
        <v>5 - Fontes Renováveis não Convencionais - Técnicas e Aplicações</v>
      </c>
      <c r="X52" s="278"/>
      <c r="Y52" s="278"/>
      <c r="Z52" s="7"/>
      <c r="AA52" s="7"/>
      <c r="AB52" s="259" t="str">
        <f>TEXT(INT(LEFT(W52,2))+1,"0") &amp; " - Gestão dos Sistemas de Produção"</f>
        <v>6 - Gestão dos Sistemas de Produção</v>
      </c>
      <c r="AC52" s="260"/>
      <c r="AD52" s="261"/>
      <c r="AE52" s="7"/>
      <c r="AF52" s="66"/>
      <c r="AG52" s="259" t="str">
        <f>TEXT(INT(LEFT(AB52,2))+1,"0") &amp; " - Língua 
Brasileira de
Sinais - LIBRAS I"</f>
        <v>7 - Língua 
Brasileira de
Sinais - LIBRAS I</v>
      </c>
      <c r="AH52" s="260"/>
      <c r="AI52" s="261"/>
      <c r="AK52" s="66"/>
      <c r="AL52" s="278" t="str">
        <f>TEXT(INT(LEFT(AG52,2))+1,"0") &amp; " - Materiais e Equip. Elétricos e Eletrônicos"</f>
        <v>8 - Materiais e Equip. Elétricos e Eletrônicos</v>
      </c>
      <c r="AM52" s="278"/>
      <c r="AN52" s="278"/>
      <c r="AO52" s="7"/>
      <c r="AP52" s="309" t="s">
        <v>40</v>
      </c>
      <c r="AQ52" s="278" t="str">
        <f>TEXT(INT(LEFT(AL52,2))+1,"0") &amp; " - Metodologia da Pesquisa e Escrita Científica"</f>
        <v>9 - Metodologia da Pesquisa e Escrita Científica</v>
      </c>
      <c r="AR52" s="278"/>
      <c r="AS52" s="278"/>
      <c r="AT52" s="66"/>
      <c r="AU52" s="66"/>
      <c r="AV52" s="278" t="str">
        <f>TEXT(INT(LEFT(AQ52,2))+1,"0") &amp; " - Processamento Digital de Sinais"</f>
        <v>10 - Processamento Digital de Sinais</v>
      </c>
      <c r="AW52" s="278"/>
      <c r="AX52" s="278"/>
      <c r="AY52" s="22"/>
      <c r="BA52" s="43"/>
    </row>
    <row r="53" spans="2:53" x14ac:dyDescent="0.25">
      <c r="B53" s="19"/>
      <c r="C53" s="262"/>
      <c r="D53" s="263"/>
      <c r="E53" s="264"/>
      <c r="F53" s="7"/>
      <c r="G53" s="5">
        <v>40</v>
      </c>
      <c r="H53" s="262"/>
      <c r="I53" s="263"/>
      <c r="J53" s="264"/>
      <c r="K53" s="7"/>
      <c r="L53" s="5">
        <v>42</v>
      </c>
      <c r="M53" s="278"/>
      <c r="N53" s="278"/>
      <c r="O53" s="278"/>
      <c r="P53" s="7"/>
      <c r="Q53" s="7"/>
      <c r="R53" s="278"/>
      <c r="S53" s="278"/>
      <c r="T53" s="278"/>
      <c r="U53" s="7"/>
      <c r="V53" s="7"/>
      <c r="W53" s="278"/>
      <c r="X53" s="278"/>
      <c r="Y53" s="278"/>
      <c r="Z53" s="7"/>
      <c r="AA53" s="7"/>
      <c r="AB53" s="262"/>
      <c r="AC53" s="263"/>
      <c r="AD53" s="264"/>
      <c r="AE53" s="7"/>
      <c r="AF53" s="66"/>
      <c r="AG53" s="262"/>
      <c r="AH53" s="263"/>
      <c r="AI53" s="264"/>
      <c r="AK53" s="5">
        <v>18</v>
      </c>
      <c r="AL53" s="278"/>
      <c r="AM53" s="278"/>
      <c r="AN53" s="278"/>
      <c r="AO53" s="7"/>
      <c r="AP53" s="309"/>
      <c r="AQ53" s="278"/>
      <c r="AR53" s="278"/>
      <c r="AS53" s="278"/>
      <c r="AT53" s="66"/>
      <c r="AU53" s="66"/>
      <c r="AV53" s="278"/>
      <c r="AW53" s="278"/>
      <c r="AX53" s="278"/>
      <c r="AY53" s="22"/>
      <c r="BA53" s="43"/>
    </row>
    <row r="54" spans="2:53" ht="26.25" customHeight="1" x14ac:dyDescent="0.25">
      <c r="B54" s="38">
        <v>37</v>
      </c>
      <c r="C54" s="265"/>
      <c r="D54" s="266"/>
      <c r="E54" s="267"/>
      <c r="F54" s="7"/>
      <c r="G54" s="5">
        <v>49</v>
      </c>
      <c r="H54" s="265"/>
      <c r="I54" s="266"/>
      <c r="J54" s="267"/>
      <c r="K54" s="7"/>
      <c r="L54" s="5">
        <v>40</v>
      </c>
      <c r="M54" s="278"/>
      <c r="N54" s="278"/>
      <c r="O54" s="278"/>
      <c r="P54" s="7"/>
      <c r="Q54" s="5">
        <v>46</v>
      </c>
      <c r="R54" s="278"/>
      <c r="S54" s="278"/>
      <c r="T54" s="278"/>
      <c r="U54" s="7"/>
      <c r="V54" s="5">
        <v>45</v>
      </c>
      <c r="W54" s="278"/>
      <c r="X54" s="278"/>
      <c r="Y54" s="278"/>
      <c r="Z54" s="7"/>
      <c r="AA54" s="5">
        <v>35</v>
      </c>
      <c r="AB54" s="265"/>
      <c r="AC54" s="266"/>
      <c r="AD54" s="267"/>
      <c r="AE54" s="7"/>
      <c r="AF54" s="66"/>
      <c r="AG54" s="265"/>
      <c r="AH54" s="266"/>
      <c r="AI54" s="267"/>
      <c r="AK54" s="5">
        <v>20</v>
      </c>
      <c r="AL54" s="278"/>
      <c r="AM54" s="278"/>
      <c r="AN54" s="278"/>
      <c r="AO54" s="7"/>
      <c r="AP54" s="310"/>
      <c r="AQ54" s="278"/>
      <c r="AR54" s="278"/>
      <c r="AS54" s="278"/>
      <c r="AT54" s="66"/>
      <c r="AU54" s="5">
        <v>37</v>
      </c>
      <c r="AV54" s="278"/>
      <c r="AW54" s="278"/>
      <c r="AX54" s="278"/>
      <c r="AY54" s="22"/>
      <c r="BA54" s="43"/>
    </row>
    <row r="55" spans="2:53" x14ac:dyDescent="0.25">
      <c r="B55" s="38"/>
      <c r="C55" s="6">
        <v>45</v>
      </c>
      <c r="D55" s="6">
        <v>30</v>
      </c>
      <c r="E55" s="6">
        <f>C55+D55</f>
        <v>75</v>
      </c>
      <c r="F55" s="7"/>
      <c r="G55" s="7"/>
      <c r="H55" s="6">
        <v>45</v>
      </c>
      <c r="I55" s="6">
        <v>15</v>
      </c>
      <c r="J55" s="6">
        <f>H55+I55</f>
        <v>60</v>
      </c>
      <c r="K55" s="7"/>
      <c r="L55" s="14"/>
      <c r="M55" s="6">
        <v>45</v>
      </c>
      <c r="N55" s="6">
        <v>15</v>
      </c>
      <c r="O55" s="6">
        <f>M55+N55</f>
        <v>60</v>
      </c>
      <c r="P55" s="7"/>
      <c r="Q55" s="7"/>
      <c r="R55" s="6">
        <v>30</v>
      </c>
      <c r="S55" s="6">
        <v>0</v>
      </c>
      <c r="T55" s="6">
        <f>R55+S55</f>
        <v>30</v>
      </c>
      <c r="U55" s="7"/>
      <c r="V55" s="7"/>
      <c r="W55" s="6">
        <v>45</v>
      </c>
      <c r="X55" s="6">
        <v>15</v>
      </c>
      <c r="Y55" s="6">
        <f>W55+X55</f>
        <v>60</v>
      </c>
      <c r="Z55" s="7"/>
      <c r="AA55" s="7"/>
      <c r="AB55" s="6">
        <v>45</v>
      </c>
      <c r="AC55" s="6">
        <v>0</v>
      </c>
      <c r="AD55" s="6">
        <f>AB55+AC55</f>
        <v>45</v>
      </c>
      <c r="AE55" s="7"/>
      <c r="AF55" s="66"/>
      <c r="AG55" s="6">
        <v>30</v>
      </c>
      <c r="AH55" s="6">
        <v>30</v>
      </c>
      <c r="AI55" s="6">
        <f>AG55+AH55</f>
        <v>60</v>
      </c>
      <c r="AK55" s="66"/>
      <c r="AL55" s="6">
        <v>45</v>
      </c>
      <c r="AM55" s="6">
        <v>15</v>
      </c>
      <c r="AN55" s="6">
        <f>AL55+AM55</f>
        <v>60</v>
      </c>
      <c r="AO55" s="7"/>
      <c r="AP55" s="7"/>
      <c r="AQ55" s="6">
        <v>60</v>
      </c>
      <c r="AR55" s="6">
        <v>0</v>
      </c>
      <c r="AS55" s="6">
        <f>AQ55+AR55</f>
        <v>60</v>
      </c>
      <c r="AT55" s="66"/>
      <c r="AU55" s="66"/>
      <c r="AV55" s="6">
        <v>45</v>
      </c>
      <c r="AW55" s="6">
        <v>15</v>
      </c>
      <c r="AX55" s="6">
        <f>AV55+AW55</f>
        <v>60</v>
      </c>
      <c r="AY55" s="22"/>
      <c r="BA55" s="43"/>
    </row>
    <row r="56" spans="2:53" ht="4.5" customHeight="1" x14ac:dyDescent="0.25">
      <c r="B56" s="19"/>
      <c r="C56" s="54"/>
      <c r="D56" s="54"/>
      <c r="E56" s="54"/>
      <c r="F56" s="7"/>
      <c r="G56" s="7"/>
      <c r="H56" s="54"/>
      <c r="I56" s="54"/>
      <c r="J56" s="54"/>
      <c r="K56" s="7"/>
      <c r="L56" s="7"/>
      <c r="M56" s="54"/>
      <c r="N56" s="54"/>
      <c r="O56" s="54"/>
      <c r="P56" s="7"/>
      <c r="Q56" s="7"/>
      <c r="R56" s="54"/>
      <c r="S56" s="54"/>
      <c r="T56" s="54"/>
      <c r="U56" s="7"/>
      <c r="V56" s="7"/>
      <c r="W56" s="54"/>
      <c r="X56" s="54"/>
      <c r="Y56" s="54"/>
      <c r="Z56" s="7"/>
      <c r="AA56"/>
      <c r="AB56" s="54"/>
      <c r="AC56" s="54"/>
      <c r="AD56" s="54"/>
      <c r="AE56" s="7"/>
      <c r="AF56" s="7"/>
      <c r="AG56" s="65"/>
      <c r="AH56" s="65"/>
      <c r="AI56" s="65"/>
      <c r="AJ56" s="65"/>
      <c r="AK56" s="65"/>
      <c r="AL56" s="65"/>
      <c r="AM56" s="65"/>
      <c r="AN56" s="65"/>
      <c r="AO56" s="7"/>
      <c r="AP56" s="7"/>
      <c r="AQ56" s="65"/>
      <c r="AR56" s="65"/>
      <c r="AS56" s="65"/>
      <c r="AT56" s="65"/>
      <c r="AU56" s="65"/>
      <c r="AV56" s="65"/>
      <c r="AW56" s="65"/>
      <c r="AX56" s="65"/>
      <c r="AY56" s="22"/>
      <c r="BA56" s="43"/>
    </row>
    <row r="57" spans="2:53" ht="14.45" customHeight="1" x14ac:dyDescent="0.25">
      <c r="B57" s="19"/>
      <c r="C57" s="278" t="str">
        <f>TEXT(INT(LEFT(AV52,2))+1,"0") &amp; " - Programação Orientada a Objetos"</f>
        <v>11 - Programação Orientada a Objetos</v>
      </c>
      <c r="D57" s="278"/>
      <c r="E57" s="278"/>
      <c r="F57" s="7"/>
      <c r="G57" s="7"/>
      <c r="H57" s="278" t="str">
        <f>TEXT(INT(LEFT(C57,2))+1,"0") &amp; " - Sistemas Computacionais em Tempo Real"</f>
        <v>12 - Sistemas Computacionais em Tempo Real</v>
      </c>
      <c r="I57" s="278"/>
      <c r="J57" s="278"/>
      <c r="K57" s="7"/>
      <c r="L57" s="7"/>
      <c r="M57" s="259" t="str">
        <f>TEXT(INT(LEFT(H57,2))+1,"0") &amp; " - Sistemas de Gestão e Manutenção na Automação"</f>
        <v>13 - Sistemas de Gestão e Manutenção na Automação</v>
      </c>
      <c r="N57" s="260"/>
      <c r="O57" s="261"/>
      <c r="P57" s="7"/>
      <c r="Q57" s="7"/>
      <c r="R57" s="278" t="str">
        <f>TEXT(INT(LEFT(M57,2))+1,"0") &amp; " - Sistemas Distribuídos"</f>
        <v>14 - Sistemas Distribuídos</v>
      </c>
      <c r="S57" s="278"/>
      <c r="T57" s="278"/>
      <c r="U57" s="7"/>
      <c r="V57" s="7"/>
      <c r="W57" s="278" t="str">
        <f>TEXT(INT(LEFT(R57,2))+1,"0") &amp; " - Instalações Industriais"</f>
        <v>15 - Instalações Industriais</v>
      </c>
      <c r="X57" s="278"/>
      <c r="Y57" s="278"/>
      <c r="Z57"/>
      <c r="AA57" s="307" t="s">
        <v>40</v>
      </c>
      <c r="AB57" s="298" t="str">
        <f>TEXT(INT(LEFT(W57,2))+1,"0") &amp; " - Tópicos Especiais em Engenharia de Controle e Automação I (***)"</f>
        <v>16 - Tópicos Especiais em Engenharia de Controle e Automação I (***)</v>
      </c>
      <c r="AC57" s="299"/>
      <c r="AD57" s="300"/>
      <c r="AE57" s="7"/>
      <c r="AF57" s="307" t="s">
        <v>40</v>
      </c>
      <c r="AG57" s="298" t="str">
        <f>TEXT(INT(LEFT(AB57,2))+1,"0") &amp; " -  Tópicos Especiais em Engenharia de Controle e Automação II (***)"</f>
        <v>17 -  Tópicos Especiais em Engenharia de Controle e Automação II (***)</v>
      </c>
      <c r="AH57" s="299"/>
      <c r="AI57" s="300"/>
      <c r="AJ57" s="7"/>
      <c r="AK57" s="307" t="s">
        <v>40</v>
      </c>
      <c r="AL57" s="298" t="str">
        <f>TEXT(INT(LEFT(AG57,2))+1,"0") &amp; " -  Tópicos Especiais em Engenharia de Controle e Automação III (***)"</f>
        <v>18 -  Tópicos Especiais em Engenharia de Controle e Automação III (***)</v>
      </c>
      <c r="AM57" s="299"/>
      <c r="AN57" s="300"/>
      <c r="AO57" s="66"/>
      <c r="AP57" s="307" t="s">
        <v>40</v>
      </c>
      <c r="AQ57" s="311" t="str">
        <f>TEXT(INT(LEFT(AL57,2))+1,"0") &amp; " -  Tópicos Especiais em Engenharia de Controle e Automação IV (***)"</f>
        <v>19 -  Tópicos Especiais em Engenharia de Controle e Automação IV (***)</v>
      </c>
      <c r="AR57" s="311"/>
      <c r="AS57" s="311"/>
      <c r="AT57" s="50"/>
      <c r="AU57" s="50"/>
      <c r="AV57" s="50"/>
      <c r="AW57" s="50"/>
      <c r="AX57" s="50"/>
      <c r="AY57" s="29"/>
      <c r="BA57" s="43"/>
    </row>
    <row r="58" spans="2:53" x14ac:dyDescent="0.25">
      <c r="B58" s="19"/>
      <c r="C58" s="278"/>
      <c r="D58" s="278"/>
      <c r="E58" s="278"/>
      <c r="F58" s="7"/>
      <c r="G58" s="7"/>
      <c r="H58" s="278"/>
      <c r="I58" s="278"/>
      <c r="J58" s="278"/>
      <c r="K58" s="7"/>
      <c r="L58" s="7"/>
      <c r="M58" s="262"/>
      <c r="N58" s="263"/>
      <c r="O58" s="264"/>
      <c r="P58" s="7"/>
      <c r="Q58" s="7"/>
      <c r="R58" s="278"/>
      <c r="S58" s="278"/>
      <c r="T58" s="278"/>
      <c r="U58" s="7"/>
      <c r="V58" s="7"/>
      <c r="W58" s="278"/>
      <c r="X58" s="278"/>
      <c r="Y58" s="278"/>
      <c r="Z58"/>
      <c r="AA58" s="307"/>
      <c r="AB58" s="301"/>
      <c r="AC58" s="302"/>
      <c r="AD58" s="303"/>
      <c r="AE58" s="7"/>
      <c r="AF58" s="307"/>
      <c r="AG58" s="301"/>
      <c r="AH58" s="302"/>
      <c r="AI58" s="303"/>
      <c r="AJ58" s="7"/>
      <c r="AK58" s="307"/>
      <c r="AL58" s="301"/>
      <c r="AM58" s="302"/>
      <c r="AN58" s="303"/>
      <c r="AO58" s="66"/>
      <c r="AP58" s="307"/>
      <c r="AQ58" s="311"/>
      <c r="AR58" s="311"/>
      <c r="AS58" s="311"/>
      <c r="AT58" s="50"/>
      <c r="AU58" s="50"/>
      <c r="AV58" s="50"/>
      <c r="AW58" s="50"/>
      <c r="AX58" s="50"/>
      <c r="AY58" s="29"/>
      <c r="BA58" s="43"/>
    </row>
    <row r="59" spans="2:53" ht="27.75" customHeight="1" x14ac:dyDescent="0.25">
      <c r="B59" s="38">
        <v>15</v>
      </c>
      <c r="C59" s="278"/>
      <c r="D59" s="278"/>
      <c r="E59" s="278"/>
      <c r="F59" s="7"/>
      <c r="G59" s="5">
        <v>37</v>
      </c>
      <c r="H59" s="278"/>
      <c r="I59" s="278"/>
      <c r="J59" s="278"/>
      <c r="K59" s="7"/>
      <c r="L59" s="5">
        <v>35</v>
      </c>
      <c r="M59" s="265"/>
      <c r="N59" s="266"/>
      <c r="O59" s="267"/>
      <c r="P59" s="7"/>
      <c r="Q59" s="5">
        <v>49</v>
      </c>
      <c r="R59" s="278"/>
      <c r="S59" s="278"/>
      <c r="T59" s="278"/>
      <c r="U59" s="7"/>
      <c r="V59" s="58" t="str">
        <f>LEFT(M23,2)</f>
        <v>17</v>
      </c>
      <c r="W59" s="278"/>
      <c r="X59" s="278"/>
      <c r="Y59" s="278"/>
      <c r="Z59"/>
      <c r="AA59" s="308"/>
      <c r="AB59" s="304"/>
      <c r="AC59" s="305"/>
      <c r="AD59" s="306"/>
      <c r="AE59" s="7"/>
      <c r="AF59" s="308"/>
      <c r="AG59" s="304"/>
      <c r="AH59" s="305"/>
      <c r="AI59" s="306"/>
      <c r="AJ59" s="7"/>
      <c r="AK59" s="308"/>
      <c r="AL59" s="304"/>
      <c r="AM59" s="305"/>
      <c r="AN59" s="306"/>
      <c r="AO59" s="66"/>
      <c r="AP59" s="308"/>
      <c r="AQ59" s="311"/>
      <c r="AR59" s="311"/>
      <c r="AS59" s="311"/>
      <c r="AT59" s="50"/>
      <c r="AU59" s="50"/>
      <c r="AV59" s="50"/>
      <c r="AW59" s="50"/>
      <c r="AX59" s="50"/>
      <c r="AY59" s="29"/>
      <c r="BA59" s="43"/>
    </row>
    <row r="60" spans="2:53" x14ac:dyDescent="0.25">
      <c r="B60" s="19"/>
      <c r="C60" s="6">
        <v>30</v>
      </c>
      <c r="D60" s="6">
        <v>30</v>
      </c>
      <c r="E60" s="6">
        <f>C60+D60</f>
        <v>60</v>
      </c>
      <c r="F60" s="7"/>
      <c r="G60" s="7"/>
      <c r="H60" s="6">
        <v>30</v>
      </c>
      <c r="I60" s="6">
        <v>15</v>
      </c>
      <c r="J60" s="6">
        <f>H60+I60</f>
        <v>45</v>
      </c>
      <c r="K60" s="7"/>
      <c r="L60" s="7"/>
      <c r="M60" s="6">
        <v>60</v>
      </c>
      <c r="N60" s="6">
        <v>0</v>
      </c>
      <c r="O60" s="6">
        <f>M60+N60</f>
        <v>60</v>
      </c>
      <c r="P60" s="7"/>
      <c r="Q60" s="7"/>
      <c r="R60" s="6">
        <v>30</v>
      </c>
      <c r="S60" s="6">
        <v>15</v>
      </c>
      <c r="T60" s="6">
        <f>R60+S60</f>
        <v>45</v>
      </c>
      <c r="U60" s="7"/>
      <c r="V60" s="7"/>
      <c r="W60" s="6">
        <v>45</v>
      </c>
      <c r="X60" s="6">
        <v>15</v>
      </c>
      <c r="Y60" s="6">
        <f>W60+X60</f>
        <v>60</v>
      </c>
      <c r="Z60"/>
      <c r="AA60" s="7"/>
      <c r="AB60" s="6">
        <v>60</v>
      </c>
      <c r="AC60" s="6">
        <v>0</v>
      </c>
      <c r="AD60" s="6">
        <f>AB60+AC60</f>
        <v>60</v>
      </c>
      <c r="AE60" s="7"/>
      <c r="AF60" s="14"/>
      <c r="AG60" s="6">
        <v>60</v>
      </c>
      <c r="AH60" s="6">
        <v>0</v>
      </c>
      <c r="AI60" s="6">
        <f>AG60+AH60</f>
        <v>60</v>
      </c>
      <c r="AJ60" s="7"/>
      <c r="AK60" s="7"/>
      <c r="AL60" s="6">
        <v>60</v>
      </c>
      <c r="AM60" s="6">
        <v>0</v>
      </c>
      <c r="AN60" s="6">
        <f>AL60+AM60</f>
        <v>60</v>
      </c>
      <c r="AO60" s="66"/>
      <c r="AP60" s="66"/>
      <c r="AQ60" s="6">
        <v>60</v>
      </c>
      <c r="AR60" s="6">
        <v>0</v>
      </c>
      <c r="AS60" s="6">
        <f>AQ60+AR60</f>
        <v>60</v>
      </c>
      <c r="AT60" s="50"/>
      <c r="AU60" s="50"/>
      <c r="AV60" s="50"/>
      <c r="AW60" s="50"/>
      <c r="AX60" s="50"/>
      <c r="AY60" s="29"/>
      <c r="BA60" s="43"/>
    </row>
    <row r="61" spans="2:53" ht="4.5" customHeight="1" thickBot="1" x14ac:dyDescent="0.3">
      <c r="B61" s="23"/>
      <c r="C61" s="13"/>
      <c r="D61" s="13"/>
      <c r="E61" s="13"/>
      <c r="F61" s="10"/>
      <c r="G61" s="10"/>
      <c r="H61" s="13"/>
      <c r="I61" s="13"/>
      <c r="J61" s="13"/>
      <c r="K61" s="10"/>
      <c r="L61" s="10"/>
      <c r="M61" s="13"/>
      <c r="N61" s="13"/>
      <c r="O61" s="13"/>
      <c r="P61" s="10"/>
      <c r="Q61" s="10"/>
      <c r="R61" s="13"/>
      <c r="S61" s="13"/>
      <c r="T61" s="13"/>
      <c r="U61" s="10"/>
      <c r="V61" s="10"/>
      <c r="W61" s="13"/>
      <c r="X61" s="13"/>
      <c r="Y61" s="13"/>
      <c r="Z61" s="10"/>
      <c r="AA61" s="10"/>
      <c r="AB61" s="13"/>
      <c r="AC61" s="13"/>
      <c r="AD61" s="13"/>
      <c r="AE61" s="10"/>
      <c r="AF61" s="10"/>
      <c r="AG61" s="9"/>
      <c r="AH61" s="9"/>
      <c r="AI61" s="9"/>
      <c r="AJ61" s="9"/>
      <c r="AK61" s="9"/>
      <c r="AL61" s="9"/>
      <c r="AM61" s="9"/>
      <c r="AN61" s="9"/>
      <c r="AO61" s="10"/>
      <c r="AP61" s="31"/>
      <c r="AQ61" s="31"/>
      <c r="AR61" s="31"/>
      <c r="AS61" s="31"/>
      <c r="AT61" s="31"/>
      <c r="AU61" s="31"/>
      <c r="AV61" s="31"/>
      <c r="AW61" s="31"/>
      <c r="AX61" s="31"/>
      <c r="AY61" s="32"/>
      <c r="BA61" s="43"/>
    </row>
    <row r="62" spans="2:53" ht="15" customHeight="1" x14ac:dyDescent="0.25">
      <c r="B62" s="289" t="s">
        <v>113</v>
      </c>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90"/>
      <c r="AB62" s="290"/>
      <c r="AC62" s="290"/>
      <c r="AD62" s="290"/>
      <c r="AE62" s="290"/>
      <c r="AF62" s="290"/>
      <c r="AG62" s="290"/>
      <c r="AH62" s="290"/>
      <c r="AI62" s="290"/>
      <c r="AJ62" s="290"/>
      <c r="AK62" s="290"/>
      <c r="AL62" s="290"/>
      <c r="AM62" s="290"/>
      <c r="AN62" s="290"/>
      <c r="AO62" s="290"/>
      <c r="AP62" s="290"/>
      <c r="AQ62" s="290"/>
      <c r="AR62" s="290"/>
      <c r="AS62" s="290"/>
      <c r="AT62" s="290"/>
      <c r="AU62" s="290"/>
      <c r="AV62" s="290"/>
      <c r="AW62" s="290"/>
      <c r="AX62" s="290"/>
      <c r="AY62" s="291"/>
      <c r="BA62" s="43"/>
    </row>
    <row r="63" spans="2:53" x14ac:dyDescent="0.25">
      <c r="B63" s="292"/>
      <c r="C63" s="293"/>
      <c r="D63" s="293"/>
      <c r="E63" s="293"/>
      <c r="F63" s="293"/>
      <c r="G63" s="293"/>
      <c r="H63" s="293"/>
      <c r="I63" s="293"/>
      <c r="J63" s="293"/>
      <c r="K63" s="293"/>
      <c r="L63" s="293"/>
      <c r="M63" s="293"/>
      <c r="N63" s="293"/>
      <c r="O63" s="293"/>
      <c r="P63" s="293"/>
      <c r="Q63" s="293"/>
      <c r="R63" s="293"/>
      <c r="S63" s="293"/>
      <c r="T63" s="293"/>
      <c r="U63" s="293"/>
      <c r="V63" s="293"/>
      <c r="W63" s="293"/>
      <c r="X63" s="293"/>
      <c r="Y63" s="29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4"/>
    </row>
    <row r="64" spans="2:53" x14ac:dyDescent="0.25">
      <c r="B64" s="292"/>
      <c r="C64" s="293"/>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4"/>
    </row>
    <row r="65" spans="2:51" x14ac:dyDescent="0.25">
      <c r="B65" s="292"/>
      <c r="C65" s="293"/>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4"/>
    </row>
    <row r="66" spans="2:51" x14ac:dyDescent="0.25">
      <c r="B66" s="292"/>
      <c r="C66" s="293"/>
      <c r="D66" s="293"/>
      <c r="E66" s="293"/>
      <c r="F66" s="293"/>
      <c r="G66" s="293"/>
      <c r="H66" s="293"/>
      <c r="I66" s="293"/>
      <c r="J66" s="293"/>
      <c r="K66" s="293"/>
      <c r="L66" s="293"/>
      <c r="M66" s="293"/>
      <c r="N66" s="293"/>
      <c r="O66" s="293"/>
      <c r="P66" s="293"/>
      <c r="Q66" s="293"/>
      <c r="R66" s="293"/>
      <c r="S66" s="293"/>
      <c r="T66" s="293"/>
      <c r="U66" s="293"/>
      <c r="V66" s="293"/>
      <c r="W66" s="293"/>
      <c r="X66" s="293"/>
      <c r="Y66" s="29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4"/>
    </row>
    <row r="67" spans="2:51" x14ac:dyDescent="0.25">
      <c r="B67" s="292"/>
      <c r="C67" s="293"/>
      <c r="D67" s="293"/>
      <c r="E67" s="293"/>
      <c r="F67" s="293"/>
      <c r="G67" s="293"/>
      <c r="H67" s="293"/>
      <c r="I67" s="293"/>
      <c r="J67" s="293"/>
      <c r="K67" s="293"/>
      <c r="L67" s="293"/>
      <c r="M67" s="293"/>
      <c r="N67" s="293"/>
      <c r="O67" s="293"/>
      <c r="P67" s="293"/>
      <c r="Q67" s="293"/>
      <c r="R67" s="293"/>
      <c r="S67" s="293"/>
      <c r="T67" s="293"/>
      <c r="U67" s="293"/>
      <c r="V67" s="293"/>
      <c r="W67" s="293"/>
      <c r="X67" s="293"/>
      <c r="Y67" s="29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4"/>
    </row>
    <row r="68" spans="2:51" x14ac:dyDescent="0.25">
      <c r="B68" s="292"/>
      <c r="C68" s="293"/>
      <c r="D68" s="293"/>
      <c r="E68" s="293"/>
      <c r="F68" s="293"/>
      <c r="G68" s="293"/>
      <c r="H68" s="293"/>
      <c r="I68" s="293"/>
      <c r="J68" s="293"/>
      <c r="K68" s="293"/>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4"/>
    </row>
    <row r="69" spans="2:51" ht="15" customHeight="1" thickBot="1" x14ac:dyDescent="0.3">
      <c r="B69" s="295"/>
      <c r="C69" s="296"/>
      <c r="D69" s="296"/>
      <c r="E69" s="296"/>
      <c r="F69" s="296"/>
      <c r="G69" s="296"/>
      <c r="H69" s="296"/>
      <c r="I69" s="296"/>
      <c r="J69" s="296"/>
      <c r="K69" s="296"/>
      <c r="L69" s="296"/>
      <c r="M69" s="296"/>
      <c r="N69" s="296"/>
      <c r="O69" s="296"/>
      <c r="P69" s="296"/>
      <c r="Q69" s="296"/>
      <c r="R69" s="296"/>
      <c r="S69" s="296"/>
      <c r="T69" s="296"/>
      <c r="U69" s="296"/>
      <c r="V69" s="296"/>
      <c r="W69" s="296"/>
      <c r="X69" s="296"/>
      <c r="Y69" s="296"/>
      <c r="Z69" s="296"/>
      <c r="AA69" s="296"/>
      <c r="AB69" s="296"/>
      <c r="AC69" s="296"/>
      <c r="AD69" s="296"/>
      <c r="AE69" s="296"/>
      <c r="AF69" s="296"/>
      <c r="AG69" s="296"/>
      <c r="AH69" s="296"/>
      <c r="AI69" s="296"/>
      <c r="AJ69" s="296"/>
      <c r="AK69" s="296"/>
      <c r="AL69" s="296"/>
      <c r="AM69" s="296"/>
      <c r="AN69" s="296"/>
      <c r="AO69" s="296"/>
      <c r="AP69" s="296"/>
      <c r="AQ69" s="296"/>
      <c r="AR69" s="296"/>
      <c r="AS69" s="296"/>
      <c r="AT69" s="296"/>
      <c r="AU69" s="296"/>
      <c r="AV69" s="296"/>
      <c r="AW69" s="296"/>
      <c r="AX69" s="296"/>
      <c r="AY69" s="297"/>
    </row>
    <row r="70" spans="2:51" ht="6" customHeight="1" x14ac:dyDescent="0.25">
      <c r="C70"/>
      <c r="D70"/>
      <c r="E70"/>
      <c r="F70"/>
      <c r="G70"/>
      <c r="H70"/>
      <c r="L70" s="7"/>
      <c r="M70" s="7"/>
      <c r="N70" s="7"/>
      <c r="O70" s="7"/>
      <c r="R70" s="7"/>
      <c r="S70" s="7"/>
      <c r="T70" s="7"/>
      <c r="U70" s="7"/>
      <c r="V70" s="7"/>
      <c r="W70" s="7"/>
      <c r="X70" s="7"/>
      <c r="Y70" s="7"/>
      <c r="AA70" s="7"/>
      <c r="AB70" s="7"/>
      <c r="AC70" s="7"/>
      <c r="AD70" s="7"/>
      <c r="AF70" s="7"/>
      <c r="AG70" s="7"/>
      <c r="AH70" s="7"/>
      <c r="AI70" s="7"/>
      <c r="AK70" s="7"/>
      <c r="AL70" s="7"/>
      <c r="AM70" s="7"/>
      <c r="AN70" s="7"/>
      <c r="AP70" s="7"/>
      <c r="AQ70" s="7"/>
      <c r="AR70" s="7"/>
      <c r="AS70" s="7"/>
    </row>
    <row r="71" spans="2:51" x14ac:dyDescent="0.25">
      <c r="C71"/>
      <c r="D71"/>
      <c r="E71"/>
      <c r="F71"/>
      <c r="G71"/>
      <c r="H71"/>
    </row>
    <row r="75" spans="2:51" x14ac:dyDescent="0.25">
      <c r="L75" s="7"/>
      <c r="M75" s="7"/>
      <c r="N75" s="7"/>
      <c r="O75" s="7"/>
      <c r="R75" s="7"/>
      <c r="S75" s="7"/>
      <c r="T75" s="7"/>
      <c r="U75" s="7"/>
      <c r="V75" s="7"/>
      <c r="W75" s="7"/>
      <c r="X75" s="7"/>
      <c r="Y75" s="7"/>
      <c r="AA75" s="7"/>
      <c r="AB75" s="7"/>
      <c r="AC75" s="7"/>
      <c r="AD75" s="7"/>
      <c r="AF75" s="7"/>
      <c r="AG75" s="7"/>
      <c r="AH75" s="7"/>
      <c r="AI75" s="7"/>
      <c r="AK75" s="7"/>
      <c r="AL75" s="7"/>
      <c r="AM75" s="7"/>
      <c r="AN75" s="7"/>
      <c r="AP75" s="7"/>
      <c r="AQ75" s="7"/>
      <c r="AR75" s="7"/>
      <c r="AS75" s="7"/>
    </row>
    <row r="80" spans="2:51" x14ac:dyDescent="0.25">
      <c r="L80" s="7"/>
      <c r="M80" s="7"/>
      <c r="N80" s="7"/>
      <c r="O80" s="7"/>
      <c r="R80" s="7"/>
      <c r="S80" s="7"/>
      <c r="T80" s="7"/>
      <c r="U80" s="7"/>
      <c r="V80" s="7"/>
      <c r="W80" s="7"/>
      <c r="X80" s="7"/>
      <c r="Y80" s="7"/>
      <c r="AA80" s="7"/>
      <c r="AB80" s="7"/>
      <c r="AC80" s="7"/>
      <c r="AD80" s="7"/>
      <c r="AF80" s="7"/>
      <c r="AG80" s="7"/>
      <c r="AH80" s="7"/>
      <c r="AI80" s="7"/>
      <c r="AP80" s="7"/>
      <c r="AQ80" s="7"/>
      <c r="AR80" s="7"/>
      <c r="AS80" s="7"/>
    </row>
    <row r="85" spans="12:35" x14ac:dyDescent="0.25">
      <c r="L85" s="7"/>
      <c r="M85" s="7"/>
      <c r="N85" s="7"/>
      <c r="O85" s="7"/>
      <c r="R85" s="7"/>
      <c r="S85" s="7"/>
      <c r="T85" s="7"/>
      <c r="U85" s="7"/>
      <c r="V85" s="7"/>
      <c r="W85" s="7"/>
      <c r="X85" s="7"/>
      <c r="Y85" s="7"/>
      <c r="AA85" s="7"/>
      <c r="AB85" s="7"/>
      <c r="AC85" s="7"/>
      <c r="AD85" s="7"/>
      <c r="AF85" s="7"/>
      <c r="AG85" s="7"/>
      <c r="AH85" s="7"/>
      <c r="AI85" s="7"/>
    </row>
    <row r="90" spans="12:35" x14ac:dyDescent="0.25">
      <c r="R90" s="7"/>
      <c r="S90" s="7"/>
      <c r="T90" s="7"/>
      <c r="U90" s="7"/>
      <c r="AA90" s="7"/>
      <c r="AB90" s="7"/>
      <c r="AC90" s="7"/>
      <c r="AD90" s="7"/>
    </row>
    <row r="95" spans="12:35" x14ac:dyDescent="0.25">
      <c r="R95" s="7"/>
      <c r="S95" s="7"/>
      <c r="T95" s="7"/>
      <c r="U95" s="7"/>
    </row>
    <row r="96" spans="12:35" x14ac:dyDescent="0.25">
      <c r="R96" s="7"/>
      <c r="S96" s="7"/>
      <c r="T96" s="7"/>
      <c r="U96" s="7"/>
    </row>
  </sheetData>
  <mergeCells count="73">
    <mergeCell ref="AB28:AD30"/>
    <mergeCell ref="AB33:AD35"/>
    <mergeCell ref="W38:Y40"/>
    <mergeCell ref="AB13:AD15"/>
    <mergeCell ref="AB8:AD10"/>
    <mergeCell ref="W8:Y10"/>
    <mergeCell ref="AA28:AA30"/>
    <mergeCell ref="AV52:AX54"/>
    <mergeCell ref="R33:T35"/>
    <mergeCell ref="AB23:AD25"/>
    <mergeCell ref="W23:Y25"/>
    <mergeCell ref="AQ57:AS59"/>
    <mergeCell ref="R50:AI50"/>
    <mergeCell ref="AB52:AD54"/>
    <mergeCell ref="AG52:AI54"/>
    <mergeCell ref="W28:Y30"/>
    <mergeCell ref="AA57:AA59"/>
    <mergeCell ref="R38:T40"/>
    <mergeCell ref="R57:T59"/>
    <mergeCell ref="W57:Y59"/>
    <mergeCell ref="W33:Y35"/>
    <mergeCell ref="R23:T25"/>
    <mergeCell ref="R52:T54"/>
    <mergeCell ref="W52:Y54"/>
    <mergeCell ref="M23:O25"/>
    <mergeCell ref="W18:Y20"/>
    <mergeCell ref="B62:AY69"/>
    <mergeCell ref="AB18:AD20"/>
    <mergeCell ref="AB57:AD59"/>
    <mergeCell ref="AF57:AF59"/>
    <mergeCell ref="AG57:AI59"/>
    <mergeCell ref="AK57:AK59"/>
    <mergeCell ref="AL57:AN59"/>
    <mergeCell ref="AP57:AP59"/>
    <mergeCell ref="AL52:AN54"/>
    <mergeCell ref="AP52:AP54"/>
    <mergeCell ref="AQ52:AS54"/>
    <mergeCell ref="C57:E59"/>
    <mergeCell ref="H57:J59"/>
    <mergeCell ref="M57:O59"/>
    <mergeCell ref="C52:E54"/>
    <mergeCell ref="H52:J54"/>
    <mergeCell ref="M52:O54"/>
    <mergeCell ref="R18:T20"/>
    <mergeCell ref="M28:O30"/>
    <mergeCell ref="M33:O35"/>
    <mergeCell ref="C28:E30"/>
    <mergeCell ref="R28:T30"/>
    <mergeCell ref="C18:E20"/>
    <mergeCell ref="H43:J45"/>
    <mergeCell ref="C33:E35"/>
    <mergeCell ref="H33:J35"/>
    <mergeCell ref="H28:J30"/>
    <mergeCell ref="H18:J20"/>
    <mergeCell ref="M18:O20"/>
    <mergeCell ref="C23:E25"/>
    <mergeCell ref="H23:J25"/>
    <mergeCell ref="H13:J15"/>
    <mergeCell ref="M13:O15"/>
    <mergeCell ref="R13:T15"/>
    <mergeCell ref="W13:Y15"/>
    <mergeCell ref="B2:AY2"/>
    <mergeCell ref="C4:E4"/>
    <mergeCell ref="H4:J4"/>
    <mergeCell ref="M4:O4"/>
    <mergeCell ref="R4:T4"/>
    <mergeCell ref="W4:Y4"/>
    <mergeCell ref="AB4:AD4"/>
    <mergeCell ref="R8:T10"/>
    <mergeCell ref="H8:J10"/>
    <mergeCell ref="M8:O10"/>
    <mergeCell ref="C8:E10"/>
    <mergeCell ref="C13:E15"/>
  </mergeCells>
  <printOptions horizontalCentered="1"/>
  <pageMargins left="0.23622047244094491" right="0.23622047244094491" top="6.0778985507246377E-2" bottom="0.74803149606299213" header="0.31496062992125984" footer="0.31496062992125984"/>
  <pageSetup paperSize="9" scale="59" orientation="landscape" horizontalDpi="360" verticalDpi="36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E11FB-F043-4068-A999-6A9809BC0DC2}">
  <sheetPr codeName="Diagrama">
    <pageSetUpPr fitToPage="1"/>
  </sheetPr>
  <dimension ref="A1:BB96"/>
  <sheetViews>
    <sheetView showRuler="0" showWhiteSpace="0" view="pageBreakPreview" topLeftCell="B1" zoomScale="115" zoomScaleNormal="115" zoomScaleSheetLayoutView="115" zoomScalePageLayoutView="85" workbookViewId="0">
      <selection activeCell="AV20" sqref="AV20"/>
    </sheetView>
  </sheetViews>
  <sheetFormatPr defaultColWidth="9.140625" defaultRowHeight="15" x14ac:dyDescent="0.25"/>
  <cols>
    <col min="1" max="1" width="1.7109375" style="1" customWidth="1"/>
    <col min="2" max="2" width="2.85546875" style="1" customWidth="1"/>
    <col min="3" max="3" width="4.140625" style="1" customWidth="1"/>
    <col min="4" max="4" width="4" style="1" customWidth="1"/>
    <col min="5" max="5" width="3.7109375" style="1" customWidth="1"/>
    <col min="6" max="6" width="1.28515625" style="1" customWidth="1"/>
    <col min="7" max="7" width="2.42578125" style="1" customWidth="1"/>
    <col min="8" max="8" width="4.42578125" style="1" bestFit="1" customWidth="1"/>
    <col min="9" max="9" width="4.28515625" style="1" customWidth="1"/>
    <col min="10" max="10" width="4.28515625" style="1" bestFit="1" customWidth="1"/>
    <col min="11" max="11" width="1" style="1" customWidth="1"/>
    <col min="12" max="12" width="2.85546875" style="1" customWidth="1"/>
    <col min="13" max="13" width="4.140625" style="1" customWidth="1"/>
    <col min="14" max="14" width="4.7109375" style="1" customWidth="1"/>
    <col min="15" max="15" width="4" style="1" customWidth="1"/>
    <col min="16" max="16" width="1.140625" style="1" customWidth="1"/>
    <col min="17" max="17" width="2.5703125" style="1" customWidth="1"/>
    <col min="18" max="18" width="4.140625" style="1" customWidth="1"/>
    <col min="19" max="19" width="3.85546875" style="1" customWidth="1"/>
    <col min="20" max="20" width="3.42578125" style="1" customWidth="1"/>
    <col min="21" max="21" width="1.28515625" style="1" customWidth="1"/>
    <col min="22" max="22" width="2.85546875" style="1" customWidth="1"/>
    <col min="23" max="23" width="4.140625" style="1" customWidth="1"/>
    <col min="24" max="24" width="4.5703125" style="1" customWidth="1"/>
    <col min="25" max="25" width="3.85546875" style="1" customWidth="1"/>
    <col min="26" max="26" width="1" style="1" customWidth="1"/>
    <col min="27" max="27" width="2.85546875" style="1" customWidth="1"/>
    <col min="28" max="28" width="4.5703125" style="1" bestFit="1" customWidth="1"/>
    <col min="29" max="29" width="3.85546875" style="1" customWidth="1"/>
    <col min="30" max="30" width="4.85546875" style="1" customWidth="1"/>
    <col min="31" max="31" width="0.85546875" style="1" customWidth="1"/>
    <col min="32" max="32" width="2.42578125" style="1" customWidth="1"/>
    <col min="33" max="33" width="4.140625" style="1" customWidth="1"/>
    <col min="34" max="34" width="4" style="1" customWidth="1"/>
    <col min="35" max="35" width="4.85546875" style="1" customWidth="1"/>
    <col min="36" max="36" width="1" style="1" customWidth="1"/>
    <col min="37" max="37" width="2.42578125" style="1" customWidth="1"/>
    <col min="38" max="38" width="4.140625" style="1" customWidth="1"/>
    <col min="39" max="39" width="3.7109375" style="1" customWidth="1"/>
    <col min="40" max="40" width="4.85546875" style="1" customWidth="1"/>
    <col min="41" max="41" width="0.85546875" style="1" customWidth="1"/>
    <col min="42" max="42" width="2.7109375" style="1" customWidth="1"/>
    <col min="43" max="43" width="4.5703125" style="1" customWidth="1"/>
    <col min="44" max="44" width="4" style="1" customWidth="1"/>
    <col min="45" max="45" width="4.85546875" style="1" customWidth="1"/>
    <col min="46" max="46" width="1" style="1" customWidth="1"/>
    <col min="47" max="47" width="2.7109375" style="1" customWidth="1"/>
    <col min="48" max="48" width="4.140625" style="1" customWidth="1"/>
    <col min="49" max="49" width="4.28515625" style="1" customWidth="1"/>
    <col min="50" max="50" width="3.7109375" style="1" customWidth="1"/>
    <col min="51" max="51" width="1.140625" style="1" customWidth="1"/>
    <col min="52" max="52" width="4.5703125" style="42" customWidth="1"/>
    <col min="53" max="53" width="5.85546875" style="1" customWidth="1"/>
    <col min="54" max="16384" width="9.140625" style="1"/>
  </cols>
  <sheetData>
    <row r="1" spans="1:54" ht="3.75" customHeight="1" thickBot="1" x14ac:dyDescent="0.3">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row>
    <row r="2" spans="1:54" s="2" customFormat="1" ht="12.75" customHeight="1" thickBot="1" x14ac:dyDescent="0.25">
      <c r="B2" s="235" t="s">
        <v>0</v>
      </c>
      <c r="C2" s="236"/>
      <c r="D2" s="236"/>
      <c r="E2" s="236"/>
      <c r="F2" s="236"/>
      <c r="G2" s="236"/>
      <c r="H2" s="236"/>
      <c r="I2" s="236"/>
      <c r="J2" s="236"/>
      <c r="K2" s="236"/>
      <c r="L2" s="236"/>
      <c r="M2" s="236"/>
      <c r="N2" s="236"/>
      <c r="O2" s="236"/>
      <c r="P2" s="236"/>
      <c r="Q2" s="236"/>
      <c r="R2" s="236"/>
      <c r="S2" s="236"/>
      <c r="T2" s="236"/>
      <c r="U2" s="236"/>
      <c r="V2" s="236"/>
      <c r="W2" s="236"/>
      <c r="X2" s="236"/>
      <c r="Y2" s="236"/>
      <c r="Z2" s="236"/>
      <c r="AA2" s="236"/>
      <c r="AB2" s="236"/>
      <c r="AC2" s="236"/>
      <c r="AD2" s="236"/>
      <c r="AE2" s="236"/>
      <c r="AF2" s="236"/>
      <c r="AG2" s="236"/>
      <c r="AH2" s="236"/>
      <c r="AI2" s="236"/>
      <c r="AJ2" s="236"/>
      <c r="AK2" s="236"/>
      <c r="AL2" s="236"/>
      <c r="AM2" s="236"/>
      <c r="AN2" s="236"/>
      <c r="AO2" s="236"/>
      <c r="AP2" s="236"/>
      <c r="AQ2" s="236"/>
      <c r="AR2" s="236"/>
      <c r="AS2" s="236"/>
      <c r="AT2" s="236"/>
      <c r="AU2" s="236"/>
      <c r="AV2" s="236"/>
      <c r="AW2" s="236"/>
      <c r="AX2" s="236"/>
      <c r="AY2" s="237"/>
      <c r="AZ2" s="44"/>
    </row>
    <row r="3" spans="1:54" s="2" customFormat="1" ht="3.75" customHeight="1" x14ac:dyDescent="0.2">
      <c r="B3" s="148"/>
      <c r="C3" s="16"/>
      <c r="D3" s="16"/>
      <c r="E3" s="16"/>
      <c r="F3" s="16"/>
      <c r="G3" s="16"/>
      <c r="H3" s="17"/>
      <c r="I3" s="17"/>
      <c r="J3" s="17"/>
      <c r="K3" s="16"/>
      <c r="L3" s="16"/>
      <c r="M3" s="17"/>
      <c r="N3" s="17"/>
      <c r="O3" s="17"/>
      <c r="P3" s="16"/>
      <c r="Q3" s="16"/>
      <c r="R3" s="17"/>
      <c r="S3" s="17"/>
      <c r="T3" s="17"/>
      <c r="U3" s="16"/>
      <c r="V3" s="16"/>
      <c r="W3" s="17"/>
      <c r="X3" s="17"/>
      <c r="Y3" s="17"/>
      <c r="Z3" s="16"/>
      <c r="AA3" s="16"/>
      <c r="AB3" s="17"/>
      <c r="AC3" s="17"/>
      <c r="AD3" s="17"/>
      <c r="AE3" s="16"/>
      <c r="AF3" s="16"/>
      <c r="AG3" s="17"/>
      <c r="AH3" s="17"/>
      <c r="AI3" s="17"/>
      <c r="AJ3" s="16"/>
      <c r="AK3" s="16"/>
      <c r="AL3" s="17"/>
      <c r="AM3" s="17"/>
      <c r="AN3" s="16"/>
      <c r="AO3" s="16"/>
      <c r="AP3" s="16"/>
      <c r="AQ3" s="17"/>
      <c r="AR3" s="17"/>
      <c r="AS3" s="17"/>
      <c r="AT3" s="16"/>
      <c r="AU3" s="16"/>
      <c r="AV3" s="17"/>
      <c r="AW3" s="17"/>
      <c r="AX3" s="16"/>
      <c r="AY3" s="33"/>
      <c r="AZ3" s="44"/>
    </row>
    <row r="4" spans="1:54" s="3" customFormat="1" ht="12.75" x14ac:dyDescent="0.2">
      <c r="B4" s="18"/>
      <c r="C4" s="238" t="s">
        <v>1</v>
      </c>
      <c r="D4" s="239"/>
      <c r="E4" s="240"/>
      <c r="F4" s="49"/>
      <c r="G4" s="49"/>
      <c r="H4" s="238" t="s">
        <v>2</v>
      </c>
      <c r="I4" s="239"/>
      <c r="J4" s="240"/>
      <c r="K4" s="49"/>
      <c r="L4" s="49"/>
      <c r="M4" s="238" t="s">
        <v>3</v>
      </c>
      <c r="N4" s="239"/>
      <c r="O4" s="240"/>
      <c r="P4" s="49"/>
      <c r="Q4" s="49"/>
      <c r="R4" s="238" t="s">
        <v>4</v>
      </c>
      <c r="S4" s="239"/>
      <c r="T4" s="240"/>
      <c r="U4" s="49"/>
      <c r="V4" s="49"/>
      <c r="W4" s="238" t="s">
        <v>5</v>
      </c>
      <c r="X4" s="239"/>
      <c r="Y4" s="240"/>
      <c r="Z4" s="49"/>
      <c r="AA4" s="49"/>
      <c r="AB4" s="238" t="s">
        <v>6</v>
      </c>
      <c r="AC4" s="239"/>
      <c r="AD4" s="240"/>
      <c r="AE4" s="49"/>
      <c r="AF4" s="49"/>
      <c r="AG4" s="238" t="s">
        <v>7</v>
      </c>
      <c r="AH4" s="239"/>
      <c r="AI4" s="240"/>
      <c r="AJ4" s="49"/>
      <c r="AK4" s="49"/>
      <c r="AL4" s="238" t="s">
        <v>8</v>
      </c>
      <c r="AM4" s="239"/>
      <c r="AN4" s="240"/>
      <c r="AO4" s="49"/>
      <c r="AP4" s="49"/>
      <c r="AQ4" s="238" t="s">
        <v>9</v>
      </c>
      <c r="AR4" s="239"/>
      <c r="AS4" s="240"/>
      <c r="AT4" s="49"/>
      <c r="AU4" s="49"/>
      <c r="AV4" s="238" t="s">
        <v>10</v>
      </c>
      <c r="AW4" s="239"/>
      <c r="AX4" s="240"/>
      <c r="AY4" s="34"/>
      <c r="AZ4" s="45" t="s">
        <v>11</v>
      </c>
      <c r="BA4" s="46">
        <f>SUM(E16,AD41,J21,E26,E31,E36,E41,J46,J11,J16,J31,O36,J41,O11,O16,O26,O21,O31,T41,Y31,O46,T46,AD31,T36,T31,T26,T21,T16,T11,J26,Y21,Y26,AN11,J36,Y36,Y41,E21,Y11,AD11,AD36,AI16,O41,AD26,AD21,AD16,AI21,AI26,AN31,AI36,AN36,AI31,AS16,AS21,AS26,AS31,AX11,AN21,AN26)</f>
        <v>3220</v>
      </c>
    </row>
    <row r="5" spans="1:54" s="3" customFormat="1" ht="12.75" x14ac:dyDescent="0.2">
      <c r="B5" s="18"/>
      <c r="C5" s="4" t="s">
        <v>12</v>
      </c>
      <c r="D5" s="4" t="s">
        <v>13</v>
      </c>
      <c r="E5" s="4" t="s">
        <v>11</v>
      </c>
      <c r="F5" s="49"/>
      <c r="G5" s="49"/>
      <c r="H5" s="4" t="s">
        <v>12</v>
      </c>
      <c r="I5" s="4" t="s">
        <v>13</v>
      </c>
      <c r="J5" s="4" t="s">
        <v>11</v>
      </c>
      <c r="K5" s="49"/>
      <c r="L5" s="49"/>
      <c r="M5" s="4" t="s">
        <v>12</v>
      </c>
      <c r="N5" s="4" t="s">
        <v>13</v>
      </c>
      <c r="O5" s="4" t="s">
        <v>11</v>
      </c>
      <c r="P5" s="49"/>
      <c r="Q5" s="49"/>
      <c r="R5" s="4" t="s">
        <v>12</v>
      </c>
      <c r="S5" s="4" t="s">
        <v>13</v>
      </c>
      <c r="T5" s="4" t="s">
        <v>11</v>
      </c>
      <c r="U5" s="49"/>
      <c r="V5" s="49"/>
      <c r="W5" s="4" t="s">
        <v>12</v>
      </c>
      <c r="X5" s="4" t="s">
        <v>13</v>
      </c>
      <c r="Y5" s="4" t="s">
        <v>11</v>
      </c>
      <c r="Z5" s="49"/>
      <c r="AA5" s="49"/>
      <c r="AB5" s="4" t="s">
        <v>12</v>
      </c>
      <c r="AC5" s="4" t="s">
        <v>13</v>
      </c>
      <c r="AD5" s="4" t="s">
        <v>11</v>
      </c>
      <c r="AE5" s="49"/>
      <c r="AF5" s="49"/>
      <c r="AG5" s="4" t="s">
        <v>12</v>
      </c>
      <c r="AH5" s="4" t="s">
        <v>13</v>
      </c>
      <c r="AI5" s="4" t="s">
        <v>11</v>
      </c>
      <c r="AJ5" s="49"/>
      <c r="AK5" s="49"/>
      <c r="AL5" s="4" t="s">
        <v>12</v>
      </c>
      <c r="AM5" s="4" t="s">
        <v>13</v>
      </c>
      <c r="AN5" s="4" t="s">
        <v>11</v>
      </c>
      <c r="AO5" s="49"/>
      <c r="AP5" s="49"/>
      <c r="AQ5" s="4" t="s">
        <v>12</v>
      </c>
      <c r="AR5" s="4" t="s">
        <v>13</v>
      </c>
      <c r="AS5" s="4" t="s">
        <v>11</v>
      </c>
      <c r="AT5" s="49"/>
      <c r="AU5" s="49"/>
      <c r="AV5" s="4" t="s">
        <v>12</v>
      </c>
      <c r="AW5" s="4" t="s">
        <v>13</v>
      </c>
      <c r="AX5" s="4" t="s">
        <v>11</v>
      </c>
      <c r="AY5" s="34"/>
      <c r="AZ5" s="45" t="s">
        <v>14</v>
      </c>
      <c r="BA5" s="46">
        <v>80</v>
      </c>
    </row>
    <row r="6" spans="1:54" s="3" customFormat="1" ht="15" customHeight="1" x14ac:dyDescent="0.2">
      <c r="A6" s="69" t="s">
        <v>15</v>
      </c>
      <c r="B6" s="18"/>
      <c r="C6" s="68">
        <f>SUM(C11,C16,C21,C26,C31,C36,C41,C46)</f>
        <v>330</v>
      </c>
      <c r="D6" s="68">
        <f t="shared" ref="D6" si="0">SUM(D11,D16,D21,D26,D31,D36,D41,D46)</f>
        <v>90</v>
      </c>
      <c r="E6" s="68">
        <f>SUM(E11,E16,E21,E26,E31,E36,E41,E46)</f>
        <v>420</v>
      </c>
      <c r="F6" s="49"/>
      <c r="G6" s="49"/>
      <c r="H6" s="68">
        <f>SUM(H11,H16,H21,H26,H31,H36,H41,H46)</f>
        <v>315</v>
      </c>
      <c r="I6" s="68">
        <f t="shared" ref="I6" si="1">SUM(I11,I16,I21,I26,I31,I36,I41,I46)</f>
        <v>105</v>
      </c>
      <c r="J6" s="68">
        <f>SUM(J11,J16,J21,J26,J31,J36,J41,J46)</f>
        <v>420</v>
      </c>
      <c r="K6" s="49"/>
      <c r="L6" s="49"/>
      <c r="M6" s="68">
        <f>SUM(M11,M16,M21,M26,M31,M36,M41,M46)</f>
        <v>330</v>
      </c>
      <c r="N6" s="68">
        <f t="shared" ref="N6" si="2">SUM(N11,N16,N21,N26,N31,N36,N41,N46)</f>
        <v>90</v>
      </c>
      <c r="O6" s="68">
        <f>SUM(O11,O16,O21,O26,O31,O36,O41,O46)</f>
        <v>420</v>
      </c>
      <c r="P6" s="49"/>
      <c r="Q6" s="49"/>
      <c r="R6" s="68">
        <f>SUM(R11,R16,R21,R26,R31,R36,R41,R46)</f>
        <v>285</v>
      </c>
      <c r="S6" s="68">
        <f t="shared" ref="S6" si="3">SUM(S11,S16,S21,S26,S31,S36,S41,S46)</f>
        <v>120</v>
      </c>
      <c r="T6" s="68">
        <f>SUM(T11,T16,T21,T26,T31,T36,T41,T46)</f>
        <v>405</v>
      </c>
      <c r="U6" s="49"/>
      <c r="V6" s="49"/>
      <c r="W6" s="68">
        <f>SUM(W11,W16,W21,W26,W31,W36,W41,W46)</f>
        <v>270</v>
      </c>
      <c r="X6" s="68">
        <f t="shared" ref="X6" si="4">SUM(X11,X16,X21,X26,X31,X36,X41,X46)</f>
        <v>150</v>
      </c>
      <c r="Y6" s="68">
        <f>SUM(Y11,Y16,Y21,Y26,Y31,Y36,Y41,Y46)</f>
        <v>420</v>
      </c>
      <c r="Z6" s="49"/>
      <c r="AA6" s="49"/>
      <c r="AB6" s="68">
        <f>SUM(AB11,AB16,AB21,AB26,AB31,AB36,AB41,AB46)</f>
        <v>210</v>
      </c>
      <c r="AC6" s="68">
        <f t="shared" ref="AC6" si="5">SUM(AC11,AC16,AC21,AC26,AC31,AC36,AC41,AC46)</f>
        <v>165</v>
      </c>
      <c r="AD6" s="68">
        <f>SUM(AD11,AD16,AD21,AD26,AD31,AD36,AD41,AD46)</f>
        <v>375</v>
      </c>
      <c r="AE6" s="49"/>
      <c r="AF6" s="49"/>
      <c r="AG6" s="68">
        <f>SUM(AG11,AG16,AG21,AG26,AG31,AG36,AG41,AG46)</f>
        <v>195</v>
      </c>
      <c r="AH6" s="68">
        <f t="shared" ref="AH6" si="6">SUM(AH11,AH16,AH21,AH26,AH31,AH36,AH41,AH46)</f>
        <v>210</v>
      </c>
      <c r="AI6" s="68">
        <f>SUM(AI11,AI16,AI21,AI26,AI31,AI36,AI41,AI46)</f>
        <v>405</v>
      </c>
      <c r="AJ6" s="49"/>
      <c r="AK6" s="49"/>
      <c r="AL6" s="68">
        <f>SUM(AL11,AL16,AL21,AL26,AL31,AL36,AL41,AL46)</f>
        <v>210</v>
      </c>
      <c r="AM6" s="68">
        <f t="shared" ref="AM6" si="7">SUM(AM11,AM16,AM21,AM26,AM31,AM36,AM41,AM46)</f>
        <v>180</v>
      </c>
      <c r="AN6" s="68">
        <f>SUM(AN11,AN16,AN21,AN26,AN31,AN36,AN41,AN46)</f>
        <v>390</v>
      </c>
      <c r="AO6" s="49"/>
      <c r="AP6" s="49"/>
      <c r="AQ6" s="68">
        <f>SUM(AQ11,AQ16,AQ21,AQ26,AQ31,AQ36,AQ41,AQ46)</f>
        <v>90</v>
      </c>
      <c r="AR6" s="68">
        <f t="shared" ref="AR6" si="8">SUM(AR11,AR16,AR21,AR26,AR31,AR36,AR41,AR46)</f>
        <v>90</v>
      </c>
      <c r="AS6" s="68">
        <f>SUM(AS11,AS16,AS21,AS26,AS31,AS36,AS41,AS46)</f>
        <v>180</v>
      </c>
      <c r="AT6" s="49"/>
      <c r="AU6" s="49"/>
      <c r="AV6" s="68">
        <f>SUM(AV11,AV16,AV21,AV26,AV31,AV36,AV41,AV46)</f>
        <v>0</v>
      </c>
      <c r="AW6" s="68">
        <f t="shared" ref="AW6" si="9">SUM(AW11,AW16,AW21,AW26,AW31,AW36,AW41,AW46)</f>
        <v>160</v>
      </c>
      <c r="AX6" s="68">
        <f>SUM(AX11,AX16,AX21,AX26,AX31,AX36,AX41,AX46)</f>
        <v>160</v>
      </c>
      <c r="AY6" s="34"/>
      <c r="AZ6" s="45"/>
      <c r="BA6" s="46"/>
    </row>
    <row r="7" spans="1:54" ht="10.5" customHeight="1" x14ac:dyDescent="0.25">
      <c r="B7" s="19"/>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22"/>
      <c r="AZ7" s="45"/>
      <c r="BA7" s="46"/>
    </row>
    <row r="8" spans="1:54" ht="15" customHeight="1" thickBot="1" x14ac:dyDescent="0.3">
      <c r="B8" s="19"/>
      <c r="C8" s="259" t="s">
        <v>16</v>
      </c>
      <c r="D8" s="260"/>
      <c r="E8" s="261"/>
      <c r="F8" s="7"/>
      <c r="G8" s="7"/>
      <c r="H8" s="259" t="s">
        <v>17</v>
      </c>
      <c r="I8" s="260"/>
      <c r="J8" s="261"/>
      <c r="K8" s="7"/>
      <c r="L8" s="59"/>
      <c r="M8" s="259" t="s">
        <v>18</v>
      </c>
      <c r="N8" s="260"/>
      <c r="O8" s="261"/>
      <c r="P8" s="7"/>
      <c r="Q8" s="60" t="str">
        <f>LEFT(R18,2)</f>
        <v>26</v>
      </c>
      <c r="R8" s="278" t="s">
        <v>19</v>
      </c>
      <c r="S8" s="278"/>
      <c r="T8" s="278"/>
      <c r="U8" s="7"/>
      <c r="V8" s="59"/>
      <c r="W8" s="259" t="s">
        <v>20</v>
      </c>
      <c r="X8" s="260"/>
      <c r="Y8" s="261"/>
      <c r="Z8" s="7"/>
      <c r="AA8" s="50"/>
      <c r="AB8" s="259" t="s">
        <v>21</v>
      </c>
      <c r="AC8" s="260"/>
      <c r="AD8" s="261"/>
      <c r="AE8" s="7"/>
      <c r="AF8" s="62"/>
      <c r="AG8" s="259" t="s">
        <v>22</v>
      </c>
      <c r="AH8" s="260"/>
      <c r="AI8" s="261"/>
      <c r="AJ8" s="7"/>
      <c r="AK8" s="58" t="str">
        <f>LEFT(AB8,2)</f>
        <v>39</v>
      </c>
      <c r="AL8" s="259" t="s">
        <v>23</v>
      </c>
      <c r="AM8" s="260"/>
      <c r="AN8" s="261"/>
      <c r="AO8" s="7"/>
      <c r="AP8" s="50"/>
      <c r="AQ8" s="259" t="s">
        <v>24</v>
      </c>
      <c r="AR8" s="260"/>
      <c r="AS8" s="261"/>
      <c r="AT8" s="7"/>
      <c r="AU8" s="309" t="s">
        <v>25</v>
      </c>
      <c r="AV8" s="278" t="s">
        <v>26</v>
      </c>
      <c r="AW8" s="278"/>
      <c r="AX8" s="278"/>
      <c r="AY8" s="22"/>
      <c r="AZ8" s="45" t="s">
        <v>27</v>
      </c>
      <c r="BA8" s="46">
        <v>75</v>
      </c>
    </row>
    <row r="9" spans="1:54" ht="15.75" thickTop="1" x14ac:dyDescent="0.25">
      <c r="B9" s="19"/>
      <c r="C9" s="262"/>
      <c r="D9" s="263"/>
      <c r="E9" s="264"/>
      <c r="F9" s="7"/>
      <c r="G9" s="7"/>
      <c r="H9" s="262"/>
      <c r="I9" s="263"/>
      <c r="J9" s="264"/>
      <c r="K9" s="7"/>
      <c r="L9" s="59"/>
      <c r="M9" s="262"/>
      <c r="N9" s="263"/>
      <c r="O9" s="264"/>
      <c r="P9" s="7"/>
      <c r="Q9" s="58" t="str">
        <f>LEFT(M13,2)</f>
        <v>17</v>
      </c>
      <c r="R9" s="278"/>
      <c r="S9" s="278"/>
      <c r="T9" s="278"/>
      <c r="U9" s="7"/>
      <c r="V9" s="59"/>
      <c r="W9" s="262"/>
      <c r="X9" s="263"/>
      <c r="Y9" s="264"/>
      <c r="Z9" s="7"/>
      <c r="AA9" s="50"/>
      <c r="AB9" s="262"/>
      <c r="AC9" s="263"/>
      <c r="AD9" s="264"/>
      <c r="AE9" s="7"/>
      <c r="AF9" s="62"/>
      <c r="AG9" s="262"/>
      <c r="AH9" s="263"/>
      <c r="AI9" s="264"/>
      <c r="AJ9" s="7"/>
      <c r="AK9" s="7"/>
      <c r="AL9" s="262"/>
      <c r="AM9" s="263"/>
      <c r="AN9" s="264"/>
      <c r="AO9" s="7"/>
      <c r="AP9" s="50"/>
      <c r="AQ9" s="262"/>
      <c r="AR9" s="263"/>
      <c r="AS9" s="264"/>
      <c r="AT9" s="7"/>
      <c r="AU9" s="309"/>
      <c r="AV9" s="278"/>
      <c r="AW9" s="278"/>
      <c r="AX9" s="278"/>
      <c r="AY9" s="22"/>
      <c r="AZ9" s="45" t="s">
        <v>28</v>
      </c>
      <c r="BA9" s="46">
        <f>SUM(E11,Y16,AS11,AI11,AN16)</f>
        <v>375</v>
      </c>
    </row>
    <row r="10" spans="1:54" ht="14.25" customHeight="1" x14ac:dyDescent="0.25">
      <c r="B10" s="19"/>
      <c r="C10" s="265"/>
      <c r="D10" s="266"/>
      <c r="E10" s="267"/>
      <c r="F10" s="7"/>
      <c r="G10" s="58" t="str">
        <f>LEFT(C13,2)</f>
        <v xml:space="preserve">2 </v>
      </c>
      <c r="H10" s="265"/>
      <c r="I10" s="266"/>
      <c r="J10" s="267"/>
      <c r="K10" s="7"/>
      <c r="L10" s="58" t="str">
        <f>LEFT(H8,2)</f>
        <v xml:space="preserve">8 </v>
      </c>
      <c r="M10" s="265"/>
      <c r="N10" s="266"/>
      <c r="O10" s="267"/>
      <c r="P10" s="7"/>
      <c r="Q10" s="50"/>
      <c r="R10" s="278"/>
      <c r="S10" s="278"/>
      <c r="T10" s="278"/>
      <c r="U10" s="7"/>
      <c r="V10" s="59"/>
      <c r="W10" s="265"/>
      <c r="X10" s="266"/>
      <c r="Y10" s="267"/>
      <c r="Z10" s="7"/>
      <c r="AA10" s="58" t="str">
        <f>LEFT(M28,2)</f>
        <v>20</v>
      </c>
      <c r="AB10" s="265"/>
      <c r="AC10" s="266"/>
      <c r="AD10" s="267"/>
      <c r="AE10" s="7"/>
      <c r="AF10" s="62"/>
      <c r="AG10" s="265"/>
      <c r="AH10" s="266"/>
      <c r="AI10" s="267"/>
      <c r="AJ10" s="7"/>
      <c r="AK10" s="58" t="str">
        <f>LEFT(AG13,2)</f>
        <v>47</v>
      </c>
      <c r="AL10" s="265"/>
      <c r="AM10" s="266"/>
      <c r="AN10" s="267"/>
      <c r="AO10" s="7"/>
      <c r="AP10" s="50"/>
      <c r="AQ10" s="265"/>
      <c r="AR10" s="266"/>
      <c r="AS10" s="267"/>
      <c r="AT10" s="7"/>
      <c r="AU10" s="310"/>
      <c r="AV10" s="278"/>
      <c r="AW10" s="278"/>
      <c r="AX10" s="278"/>
      <c r="AY10" s="22"/>
      <c r="AZ10" s="45" t="s">
        <v>29</v>
      </c>
      <c r="BA10" s="46">
        <f>SUM(BA4:BA8)</f>
        <v>3375</v>
      </c>
      <c r="BB10" s="75">
        <f>BA11-BA10</f>
        <v>375</v>
      </c>
    </row>
    <row r="11" spans="1:54" ht="12" customHeight="1" x14ac:dyDescent="0.25">
      <c r="B11" s="19"/>
      <c r="C11" s="6">
        <v>0</v>
      </c>
      <c r="D11" s="6">
        <v>60</v>
      </c>
      <c r="E11" s="6">
        <f>C11+D11</f>
        <v>60</v>
      </c>
      <c r="F11" s="7"/>
      <c r="G11" s="7"/>
      <c r="H11" s="6">
        <v>90</v>
      </c>
      <c r="I11" s="6">
        <v>0</v>
      </c>
      <c r="J11" s="6">
        <f>H11+I11</f>
        <v>90</v>
      </c>
      <c r="K11" s="7"/>
      <c r="L11" s="59"/>
      <c r="M11" s="6">
        <v>90</v>
      </c>
      <c r="N11" s="6">
        <v>0</v>
      </c>
      <c r="O11" s="6">
        <f>M11+N11</f>
        <v>90</v>
      </c>
      <c r="P11" s="7"/>
      <c r="Q11" s="59"/>
      <c r="R11" s="6">
        <v>60</v>
      </c>
      <c r="S11" s="6">
        <v>0</v>
      </c>
      <c r="T11" s="6">
        <f>R11+S11</f>
        <v>60</v>
      </c>
      <c r="U11" s="7"/>
      <c r="V11" s="59"/>
      <c r="W11" s="6">
        <v>45</v>
      </c>
      <c r="X11" s="6">
        <v>0</v>
      </c>
      <c r="Y11" s="6">
        <f>W11+X11</f>
        <v>45</v>
      </c>
      <c r="Z11" s="7"/>
      <c r="AA11" s="59"/>
      <c r="AB11" s="6">
        <v>60</v>
      </c>
      <c r="AC11" s="6">
        <v>15</v>
      </c>
      <c r="AD11" s="6">
        <f>AB11+AC11</f>
        <v>75</v>
      </c>
      <c r="AE11" s="7"/>
      <c r="AF11" s="62"/>
      <c r="AG11" s="6">
        <v>0</v>
      </c>
      <c r="AH11" s="6">
        <v>90</v>
      </c>
      <c r="AI11" s="6">
        <f>AG11+AH11</f>
        <v>90</v>
      </c>
      <c r="AJ11" s="7"/>
      <c r="AK11" s="59"/>
      <c r="AL11" s="6">
        <v>45</v>
      </c>
      <c r="AM11" s="6">
        <v>15</v>
      </c>
      <c r="AN11" s="6">
        <f>AL11+AM11</f>
        <v>60</v>
      </c>
      <c r="AO11" s="7"/>
      <c r="AP11" s="50"/>
      <c r="AQ11" s="6">
        <v>0</v>
      </c>
      <c r="AR11" s="6">
        <v>60</v>
      </c>
      <c r="AS11" s="6">
        <f>AQ11+AR11</f>
        <v>60</v>
      </c>
      <c r="AT11" s="7"/>
      <c r="AU11" s="7"/>
      <c r="AV11" s="6">
        <v>0</v>
      </c>
      <c r="AW11" s="6">
        <v>160</v>
      </c>
      <c r="AX11" s="6">
        <v>160</v>
      </c>
      <c r="AY11" s="22"/>
      <c r="AZ11" s="45" t="s">
        <v>30</v>
      </c>
      <c r="BA11" s="48">
        <f>BA10/0.9</f>
        <v>3750</v>
      </c>
      <c r="BB11" s="74" t="s">
        <v>31</v>
      </c>
    </row>
    <row r="12" spans="1:54" ht="5.25" customHeight="1" x14ac:dyDescent="0.25">
      <c r="B12" s="19"/>
      <c r="C12" s="7"/>
      <c r="D12" s="7"/>
      <c r="E12" s="7"/>
      <c r="F12" s="7"/>
      <c r="G12" s="7"/>
      <c r="H12" s="7"/>
      <c r="I12" s="7"/>
      <c r="J12" s="7"/>
      <c r="K12" s="7"/>
      <c r="L12" s="59"/>
      <c r="M12" s="7"/>
      <c r="N12" s="7"/>
      <c r="O12" s="7"/>
      <c r="P12" s="7"/>
      <c r="Q12" s="59"/>
      <c r="R12" s="7"/>
      <c r="S12" s="7"/>
      <c r="T12" s="7"/>
      <c r="U12" s="7"/>
      <c r="V12" s="7"/>
      <c r="W12" s="7"/>
      <c r="X12" s="7"/>
      <c r="Y12" s="7"/>
      <c r="Z12" s="7"/>
      <c r="AA12" s="7"/>
      <c r="AB12" s="7"/>
      <c r="AC12" s="7"/>
      <c r="AD12" s="7"/>
      <c r="AE12" s="7"/>
      <c r="AF12" s="7"/>
      <c r="AG12" s="7"/>
      <c r="AH12" s="7"/>
      <c r="AI12" s="7"/>
      <c r="AJ12" s="7"/>
      <c r="AK12" s="62"/>
      <c r="AL12" s="50"/>
      <c r="AM12" s="50"/>
      <c r="AN12" s="50"/>
      <c r="AO12" s="7"/>
      <c r="AP12" s="51"/>
      <c r="AQ12" s="51"/>
      <c r="AR12" s="51"/>
      <c r="AS12" s="51"/>
      <c r="AT12" s="7"/>
      <c r="AU12" s="7"/>
      <c r="AV12" s="7"/>
      <c r="AW12" s="7"/>
      <c r="AX12" s="7"/>
      <c r="AY12" s="22"/>
    </row>
    <row r="13" spans="1:54" ht="15" customHeight="1" thickBot="1" x14ac:dyDescent="0.3">
      <c r="B13" s="19"/>
      <c r="C13" s="278" t="s">
        <v>32</v>
      </c>
      <c r="D13" s="278"/>
      <c r="E13" s="278"/>
      <c r="F13" s="7"/>
      <c r="G13" s="7"/>
      <c r="H13" s="259" t="s">
        <v>33</v>
      </c>
      <c r="I13" s="260"/>
      <c r="J13" s="261"/>
      <c r="K13" s="7"/>
      <c r="L13" s="59"/>
      <c r="M13" s="259" t="s">
        <v>34</v>
      </c>
      <c r="N13" s="260"/>
      <c r="O13" s="261"/>
      <c r="P13" s="7"/>
      <c r="Q13" s="60" t="str">
        <f>LEFT(R23,2)</f>
        <v>27</v>
      </c>
      <c r="R13" s="278" t="s">
        <v>35</v>
      </c>
      <c r="S13" s="278"/>
      <c r="T13" s="278"/>
      <c r="U13" s="7"/>
      <c r="V13" s="62"/>
      <c r="W13" s="259" t="s">
        <v>36</v>
      </c>
      <c r="X13" s="260"/>
      <c r="Y13" s="261"/>
      <c r="Z13" s="7"/>
      <c r="AA13" s="60" t="str">
        <f>LEFT(AB23,2)</f>
        <v>42</v>
      </c>
      <c r="AB13" s="259" t="s">
        <v>37</v>
      </c>
      <c r="AC13" s="260"/>
      <c r="AD13" s="261"/>
      <c r="AE13" s="7"/>
      <c r="AF13" s="59"/>
      <c r="AG13" s="259" t="s">
        <v>38</v>
      </c>
      <c r="AH13" s="260"/>
      <c r="AI13" s="261"/>
      <c r="AJ13" s="7"/>
      <c r="AK13" s="62"/>
      <c r="AL13" s="259" t="s">
        <v>39</v>
      </c>
      <c r="AM13" s="260"/>
      <c r="AN13" s="261"/>
      <c r="AO13" s="7"/>
      <c r="AP13" s="309" t="s">
        <v>40</v>
      </c>
      <c r="AQ13" s="259" t="s">
        <v>41</v>
      </c>
      <c r="AR13" s="260"/>
      <c r="AS13" s="261"/>
      <c r="AT13" s="7"/>
      <c r="AU13" s="7"/>
      <c r="AV13" s="7"/>
      <c r="AW13" s="7"/>
      <c r="AX13" s="7"/>
      <c r="AY13" s="29"/>
      <c r="AZ13" s="42" t="s">
        <v>30</v>
      </c>
      <c r="BA13" s="96">
        <f>SUM(BA9:BA10)</f>
        <v>3750</v>
      </c>
      <c r="BB13" s="74" t="s">
        <v>42</v>
      </c>
    </row>
    <row r="14" spans="1:54" ht="16.5" thickTop="1" thickBot="1" x14ac:dyDescent="0.3">
      <c r="B14" s="19"/>
      <c r="C14" s="278"/>
      <c r="D14" s="278"/>
      <c r="E14" s="278"/>
      <c r="F14" s="7"/>
      <c r="G14" s="7"/>
      <c r="H14" s="262"/>
      <c r="I14" s="263"/>
      <c r="J14" s="264"/>
      <c r="K14" s="7"/>
      <c r="L14" s="60" t="str">
        <f>LEFT(M18,2)</f>
        <v>18</v>
      </c>
      <c r="M14" s="262"/>
      <c r="N14" s="263"/>
      <c r="O14" s="264"/>
      <c r="P14" s="7"/>
      <c r="Q14" s="58" t="str">
        <f>LEFT(M13,2)</f>
        <v>17</v>
      </c>
      <c r="R14" s="278"/>
      <c r="S14" s="278"/>
      <c r="T14" s="278"/>
      <c r="U14" s="7"/>
      <c r="V14" s="62"/>
      <c r="W14" s="262"/>
      <c r="X14" s="263"/>
      <c r="Y14" s="264"/>
      <c r="Z14" s="7"/>
      <c r="AA14" s="58" t="str">
        <f>LEFT(R8,2)</f>
        <v>24</v>
      </c>
      <c r="AB14" s="262"/>
      <c r="AC14" s="263"/>
      <c r="AD14" s="264"/>
      <c r="AE14" s="7"/>
      <c r="AF14" s="58" t="str">
        <f>LEFT(M13,2)</f>
        <v>17</v>
      </c>
      <c r="AG14" s="262"/>
      <c r="AH14" s="263"/>
      <c r="AI14" s="264"/>
      <c r="AJ14" s="7"/>
      <c r="AK14" s="62"/>
      <c r="AL14" s="262"/>
      <c r="AM14" s="263"/>
      <c r="AN14" s="264"/>
      <c r="AO14" s="7"/>
      <c r="AP14" s="309"/>
      <c r="AQ14" s="262"/>
      <c r="AR14" s="263"/>
      <c r="AS14" s="264"/>
      <c r="AT14" s="7"/>
      <c r="AU14" s="7"/>
      <c r="AV14" s="7"/>
      <c r="AW14" s="7"/>
      <c r="AX14" s="7"/>
      <c r="AY14" s="29"/>
    </row>
    <row r="15" spans="1:54" ht="14.25" customHeight="1" thickTop="1" thickBot="1" x14ac:dyDescent="0.3">
      <c r="B15" s="19"/>
      <c r="C15" s="278"/>
      <c r="D15" s="278"/>
      <c r="E15" s="278"/>
      <c r="F15" s="7"/>
      <c r="G15" s="60" t="str">
        <f>LEFT(H28,2)</f>
        <v>12</v>
      </c>
      <c r="H15" s="265"/>
      <c r="I15" s="266"/>
      <c r="J15" s="267"/>
      <c r="K15" s="7"/>
      <c r="L15" s="61" t="str">
        <f>LEFT(H8,2)</f>
        <v xml:space="preserve">8 </v>
      </c>
      <c r="M15" s="265"/>
      <c r="N15" s="266"/>
      <c r="O15" s="267"/>
      <c r="P15" s="7"/>
      <c r="Q15" s="50"/>
      <c r="R15" s="278"/>
      <c r="S15" s="278"/>
      <c r="T15" s="278"/>
      <c r="U15" s="7"/>
      <c r="V15" s="62"/>
      <c r="W15" s="265"/>
      <c r="X15" s="266"/>
      <c r="Y15" s="267"/>
      <c r="Z15" s="7"/>
      <c r="AA15" s="50"/>
      <c r="AB15" s="265"/>
      <c r="AC15" s="266"/>
      <c r="AD15" s="267"/>
      <c r="AE15" s="7"/>
      <c r="AF15" s="58" t="str">
        <f>LEFT(R13,2)</f>
        <v>25</v>
      </c>
      <c r="AG15" s="265"/>
      <c r="AH15" s="266"/>
      <c r="AI15" s="267"/>
      <c r="AJ15" s="7"/>
      <c r="AK15" s="62"/>
      <c r="AL15" s="265"/>
      <c r="AM15" s="266"/>
      <c r="AN15" s="267"/>
      <c r="AO15" s="7"/>
      <c r="AP15" s="310"/>
      <c r="AQ15" s="265"/>
      <c r="AR15" s="266"/>
      <c r="AS15" s="267"/>
      <c r="AT15" s="7"/>
      <c r="AU15" s="7"/>
      <c r="AV15" s="7"/>
      <c r="AW15" s="7"/>
      <c r="AX15" s="7"/>
      <c r="AY15" s="29"/>
    </row>
    <row r="16" spans="1:54" ht="12" customHeight="1" thickTop="1" x14ac:dyDescent="0.25">
      <c r="B16" s="19"/>
      <c r="C16" s="6">
        <v>90</v>
      </c>
      <c r="D16" s="6">
        <v>0</v>
      </c>
      <c r="E16" s="6">
        <f>C16+D16</f>
        <v>90</v>
      </c>
      <c r="F16" s="7"/>
      <c r="G16" s="7"/>
      <c r="H16" s="6">
        <v>0</v>
      </c>
      <c r="I16" s="6">
        <v>30</v>
      </c>
      <c r="J16" s="6">
        <f>H16+I16</f>
        <v>30</v>
      </c>
      <c r="K16" s="7"/>
      <c r="L16" s="59"/>
      <c r="M16" s="6">
        <v>75</v>
      </c>
      <c r="N16" s="6">
        <v>0</v>
      </c>
      <c r="O16" s="6">
        <f>M16+N16</f>
        <v>75</v>
      </c>
      <c r="P16" s="7"/>
      <c r="Q16" s="59"/>
      <c r="R16" s="6">
        <v>60</v>
      </c>
      <c r="S16" s="6">
        <v>0</v>
      </c>
      <c r="T16" s="6">
        <f>R16+S16</f>
        <v>60</v>
      </c>
      <c r="U16" s="7"/>
      <c r="V16" s="62"/>
      <c r="W16" s="6">
        <v>0</v>
      </c>
      <c r="X16" s="6">
        <v>75</v>
      </c>
      <c r="Y16" s="6">
        <f>W16+X16</f>
        <v>75</v>
      </c>
      <c r="Z16" s="7"/>
      <c r="AA16" s="59"/>
      <c r="AB16" s="6">
        <v>0</v>
      </c>
      <c r="AC16" s="6">
        <v>30</v>
      </c>
      <c r="AD16" s="6">
        <f>AB16+AC16</f>
        <v>30</v>
      </c>
      <c r="AE16" s="7"/>
      <c r="AF16" s="59"/>
      <c r="AG16" s="6">
        <v>45</v>
      </c>
      <c r="AH16" s="6">
        <v>15</v>
      </c>
      <c r="AI16" s="6">
        <f>AG16+AH16</f>
        <v>60</v>
      </c>
      <c r="AJ16" s="7"/>
      <c r="AK16" s="62"/>
      <c r="AL16" s="6">
        <v>0</v>
      </c>
      <c r="AM16" s="6">
        <v>90</v>
      </c>
      <c r="AN16" s="6">
        <f>AL16+AM16</f>
        <v>90</v>
      </c>
      <c r="AO16" s="7"/>
      <c r="AP16" s="7"/>
      <c r="AQ16" s="6">
        <v>30</v>
      </c>
      <c r="AR16" s="6">
        <v>0</v>
      </c>
      <c r="AS16" s="6">
        <f>AQ16+AR16</f>
        <v>30</v>
      </c>
      <c r="AT16" s="7"/>
      <c r="AU16" s="7"/>
      <c r="AV16" s="7"/>
      <c r="AW16" s="7"/>
      <c r="AX16" s="7"/>
      <c r="AY16" s="29"/>
    </row>
    <row r="17" spans="2:54" ht="5.25" customHeight="1" x14ac:dyDescent="0.25">
      <c r="B17" s="19"/>
      <c r="C17" s="7"/>
      <c r="D17" s="7"/>
      <c r="E17" s="7"/>
      <c r="F17" s="7"/>
      <c r="G17" s="7"/>
      <c r="H17" s="7"/>
      <c r="I17" s="7"/>
      <c r="J17" s="7"/>
      <c r="K17" s="7"/>
      <c r="L17" s="59"/>
      <c r="M17" s="7"/>
      <c r="N17" s="7"/>
      <c r="O17" s="7"/>
      <c r="P17" s="7"/>
      <c r="Q17" s="59"/>
      <c r="R17" s="7"/>
      <c r="S17" s="7"/>
      <c r="T17" s="7"/>
      <c r="U17" s="7"/>
      <c r="V17" s="59"/>
      <c r="W17" s="7"/>
      <c r="X17" s="7"/>
      <c r="Y17" s="7"/>
      <c r="Z17" s="7"/>
      <c r="AA17" s="59"/>
      <c r="AB17" s="7"/>
      <c r="AC17" s="7"/>
      <c r="AD17" s="7"/>
      <c r="AE17" s="7"/>
      <c r="AF17" s="7"/>
      <c r="AG17" s="7"/>
      <c r="AH17" s="7"/>
      <c r="AI17" s="7"/>
      <c r="AJ17" s="7"/>
      <c r="AK17" s="7"/>
      <c r="AL17" s="7"/>
      <c r="AM17" s="7"/>
      <c r="AN17" s="7"/>
      <c r="AO17" s="7"/>
      <c r="AP17" s="7"/>
      <c r="AQ17" s="7"/>
      <c r="AR17" s="7"/>
      <c r="AS17" s="7"/>
      <c r="AT17" s="7"/>
      <c r="AU17" s="50"/>
      <c r="AV17" s="50"/>
      <c r="AW17" s="50"/>
      <c r="AX17" s="50"/>
      <c r="AY17" s="29"/>
    </row>
    <row r="18" spans="2:54" ht="15" customHeight="1" thickBot="1" x14ac:dyDescent="0.3">
      <c r="B18" s="19"/>
      <c r="C18" s="259" t="s">
        <v>43</v>
      </c>
      <c r="D18" s="260"/>
      <c r="E18" s="261"/>
      <c r="F18" s="7"/>
      <c r="G18" s="7"/>
      <c r="H18" s="259" t="s">
        <v>44</v>
      </c>
      <c r="I18" s="260"/>
      <c r="J18" s="261"/>
      <c r="K18" s="7"/>
      <c r="L18" s="60" t="str">
        <f>LEFT(M13,2)</f>
        <v>17</v>
      </c>
      <c r="M18" s="259" t="s">
        <v>45</v>
      </c>
      <c r="N18" s="260"/>
      <c r="O18" s="261"/>
      <c r="P18" s="7"/>
      <c r="Q18" s="60" t="str">
        <f>LEFT(R8,2)</f>
        <v>24</v>
      </c>
      <c r="R18" s="278" t="s">
        <v>46</v>
      </c>
      <c r="S18" s="278"/>
      <c r="T18" s="278"/>
      <c r="U18" s="7"/>
      <c r="V18" s="60" t="str">
        <f>LEFT(W23,2)</f>
        <v>35</v>
      </c>
      <c r="W18" s="259" t="s">
        <v>47</v>
      </c>
      <c r="X18" s="260"/>
      <c r="Y18" s="261"/>
      <c r="Z18" s="7"/>
      <c r="AA18" s="59"/>
      <c r="AB18" s="259" t="s">
        <v>48</v>
      </c>
      <c r="AC18" s="260"/>
      <c r="AD18" s="261"/>
      <c r="AE18" s="7"/>
      <c r="AF18" s="59"/>
      <c r="AG18" s="259" t="s">
        <v>49</v>
      </c>
      <c r="AH18" s="260"/>
      <c r="AI18" s="261"/>
      <c r="AJ18" s="7"/>
      <c r="AK18" s="41"/>
      <c r="AL18" s="278" t="s">
        <v>50</v>
      </c>
      <c r="AM18" s="278"/>
      <c r="AN18" s="278"/>
      <c r="AO18" s="7"/>
      <c r="AP18" s="309" t="s">
        <v>40</v>
      </c>
      <c r="AQ18" s="259" t="s">
        <v>51</v>
      </c>
      <c r="AR18" s="260"/>
      <c r="AS18" s="261"/>
      <c r="AT18" s="7"/>
      <c r="AU18" s="7"/>
      <c r="AV18" s="7"/>
      <c r="AW18" s="7"/>
      <c r="AX18" s="7"/>
      <c r="AY18" s="29"/>
    </row>
    <row r="19" spans="2:54" ht="16.5" thickTop="1" thickBot="1" x14ac:dyDescent="0.3">
      <c r="B19" s="19"/>
      <c r="C19" s="262"/>
      <c r="D19" s="263"/>
      <c r="E19" s="264"/>
      <c r="F19" s="7"/>
      <c r="G19" s="7"/>
      <c r="H19" s="262"/>
      <c r="I19" s="263"/>
      <c r="J19" s="264"/>
      <c r="K19" s="7"/>
      <c r="L19" s="58" t="str">
        <f>LEFT(H8,2)</f>
        <v xml:space="preserve">8 </v>
      </c>
      <c r="M19" s="262"/>
      <c r="N19" s="263"/>
      <c r="O19" s="264"/>
      <c r="P19" s="7"/>
      <c r="Q19" s="58" t="str">
        <f>LEFT(M13,2)</f>
        <v>17</v>
      </c>
      <c r="R19" s="278"/>
      <c r="S19" s="278"/>
      <c r="T19" s="278"/>
      <c r="U19" s="7"/>
      <c r="V19" s="58" t="str">
        <f>LEFT(R13,2)</f>
        <v>25</v>
      </c>
      <c r="W19" s="262"/>
      <c r="X19" s="263"/>
      <c r="Y19" s="264"/>
      <c r="Z19" s="7"/>
      <c r="AA19" s="60" t="str">
        <f>LEFT(AB33,2)</f>
        <v>44</v>
      </c>
      <c r="AB19" s="262"/>
      <c r="AC19" s="263"/>
      <c r="AD19" s="264"/>
      <c r="AE19" s="7"/>
      <c r="AF19" s="63"/>
      <c r="AG19" s="262"/>
      <c r="AH19" s="263"/>
      <c r="AI19" s="264"/>
      <c r="AJ19" s="7"/>
      <c r="AK19" s="41"/>
      <c r="AL19" s="278"/>
      <c r="AM19" s="278"/>
      <c r="AN19" s="278"/>
      <c r="AO19" s="7"/>
      <c r="AP19" s="309"/>
      <c r="AQ19" s="262"/>
      <c r="AR19" s="263"/>
      <c r="AS19" s="264"/>
      <c r="AT19" s="7"/>
      <c r="AU19" s="7"/>
      <c r="AV19" s="7"/>
      <c r="AW19" s="7"/>
      <c r="AX19" s="7"/>
      <c r="AY19" s="29"/>
    </row>
    <row r="20" spans="2:54" ht="24.75" customHeight="1" thickTop="1" thickBot="1" x14ac:dyDescent="0.3">
      <c r="B20" s="19"/>
      <c r="C20" s="265"/>
      <c r="D20" s="266"/>
      <c r="E20" s="267"/>
      <c r="F20" s="7"/>
      <c r="G20" s="60" t="str">
        <f>LEFT(H43,2)</f>
        <v>15</v>
      </c>
      <c r="H20" s="265"/>
      <c r="I20" s="266"/>
      <c r="J20" s="267"/>
      <c r="K20" s="7"/>
      <c r="L20" s="58" t="str">
        <f>LEFT(H33,2)</f>
        <v>13</v>
      </c>
      <c r="M20" s="265"/>
      <c r="N20" s="266"/>
      <c r="O20" s="267"/>
      <c r="P20" s="7"/>
      <c r="Q20" s="50"/>
      <c r="R20" s="278"/>
      <c r="S20" s="278"/>
      <c r="T20" s="278"/>
      <c r="U20" s="7"/>
      <c r="V20" s="58" t="str">
        <f>LEFT(R23,2)</f>
        <v>27</v>
      </c>
      <c r="W20" s="265"/>
      <c r="X20" s="266"/>
      <c r="Y20" s="267"/>
      <c r="Z20" s="7"/>
      <c r="AA20" s="58" t="str">
        <f>LEFT(W33,2)</f>
        <v>37</v>
      </c>
      <c r="AB20" s="265"/>
      <c r="AC20" s="266"/>
      <c r="AD20" s="267"/>
      <c r="AE20" s="7"/>
      <c r="AF20" s="58" t="str">
        <f>LEFT(M43,2)</f>
        <v>23</v>
      </c>
      <c r="AG20" s="265"/>
      <c r="AH20" s="266"/>
      <c r="AI20" s="267"/>
      <c r="AJ20" s="7"/>
      <c r="AK20" s="41"/>
      <c r="AL20" s="278"/>
      <c r="AM20" s="278"/>
      <c r="AN20" s="278"/>
      <c r="AO20" s="7"/>
      <c r="AP20" s="310"/>
      <c r="AQ20" s="265"/>
      <c r="AR20" s="266"/>
      <c r="AS20" s="267"/>
      <c r="AT20" s="7"/>
      <c r="AU20" s="7"/>
      <c r="AV20" s="7"/>
      <c r="AW20" s="7"/>
      <c r="AX20" s="7"/>
      <c r="AY20" s="29"/>
      <c r="BB20" s="73"/>
    </row>
    <row r="21" spans="2:54" ht="11.25" customHeight="1" thickTop="1" x14ac:dyDescent="0.25">
      <c r="B21" s="19"/>
      <c r="C21" s="6">
        <v>60</v>
      </c>
      <c r="D21" s="6">
        <v>0</v>
      </c>
      <c r="E21" s="6">
        <f>C21+D21</f>
        <v>60</v>
      </c>
      <c r="F21" s="7"/>
      <c r="G21" s="7"/>
      <c r="H21" s="6">
        <v>0</v>
      </c>
      <c r="I21" s="6">
        <v>30</v>
      </c>
      <c r="J21" s="6">
        <f>H21+I21</f>
        <v>30</v>
      </c>
      <c r="K21" s="7"/>
      <c r="L21" s="59"/>
      <c r="M21" s="6">
        <v>0</v>
      </c>
      <c r="N21" s="6">
        <v>15</v>
      </c>
      <c r="O21" s="6">
        <f>M21+N21</f>
        <v>15</v>
      </c>
      <c r="P21" s="7"/>
      <c r="Q21" s="59"/>
      <c r="R21" s="6">
        <v>0</v>
      </c>
      <c r="S21" s="6">
        <v>30</v>
      </c>
      <c r="T21" s="6">
        <f>R21+S21</f>
        <v>30</v>
      </c>
      <c r="U21" s="7"/>
      <c r="V21" s="59"/>
      <c r="W21" s="6">
        <v>60</v>
      </c>
      <c r="X21" s="6">
        <v>0</v>
      </c>
      <c r="Y21" s="6">
        <f>W21+X21</f>
        <v>60</v>
      </c>
      <c r="Z21" s="7"/>
      <c r="AA21" s="59"/>
      <c r="AB21" s="6">
        <v>0</v>
      </c>
      <c r="AC21" s="6">
        <v>30</v>
      </c>
      <c r="AD21" s="6">
        <f>AB21+AC21</f>
        <v>30</v>
      </c>
      <c r="AE21" s="7"/>
      <c r="AF21" s="59"/>
      <c r="AG21" s="6">
        <v>60</v>
      </c>
      <c r="AH21" s="6">
        <v>15</v>
      </c>
      <c r="AI21" s="6">
        <f>AG21+AH21</f>
        <v>75</v>
      </c>
      <c r="AJ21" s="7"/>
      <c r="AK21" s="41"/>
      <c r="AL21" s="6">
        <v>30</v>
      </c>
      <c r="AM21" s="6">
        <v>30</v>
      </c>
      <c r="AN21" s="6">
        <f>AL21+AM21</f>
        <v>60</v>
      </c>
      <c r="AO21" s="7"/>
      <c r="AP21" s="7"/>
      <c r="AQ21" s="6">
        <v>30</v>
      </c>
      <c r="AR21" s="6">
        <v>0</v>
      </c>
      <c r="AS21" s="6">
        <f>AQ21+AR21</f>
        <v>30</v>
      </c>
      <c r="AT21" s="7"/>
      <c r="AU21" s="7"/>
      <c r="AV21" s="7"/>
      <c r="AW21" s="7"/>
      <c r="AX21" s="7"/>
      <c r="AY21" s="29"/>
    </row>
    <row r="22" spans="2:54" ht="5.25" customHeight="1" x14ac:dyDescent="0.25">
      <c r="B22" s="19"/>
      <c r="C22" s="7"/>
      <c r="D22" s="7"/>
      <c r="E22" s="7"/>
      <c r="F22" s="7"/>
      <c r="G22" s="7"/>
      <c r="H22" s="7"/>
      <c r="I22" s="7"/>
      <c r="J22" s="7"/>
      <c r="K22" s="7"/>
      <c r="L22" s="59"/>
      <c r="M22" s="7"/>
      <c r="N22" s="7"/>
      <c r="O22" s="7"/>
      <c r="P22" s="7"/>
      <c r="Q22" s="59"/>
      <c r="R22" s="7"/>
      <c r="S22" s="7"/>
      <c r="T22" s="7"/>
      <c r="U22" s="7"/>
      <c r="V22" s="7"/>
      <c r="W22" s="7"/>
      <c r="X22" s="7"/>
      <c r="Y22" s="7"/>
      <c r="Z22" s="7"/>
      <c r="AA22" s="50"/>
      <c r="AB22" s="50"/>
      <c r="AC22" s="50"/>
      <c r="AD22" s="50"/>
      <c r="AE22" s="50"/>
      <c r="AF22" s="59"/>
      <c r="AG22" s="7"/>
      <c r="AH22" s="7"/>
      <c r="AI22" s="7"/>
      <c r="AJ22" s="7"/>
      <c r="AK22" s="59"/>
      <c r="AL22" s="7"/>
      <c r="AM22" s="7"/>
      <c r="AN22" s="7"/>
      <c r="AO22" s="7"/>
      <c r="AP22" s="7"/>
      <c r="AQ22" s="7"/>
      <c r="AR22" s="7"/>
      <c r="AS22" s="7"/>
      <c r="AT22" s="7"/>
      <c r="AU22" s="50"/>
      <c r="AV22" s="50"/>
      <c r="AW22" s="50"/>
      <c r="AX22" s="50"/>
      <c r="AY22" s="29"/>
    </row>
    <row r="23" spans="2:54" ht="15" customHeight="1" thickBot="1" x14ac:dyDescent="0.3">
      <c r="B23" s="19"/>
      <c r="C23" s="259" t="s">
        <v>52</v>
      </c>
      <c r="D23" s="260"/>
      <c r="E23" s="261"/>
      <c r="F23" s="7"/>
      <c r="G23" s="59"/>
      <c r="H23" s="259" t="s">
        <v>53</v>
      </c>
      <c r="I23" s="260"/>
      <c r="J23" s="261"/>
      <c r="K23" s="7"/>
      <c r="L23" s="60" t="str">
        <f>LEFT(M28,2)</f>
        <v>20</v>
      </c>
      <c r="M23" s="278" t="s">
        <v>54</v>
      </c>
      <c r="N23" s="278"/>
      <c r="O23" s="278"/>
      <c r="P23" s="7"/>
      <c r="Q23" s="60" t="str">
        <f>LEFT(R13,2)</f>
        <v>25</v>
      </c>
      <c r="R23" s="278" t="s">
        <v>55</v>
      </c>
      <c r="S23" s="278"/>
      <c r="T23" s="278"/>
      <c r="U23" s="7"/>
      <c r="V23" s="60" t="str">
        <f>LEFT(W18,2)</f>
        <v>34</v>
      </c>
      <c r="W23" s="259" t="s">
        <v>56</v>
      </c>
      <c r="X23" s="260"/>
      <c r="Y23" s="261"/>
      <c r="Z23" s="7"/>
      <c r="AA23" s="60" t="str">
        <f>LEFT(AB13,2)</f>
        <v>40</v>
      </c>
      <c r="AB23" s="259" t="s">
        <v>57</v>
      </c>
      <c r="AC23" s="260"/>
      <c r="AD23" s="261"/>
      <c r="AE23" s="7"/>
      <c r="AF23" s="307" t="s">
        <v>25</v>
      </c>
      <c r="AG23" s="298" t="s">
        <v>58</v>
      </c>
      <c r="AH23" s="299"/>
      <c r="AI23" s="300"/>
      <c r="AJ23" s="7"/>
      <c r="AK23" s="7"/>
      <c r="AL23" s="259" t="s">
        <v>59</v>
      </c>
      <c r="AM23" s="260"/>
      <c r="AN23" s="261"/>
      <c r="AO23" s="7"/>
      <c r="AP23" s="309" t="s">
        <v>40</v>
      </c>
      <c r="AQ23" s="278" t="s">
        <v>60</v>
      </c>
      <c r="AR23" s="278"/>
      <c r="AS23" s="278"/>
      <c r="AT23" s="7"/>
      <c r="AU23" s="50"/>
      <c r="AV23" s="50"/>
      <c r="AW23" s="50"/>
      <c r="AX23" s="50"/>
      <c r="AY23" s="29"/>
    </row>
    <row r="24" spans="2:54" ht="15.75" thickTop="1" x14ac:dyDescent="0.25">
      <c r="B24" s="19"/>
      <c r="C24" s="262"/>
      <c r="D24" s="263"/>
      <c r="E24" s="264"/>
      <c r="F24" s="7"/>
      <c r="G24" s="59"/>
      <c r="H24" s="262"/>
      <c r="I24" s="263"/>
      <c r="J24" s="264"/>
      <c r="K24" s="7"/>
      <c r="L24" s="58" t="str">
        <f>LEFT(H8,2)</f>
        <v xml:space="preserve">8 </v>
      </c>
      <c r="M24" s="278"/>
      <c r="N24" s="278"/>
      <c r="O24" s="278"/>
      <c r="P24" s="7"/>
      <c r="Q24" s="58" t="str">
        <f>LEFT(M13,2)</f>
        <v>17</v>
      </c>
      <c r="R24" s="278"/>
      <c r="S24" s="278"/>
      <c r="T24" s="278"/>
      <c r="U24" s="7"/>
      <c r="V24" s="58" t="str">
        <f>LEFT(R13,2)</f>
        <v>25</v>
      </c>
      <c r="W24" s="262"/>
      <c r="X24" s="263"/>
      <c r="Y24" s="264"/>
      <c r="Z24" s="7"/>
      <c r="AA24" s="58" t="str">
        <f>LEFT(R8,2)</f>
        <v>24</v>
      </c>
      <c r="AB24" s="262"/>
      <c r="AC24" s="263"/>
      <c r="AD24" s="264"/>
      <c r="AE24" s="7"/>
      <c r="AF24" s="307"/>
      <c r="AG24" s="301"/>
      <c r="AH24" s="302"/>
      <c r="AI24" s="303"/>
      <c r="AJ24" s="7"/>
      <c r="AK24" s="67">
        <v>19</v>
      </c>
      <c r="AL24" s="262"/>
      <c r="AM24" s="263"/>
      <c r="AN24" s="264"/>
      <c r="AO24" s="7"/>
      <c r="AP24" s="309"/>
      <c r="AQ24" s="278"/>
      <c r="AR24" s="278"/>
      <c r="AS24" s="278"/>
      <c r="AT24" s="7"/>
      <c r="AU24" s="50"/>
      <c r="AV24" s="50"/>
      <c r="AW24" s="50"/>
      <c r="AX24" s="50"/>
      <c r="AY24" s="22"/>
    </row>
    <row r="25" spans="2:54" ht="25.5" customHeight="1" x14ac:dyDescent="0.25">
      <c r="B25" s="19"/>
      <c r="C25" s="265"/>
      <c r="D25" s="266"/>
      <c r="E25" s="267"/>
      <c r="F25" s="7"/>
      <c r="G25" s="58" t="str">
        <f>LEFT(C13,2)</f>
        <v xml:space="preserve">2 </v>
      </c>
      <c r="H25" s="265"/>
      <c r="I25" s="266"/>
      <c r="J25" s="267"/>
      <c r="K25" s="7"/>
      <c r="L25" s="58" t="str">
        <f>LEFT(H28,2)</f>
        <v>12</v>
      </c>
      <c r="M25" s="278"/>
      <c r="N25" s="278"/>
      <c r="O25" s="278"/>
      <c r="P25" s="7"/>
      <c r="Q25" s="50"/>
      <c r="R25" s="278"/>
      <c r="S25" s="278"/>
      <c r="T25" s="278"/>
      <c r="U25" s="7"/>
      <c r="V25" s="58" t="str">
        <f>LEFT(R23,2)</f>
        <v>27</v>
      </c>
      <c r="W25" s="265"/>
      <c r="X25" s="266"/>
      <c r="Y25" s="267"/>
      <c r="Z25" s="7"/>
      <c r="AA25" s="50"/>
      <c r="AB25" s="265"/>
      <c r="AC25" s="266"/>
      <c r="AD25" s="267"/>
      <c r="AE25" s="7"/>
      <c r="AF25" s="308"/>
      <c r="AG25" s="304"/>
      <c r="AH25" s="305"/>
      <c r="AI25" s="306"/>
      <c r="AJ25" s="7"/>
      <c r="AK25" s="67">
        <v>22</v>
      </c>
      <c r="AL25" s="265"/>
      <c r="AM25" s="266"/>
      <c r="AN25" s="267"/>
      <c r="AO25" s="7"/>
      <c r="AP25" s="310"/>
      <c r="AQ25" s="278"/>
      <c r="AR25" s="278"/>
      <c r="AS25" s="278"/>
      <c r="AT25" s="7"/>
      <c r="AU25" s="50"/>
      <c r="AV25" s="50"/>
      <c r="AW25" s="50"/>
      <c r="AX25" s="50"/>
      <c r="AY25" s="22"/>
    </row>
    <row r="26" spans="2:54" ht="11.25" customHeight="1" x14ac:dyDescent="0.25">
      <c r="B26" s="19"/>
      <c r="C26" s="6">
        <v>60</v>
      </c>
      <c r="D26" s="6">
        <v>0</v>
      </c>
      <c r="E26" s="6">
        <f>C26+D26</f>
        <v>60</v>
      </c>
      <c r="F26" s="7"/>
      <c r="G26" s="7"/>
      <c r="H26" s="6">
        <v>60</v>
      </c>
      <c r="I26" s="6">
        <v>0</v>
      </c>
      <c r="J26" s="6">
        <f>H26+I26</f>
        <v>60</v>
      </c>
      <c r="K26" s="7"/>
      <c r="L26" s="59"/>
      <c r="M26" s="6">
        <v>0</v>
      </c>
      <c r="N26" s="6">
        <v>30</v>
      </c>
      <c r="O26" s="6">
        <f>M26+N26</f>
        <v>30</v>
      </c>
      <c r="P26" s="7"/>
      <c r="Q26" s="59"/>
      <c r="R26" s="6">
        <v>0</v>
      </c>
      <c r="S26" s="6">
        <v>30</v>
      </c>
      <c r="T26" s="6">
        <f>R26+S26</f>
        <v>30</v>
      </c>
      <c r="U26" s="7"/>
      <c r="V26" s="59"/>
      <c r="W26" s="6">
        <v>0</v>
      </c>
      <c r="X26" s="6">
        <v>30</v>
      </c>
      <c r="Y26" s="6">
        <f>W26+X26</f>
        <v>30</v>
      </c>
      <c r="Z26" s="7"/>
      <c r="AA26" s="59"/>
      <c r="AB26" s="6">
        <v>30</v>
      </c>
      <c r="AC26" s="6">
        <v>0</v>
      </c>
      <c r="AD26" s="6">
        <f>AB26+AC26</f>
        <v>30</v>
      </c>
      <c r="AE26" s="7"/>
      <c r="AF26" s="59"/>
      <c r="AG26" s="6">
        <v>0</v>
      </c>
      <c r="AH26" s="6">
        <v>30</v>
      </c>
      <c r="AI26" s="6">
        <f>AG26+AH26</f>
        <v>30</v>
      </c>
      <c r="AJ26" s="7"/>
      <c r="AK26" s="7"/>
      <c r="AL26" s="6">
        <v>45</v>
      </c>
      <c r="AM26" s="6">
        <v>15</v>
      </c>
      <c r="AN26" s="6">
        <f>AL26+AM26</f>
        <v>60</v>
      </c>
      <c r="AO26" s="7"/>
      <c r="AP26" s="7"/>
      <c r="AQ26" s="6">
        <v>30</v>
      </c>
      <c r="AR26" s="6">
        <v>0</v>
      </c>
      <c r="AS26" s="6">
        <f>AQ26+AR26</f>
        <v>30</v>
      </c>
      <c r="AT26" s="7"/>
      <c r="AU26" s="50"/>
      <c r="AV26" s="50"/>
      <c r="AW26" s="50"/>
      <c r="AX26" s="50"/>
      <c r="AY26" s="22"/>
    </row>
    <row r="27" spans="2:54" ht="4.5" customHeight="1" x14ac:dyDescent="0.25">
      <c r="B27" s="19"/>
      <c r="C27" s="7"/>
      <c r="D27" s="7"/>
      <c r="E27" s="7"/>
      <c r="F27" s="7"/>
      <c r="G27" s="7"/>
      <c r="H27" s="7"/>
      <c r="I27" s="7"/>
      <c r="J27" s="7"/>
      <c r="K27" s="7"/>
      <c r="L27" s="59"/>
      <c r="M27" s="7"/>
      <c r="N27" s="7"/>
      <c r="O27" s="7"/>
      <c r="P27" s="7"/>
      <c r="Q27" s="59"/>
      <c r="R27" s="7"/>
      <c r="S27" s="7"/>
      <c r="T27" s="7"/>
      <c r="U27" s="7"/>
      <c r="V27" s="7"/>
      <c r="W27" s="7"/>
      <c r="X27" s="7"/>
      <c r="Y27" s="7"/>
      <c r="Z27" s="7"/>
      <c r="AA27" s="59"/>
      <c r="AB27" s="7"/>
      <c r="AC27" s="7"/>
      <c r="AD27" s="7"/>
      <c r="AE27" s="7"/>
      <c r="AF27" s="7"/>
      <c r="AG27" s="7"/>
      <c r="AH27" s="7"/>
      <c r="AI27" s="7"/>
      <c r="AJ27" s="7"/>
      <c r="AK27" s="7"/>
      <c r="AL27" s="7"/>
      <c r="AM27" s="7"/>
      <c r="AN27" s="7"/>
      <c r="AO27" s="7"/>
      <c r="AP27" s="7"/>
      <c r="AQ27" s="7"/>
      <c r="AR27" s="7"/>
      <c r="AS27" s="7"/>
      <c r="AT27" s="7"/>
      <c r="AU27" s="50"/>
      <c r="AV27" s="50"/>
      <c r="AW27" s="50"/>
      <c r="AX27" s="50"/>
      <c r="AY27" s="22"/>
    </row>
    <row r="28" spans="2:54" ht="11.25" customHeight="1" thickBot="1" x14ac:dyDescent="0.3">
      <c r="B28" s="19"/>
      <c r="C28" s="259" t="s">
        <v>61</v>
      </c>
      <c r="D28" s="260"/>
      <c r="E28" s="261"/>
      <c r="F28" s="7"/>
      <c r="G28" s="7"/>
      <c r="H28" s="259" t="s">
        <v>62</v>
      </c>
      <c r="I28" s="260"/>
      <c r="J28" s="261"/>
      <c r="K28" s="7"/>
      <c r="L28" s="60" t="str">
        <f>LEFT(M23,2)</f>
        <v>19</v>
      </c>
      <c r="M28" s="278" t="s">
        <v>63</v>
      </c>
      <c r="N28" s="278"/>
      <c r="O28" s="278"/>
      <c r="P28" s="7"/>
      <c r="Q28" s="60" t="str">
        <f>LEFT(R33,2)</f>
        <v>29</v>
      </c>
      <c r="R28" s="259" t="s">
        <v>64</v>
      </c>
      <c r="S28" s="260"/>
      <c r="T28" s="261"/>
      <c r="U28" s="7"/>
      <c r="V28" s="59"/>
      <c r="W28" s="259" t="s">
        <v>65</v>
      </c>
      <c r="X28" s="260"/>
      <c r="Y28" s="261"/>
      <c r="Z28" s="7"/>
      <c r="AA28" s="59"/>
      <c r="AB28" s="259" t="s">
        <v>66</v>
      </c>
      <c r="AC28" s="260"/>
      <c r="AD28" s="261"/>
      <c r="AE28" s="7"/>
      <c r="AF28" s="59"/>
      <c r="AG28" s="259" t="s">
        <v>67</v>
      </c>
      <c r="AH28" s="260"/>
      <c r="AI28" s="261"/>
      <c r="AJ28" s="7"/>
      <c r="AK28" s="59"/>
      <c r="AL28" s="259" t="s">
        <v>68</v>
      </c>
      <c r="AM28" s="260"/>
      <c r="AN28" s="261"/>
      <c r="AO28" s="7"/>
      <c r="AP28" s="309" t="s">
        <v>25</v>
      </c>
      <c r="AQ28" s="278" t="s">
        <v>69</v>
      </c>
      <c r="AR28" s="278"/>
      <c r="AS28" s="278"/>
      <c r="AT28" s="7"/>
      <c r="AU28" s="50"/>
      <c r="AV28" s="50"/>
      <c r="AW28" s="50"/>
      <c r="AX28" s="50"/>
      <c r="AY28" s="22"/>
    </row>
    <row r="29" spans="2:54" ht="12.75" customHeight="1" thickTop="1" x14ac:dyDescent="0.25">
      <c r="B29" s="19"/>
      <c r="C29" s="262"/>
      <c r="D29" s="263"/>
      <c r="E29" s="264"/>
      <c r="F29" s="7"/>
      <c r="G29" s="7"/>
      <c r="H29" s="262"/>
      <c r="I29" s="263"/>
      <c r="J29" s="264"/>
      <c r="K29" s="7"/>
      <c r="L29" s="58" t="str">
        <f>LEFT(H8,2)</f>
        <v xml:space="preserve">8 </v>
      </c>
      <c r="M29" s="278"/>
      <c r="N29" s="278"/>
      <c r="O29" s="278"/>
      <c r="P29" s="7"/>
      <c r="Q29" s="58" t="str">
        <f>LEFT(C13,2)</f>
        <v xml:space="preserve">2 </v>
      </c>
      <c r="R29" s="262"/>
      <c r="S29" s="263"/>
      <c r="T29" s="264"/>
      <c r="U29" s="7"/>
      <c r="V29" s="61" t="str">
        <f>LEFT(H43,2)</f>
        <v>15</v>
      </c>
      <c r="W29" s="262"/>
      <c r="X29" s="263"/>
      <c r="Y29" s="264"/>
      <c r="Z29" s="7"/>
      <c r="AA29" s="58" t="str">
        <f>LEFT(R38,2)</f>
        <v>30</v>
      </c>
      <c r="AB29" s="262"/>
      <c r="AC29" s="263"/>
      <c r="AD29" s="264"/>
      <c r="AE29" s="7"/>
      <c r="AF29" s="61" t="str">
        <f>LEFT(W18,2)</f>
        <v>34</v>
      </c>
      <c r="AG29" s="262"/>
      <c r="AH29" s="263"/>
      <c r="AI29" s="264"/>
      <c r="AJ29" s="7"/>
      <c r="AK29" s="61" t="str">
        <f>LEFT(M38,2)</f>
        <v>22</v>
      </c>
      <c r="AL29" s="262"/>
      <c r="AM29" s="263"/>
      <c r="AN29" s="264"/>
      <c r="AO29" s="7"/>
      <c r="AP29" s="309"/>
      <c r="AQ29" s="278"/>
      <c r="AR29" s="278"/>
      <c r="AS29" s="278"/>
      <c r="AT29" s="7"/>
      <c r="AU29" s="50"/>
      <c r="AV29" s="50"/>
      <c r="AW29" s="50"/>
      <c r="AX29" s="50"/>
      <c r="AY29" s="22"/>
    </row>
    <row r="30" spans="2:54" ht="32.25" customHeight="1" thickBot="1" x14ac:dyDescent="0.3">
      <c r="B30" s="19"/>
      <c r="C30" s="265"/>
      <c r="D30" s="266"/>
      <c r="E30" s="267"/>
      <c r="F30" s="7"/>
      <c r="G30" s="60" t="str">
        <f>LEFT(H13,2)</f>
        <v xml:space="preserve">9 </v>
      </c>
      <c r="H30" s="265"/>
      <c r="I30" s="266"/>
      <c r="J30" s="267"/>
      <c r="K30" s="7"/>
      <c r="L30" s="58" t="str">
        <f>LEFT(H28,2)</f>
        <v>12</v>
      </c>
      <c r="M30" s="278"/>
      <c r="N30" s="278"/>
      <c r="O30" s="278"/>
      <c r="P30" s="7"/>
      <c r="Q30" s="58" t="str">
        <f>LEFT(M28,2)</f>
        <v>20</v>
      </c>
      <c r="R30" s="265"/>
      <c r="S30" s="266"/>
      <c r="T30" s="267"/>
      <c r="U30" s="7"/>
      <c r="V30" s="61" t="str">
        <f>LEFT(H38,2)</f>
        <v>14</v>
      </c>
      <c r="W30" s="265"/>
      <c r="X30" s="266"/>
      <c r="Y30" s="267"/>
      <c r="Z30" s="7"/>
      <c r="AA30" s="58" t="str">
        <f>LEFT(W28,2)</f>
        <v>36</v>
      </c>
      <c r="AB30" s="265"/>
      <c r="AC30" s="266"/>
      <c r="AD30" s="267"/>
      <c r="AE30" s="7"/>
      <c r="AF30" s="61" t="str">
        <f>LEFT(AB33,2)</f>
        <v>44</v>
      </c>
      <c r="AG30" s="265"/>
      <c r="AH30" s="266"/>
      <c r="AI30" s="267"/>
      <c r="AJ30" s="7"/>
      <c r="AK30" s="61" t="str">
        <f>LEFT(AB33,2)</f>
        <v>44</v>
      </c>
      <c r="AL30" s="265"/>
      <c r="AM30" s="266"/>
      <c r="AN30" s="267"/>
      <c r="AO30" s="7"/>
      <c r="AP30" s="310"/>
      <c r="AQ30" s="278"/>
      <c r="AR30" s="278"/>
      <c r="AS30" s="278"/>
      <c r="AT30" s="7"/>
      <c r="AU30" s="50"/>
      <c r="AV30" s="50"/>
      <c r="AW30" s="50"/>
      <c r="AX30" s="50"/>
      <c r="AY30" s="22"/>
    </row>
    <row r="31" spans="2:54" ht="13.5" customHeight="1" thickTop="1" x14ac:dyDescent="0.25">
      <c r="B31" s="19"/>
      <c r="C31" s="6">
        <f>60</f>
        <v>60</v>
      </c>
      <c r="D31" s="6">
        <v>0</v>
      </c>
      <c r="E31" s="6">
        <f>C31+D31</f>
        <v>60</v>
      </c>
      <c r="F31" s="7"/>
      <c r="G31" s="7"/>
      <c r="H31" s="6">
        <v>60</v>
      </c>
      <c r="I31" s="6">
        <v>0</v>
      </c>
      <c r="J31" s="6">
        <f>H31+I31</f>
        <v>60</v>
      </c>
      <c r="K31" s="7"/>
      <c r="L31" s="59"/>
      <c r="M31" s="6">
        <v>60</v>
      </c>
      <c r="N31" s="6">
        <v>0</v>
      </c>
      <c r="O31" s="6">
        <f>M31+N31</f>
        <v>60</v>
      </c>
      <c r="P31" s="7"/>
      <c r="Q31" s="59"/>
      <c r="R31" s="6">
        <v>0</v>
      </c>
      <c r="S31" s="6">
        <v>30</v>
      </c>
      <c r="T31" s="6">
        <f>R31+S31</f>
        <v>30</v>
      </c>
      <c r="U31" s="7"/>
      <c r="V31" s="59"/>
      <c r="W31" s="6">
        <v>60</v>
      </c>
      <c r="X31" s="6">
        <v>15</v>
      </c>
      <c r="Y31" s="6">
        <f>W31+X31</f>
        <v>75</v>
      </c>
      <c r="Z31" s="7"/>
      <c r="AA31" s="59"/>
      <c r="AB31" s="6">
        <v>30</v>
      </c>
      <c r="AC31" s="6">
        <v>60</v>
      </c>
      <c r="AD31" s="6">
        <f>AB31+AC31</f>
        <v>90</v>
      </c>
      <c r="AE31" s="7"/>
      <c r="AF31" s="59"/>
      <c r="AG31" s="6">
        <v>45</v>
      </c>
      <c r="AH31" s="6">
        <v>15</v>
      </c>
      <c r="AI31" s="6">
        <f>AG31+AH31</f>
        <v>60</v>
      </c>
      <c r="AJ31" s="7"/>
      <c r="AK31" s="59"/>
      <c r="AL31" s="6">
        <v>45</v>
      </c>
      <c r="AM31" s="6">
        <v>15</v>
      </c>
      <c r="AN31" s="6">
        <f>AL31+AM31</f>
        <v>60</v>
      </c>
      <c r="AO31" s="7"/>
      <c r="AP31" s="7"/>
      <c r="AQ31" s="6">
        <v>0</v>
      </c>
      <c r="AR31" s="6">
        <v>30</v>
      </c>
      <c r="AS31" s="6">
        <f>AQ31+AR31</f>
        <v>30</v>
      </c>
      <c r="AT31" s="7"/>
      <c r="AU31" s="50"/>
      <c r="AV31" s="50"/>
      <c r="AW31" s="50"/>
      <c r="AX31" s="50"/>
      <c r="AY31" s="22"/>
    </row>
    <row r="32" spans="2:54" ht="4.5" customHeight="1" x14ac:dyDescent="0.25">
      <c r="B32" s="19"/>
      <c r="C32" s="7"/>
      <c r="D32" s="7"/>
      <c r="E32" s="7"/>
      <c r="F32" s="7"/>
      <c r="G32" s="7"/>
      <c r="H32" s="7"/>
      <c r="I32" s="7"/>
      <c r="J32" s="7"/>
      <c r="K32" s="7"/>
      <c r="L32" s="59"/>
      <c r="M32" s="7"/>
      <c r="N32" s="7"/>
      <c r="O32" s="7"/>
      <c r="P32" s="7"/>
      <c r="Q32" s="59"/>
      <c r="R32" s="7"/>
      <c r="S32" s="7"/>
      <c r="T32" s="7"/>
      <c r="U32" s="7"/>
      <c r="V32" s="7"/>
      <c r="W32" s="7"/>
      <c r="X32" s="7"/>
      <c r="Y32" s="7"/>
      <c r="Z32" s="7"/>
      <c r="AA32" s="7"/>
      <c r="AB32" s="7"/>
      <c r="AC32" s="7"/>
      <c r="AD32" s="7"/>
      <c r="AE32" s="7"/>
      <c r="AF32" s="59"/>
      <c r="AG32" s="7"/>
      <c r="AH32" s="7"/>
      <c r="AI32" s="7"/>
      <c r="AJ32" s="7"/>
      <c r="AK32" s="7"/>
      <c r="AL32" s="7"/>
      <c r="AM32" s="7"/>
      <c r="AN32" s="7"/>
      <c r="AO32" s="50"/>
      <c r="AP32" s="7"/>
      <c r="AQ32" s="7"/>
      <c r="AR32" s="7"/>
      <c r="AS32" s="7"/>
      <c r="AT32" s="7"/>
      <c r="AU32" s="50"/>
      <c r="AV32" s="50"/>
      <c r="AW32" s="50"/>
      <c r="AX32" s="50"/>
      <c r="AY32" s="22"/>
    </row>
    <row r="33" spans="2:51" ht="15" customHeight="1" thickBot="1" x14ac:dyDescent="0.3">
      <c r="B33" s="19"/>
      <c r="C33" s="259" t="s">
        <v>70</v>
      </c>
      <c r="D33" s="260"/>
      <c r="E33" s="261"/>
      <c r="F33" s="7"/>
      <c r="G33" s="50"/>
      <c r="H33" s="315" t="s">
        <v>71</v>
      </c>
      <c r="I33" s="316"/>
      <c r="J33" s="317"/>
      <c r="K33" s="7"/>
      <c r="L33" s="7"/>
      <c r="M33" s="259" t="s">
        <v>72</v>
      </c>
      <c r="N33" s="260"/>
      <c r="O33" s="261"/>
      <c r="P33" s="7"/>
      <c r="Q33" s="60" t="str">
        <f>LEFT(R28,2)</f>
        <v>28</v>
      </c>
      <c r="R33" s="259" t="s">
        <v>73</v>
      </c>
      <c r="S33" s="260"/>
      <c r="T33" s="261"/>
      <c r="U33" s="7"/>
      <c r="V33" s="59"/>
      <c r="W33" s="259" t="s">
        <v>74</v>
      </c>
      <c r="X33" s="260"/>
      <c r="Y33" s="261"/>
      <c r="Z33" s="7"/>
      <c r="AA33" s="59"/>
      <c r="AB33" s="259" t="s">
        <v>75</v>
      </c>
      <c r="AC33" s="260"/>
      <c r="AD33" s="261"/>
      <c r="AE33" s="7"/>
      <c r="AF33" s="58" t="str">
        <f>LEFT(W8,2)</f>
        <v>32</v>
      </c>
      <c r="AG33" s="259" t="s">
        <v>76</v>
      </c>
      <c r="AH33" s="260"/>
      <c r="AI33" s="261"/>
      <c r="AJ33" s="7"/>
      <c r="AK33" s="59"/>
      <c r="AL33" s="259" t="s">
        <v>77</v>
      </c>
      <c r="AM33" s="260"/>
      <c r="AN33" s="261"/>
      <c r="AO33" s="50"/>
      <c r="AP33" s="7"/>
      <c r="AQ33" s="7"/>
      <c r="AR33" s="7"/>
      <c r="AS33" s="7"/>
      <c r="AT33" s="7"/>
      <c r="AU33" s="50"/>
      <c r="AV33" s="50"/>
      <c r="AW33" s="50"/>
      <c r="AX33" s="50"/>
      <c r="AY33" s="22"/>
    </row>
    <row r="34" spans="2:51" ht="16.5" thickTop="1" thickBot="1" x14ac:dyDescent="0.3">
      <c r="B34" s="19"/>
      <c r="C34" s="262"/>
      <c r="D34" s="263"/>
      <c r="E34" s="264"/>
      <c r="F34" s="7"/>
      <c r="G34" s="50"/>
      <c r="H34" s="318"/>
      <c r="I34" s="288"/>
      <c r="J34" s="319"/>
      <c r="K34" s="7"/>
      <c r="L34" s="58" t="str">
        <f>LEFT(C38,2)</f>
        <v xml:space="preserve">7 </v>
      </c>
      <c r="M34" s="262"/>
      <c r="N34" s="263"/>
      <c r="O34" s="264"/>
      <c r="P34" s="7"/>
      <c r="Q34" s="58" t="str">
        <f>LEFT(C13,2)</f>
        <v xml:space="preserve">2 </v>
      </c>
      <c r="R34" s="262"/>
      <c r="S34" s="263"/>
      <c r="T34" s="264"/>
      <c r="U34" s="7"/>
      <c r="V34" s="59"/>
      <c r="W34" s="262"/>
      <c r="X34" s="263"/>
      <c r="Y34" s="264"/>
      <c r="Z34" s="7"/>
      <c r="AA34" s="60" t="str">
        <f>LEFT(AB18,2)</f>
        <v>41</v>
      </c>
      <c r="AB34" s="262"/>
      <c r="AC34" s="263"/>
      <c r="AD34" s="264"/>
      <c r="AE34" s="7"/>
      <c r="AF34" s="58" t="str">
        <f>LEFT(C18,2)</f>
        <v xml:space="preserve">3 </v>
      </c>
      <c r="AG34" s="262"/>
      <c r="AH34" s="263"/>
      <c r="AI34" s="264"/>
      <c r="AJ34" s="7"/>
      <c r="AK34" s="59"/>
      <c r="AL34" s="262"/>
      <c r="AM34" s="263"/>
      <c r="AN34" s="264"/>
      <c r="AO34" s="50"/>
      <c r="AP34" s="7"/>
      <c r="AQ34" s="7"/>
      <c r="AR34" s="7"/>
      <c r="AS34" s="7"/>
      <c r="AT34" s="7"/>
      <c r="AU34" s="50"/>
      <c r="AV34" s="50"/>
      <c r="AW34" s="50"/>
      <c r="AX34" s="50"/>
      <c r="AY34" s="22"/>
    </row>
    <row r="35" spans="2:51" ht="13.5" customHeight="1" thickTop="1" x14ac:dyDescent="0.25">
      <c r="B35" s="19"/>
      <c r="C35" s="265"/>
      <c r="D35" s="266"/>
      <c r="E35" s="267"/>
      <c r="F35" s="7"/>
      <c r="G35" s="50"/>
      <c r="H35" s="320"/>
      <c r="I35" s="321"/>
      <c r="J35" s="322"/>
      <c r="K35" s="7"/>
      <c r="L35" s="58" t="str">
        <f>LEFT(H43,2)</f>
        <v>15</v>
      </c>
      <c r="M35" s="265"/>
      <c r="N35" s="266"/>
      <c r="O35" s="267"/>
      <c r="P35" s="7"/>
      <c r="Q35" s="58" t="str">
        <f>LEFT(M28,2)</f>
        <v>20</v>
      </c>
      <c r="R35" s="265"/>
      <c r="S35" s="266"/>
      <c r="T35" s="267"/>
      <c r="U35" s="7"/>
      <c r="V35" s="58" t="str">
        <f>LEFT(R43,2)</f>
        <v>31</v>
      </c>
      <c r="W35" s="265"/>
      <c r="X35" s="266"/>
      <c r="Y35" s="267"/>
      <c r="Z35" s="7"/>
      <c r="AA35" s="58" t="str">
        <f>LEFT(W33,2)</f>
        <v>37</v>
      </c>
      <c r="AB35" s="265"/>
      <c r="AC35" s="266"/>
      <c r="AD35" s="267"/>
      <c r="AE35" s="7"/>
      <c r="AF35" s="58" t="str">
        <f>LEFT(AB33,2)</f>
        <v>44</v>
      </c>
      <c r="AG35" s="265"/>
      <c r="AH35" s="266"/>
      <c r="AI35" s="267"/>
      <c r="AJ35" s="7"/>
      <c r="AK35" s="61" t="str">
        <f>LEFT(M38,2)</f>
        <v>22</v>
      </c>
      <c r="AL35" s="265"/>
      <c r="AM35" s="266"/>
      <c r="AN35" s="267"/>
      <c r="AO35" s="50"/>
      <c r="AP35" s="7"/>
      <c r="AQ35" s="7"/>
      <c r="AR35" s="7"/>
      <c r="AS35" s="7"/>
      <c r="AT35" s="7"/>
      <c r="AU35" s="50"/>
      <c r="AV35" s="50"/>
      <c r="AW35" s="50"/>
      <c r="AX35" s="50"/>
      <c r="AY35" s="22"/>
    </row>
    <row r="36" spans="2:51" ht="12" customHeight="1" x14ac:dyDescent="0.25">
      <c r="B36" s="19"/>
      <c r="C36" s="6">
        <v>30</v>
      </c>
      <c r="D36" s="6">
        <v>0</v>
      </c>
      <c r="E36" s="6">
        <f>C36+D36</f>
        <v>30</v>
      </c>
      <c r="F36" s="7"/>
      <c r="G36" s="50"/>
      <c r="H36" s="149">
        <v>45</v>
      </c>
      <c r="I36" s="149">
        <v>15</v>
      </c>
      <c r="J36" s="149">
        <f>H36+I36</f>
        <v>60</v>
      </c>
      <c r="K36" s="7"/>
      <c r="L36" s="7"/>
      <c r="M36" s="6">
        <v>30</v>
      </c>
      <c r="N36" s="6">
        <v>30</v>
      </c>
      <c r="O36" s="6">
        <f>M36+N36</f>
        <v>60</v>
      </c>
      <c r="P36" s="7"/>
      <c r="Q36" s="59"/>
      <c r="R36" s="6">
        <v>60</v>
      </c>
      <c r="S36" s="6">
        <v>0</v>
      </c>
      <c r="T36" s="6">
        <f>R36+S36</f>
        <v>60</v>
      </c>
      <c r="U36" s="7"/>
      <c r="V36" s="59"/>
      <c r="W36" s="6">
        <v>60</v>
      </c>
      <c r="X36" s="6">
        <v>0</v>
      </c>
      <c r="Y36" s="6">
        <f>W36+X36</f>
        <v>60</v>
      </c>
      <c r="Z36" s="7"/>
      <c r="AA36" s="59"/>
      <c r="AB36" s="6">
        <v>60</v>
      </c>
      <c r="AC36" s="6">
        <v>0</v>
      </c>
      <c r="AD36" s="6">
        <f>AB36+AC36</f>
        <v>60</v>
      </c>
      <c r="AE36" s="7"/>
      <c r="AF36" s="7"/>
      <c r="AG36" s="6">
        <v>45</v>
      </c>
      <c r="AH36" s="6">
        <v>45</v>
      </c>
      <c r="AI36" s="6">
        <f>AG36+AH36</f>
        <v>90</v>
      </c>
      <c r="AJ36" s="7"/>
      <c r="AK36" s="59"/>
      <c r="AL36" s="6">
        <v>45</v>
      </c>
      <c r="AM36" s="6">
        <v>15</v>
      </c>
      <c r="AN36" s="6">
        <f>AL36+AM36</f>
        <v>60</v>
      </c>
      <c r="AO36" s="50"/>
      <c r="AP36" s="7"/>
      <c r="AQ36" s="7"/>
      <c r="AR36" s="7"/>
      <c r="AS36" s="7"/>
      <c r="AT36" s="7"/>
      <c r="AU36" s="50"/>
      <c r="AV36" s="50"/>
      <c r="AW36" s="50"/>
      <c r="AX36" s="50"/>
      <c r="AY36" s="22"/>
    </row>
    <row r="37" spans="2:51" ht="4.5" customHeight="1" x14ac:dyDescent="0.25">
      <c r="B37" s="19"/>
      <c r="C37" s="7"/>
      <c r="D37" s="7"/>
      <c r="E37" s="7"/>
      <c r="F37" s="7"/>
      <c r="G37" s="7"/>
      <c r="H37" s="7"/>
      <c r="I37" s="7"/>
      <c r="J37" s="7"/>
      <c r="K37" s="7"/>
      <c r="L37" s="59"/>
      <c r="M37" s="7"/>
      <c r="N37" s="7"/>
      <c r="O37" s="7"/>
      <c r="P37" s="7"/>
      <c r="Q37" s="59"/>
      <c r="R37" s="7"/>
      <c r="S37" s="7"/>
      <c r="T37" s="7"/>
      <c r="U37" s="7"/>
      <c r="V37" s="59"/>
      <c r="W37" s="7"/>
      <c r="X37" s="7"/>
      <c r="Y37" s="7"/>
      <c r="Z37" s="7"/>
      <c r="AA37" s="7"/>
      <c r="AB37" s="7"/>
      <c r="AC37" s="7"/>
      <c r="AD37" s="7"/>
      <c r="AE37" s="7"/>
      <c r="AF37" s="62"/>
      <c r="AG37" s="50"/>
      <c r="AH37" s="50"/>
      <c r="AI37" s="50"/>
      <c r="AJ37" s="7"/>
      <c r="AK37" s="62"/>
      <c r="AL37" s="50"/>
      <c r="AM37" s="50"/>
      <c r="AN37" s="50"/>
      <c r="AO37" s="50"/>
      <c r="AP37" s="7"/>
      <c r="AQ37" s="7"/>
      <c r="AR37" s="7"/>
      <c r="AS37" s="7"/>
      <c r="AT37" s="7"/>
      <c r="AU37" s="50"/>
      <c r="AV37" s="50"/>
      <c r="AW37" s="50"/>
      <c r="AX37" s="50"/>
      <c r="AY37" s="22"/>
    </row>
    <row r="38" spans="2:51" ht="15.75" customHeight="1" thickBot="1" x14ac:dyDescent="0.3">
      <c r="B38" s="19"/>
      <c r="C38" s="259" t="s">
        <v>78</v>
      </c>
      <c r="D38" s="260"/>
      <c r="E38" s="261"/>
      <c r="F38" s="7"/>
      <c r="G38" s="7"/>
      <c r="H38" s="259" t="s">
        <v>79</v>
      </c>
      <c r="I38" s="260"/>
      <c r="J38" s="261"/>
      <c r="K38" s="7"/>
      <c r="L38" s="62"/>
      <c r="M38" s="315" t="s">
        <v>80</v>
      </c>
      <c r="N38" s="316"/>
      <c r="O38" s="317"/>
      <c r="P38" s="7"/>
      <c r="Q38" s="59"/>
      <c r="R38" s="259" t="s">
        <v>81</v>
      </c>
      <c r="S38" s="260"/>
      <c r="T38" s="261"/>
      <c r="U38" s="50"/>
      <c r="V38" s="59"/>
      <c r="W38" s="259" t="s">
        <v>82</v>
      </c>
      <c r="X38" s="260"/>
      <c r="Y38" s="261"/>
      <c r="Z38" s="50"/>
      <c r="AA38" s="7"/>
      <c r="AB38" s="259" t="s">
        <v>83</v>
      </c>
      <c r="AC38" s="260"/>
      <c r="AD38" s="261"/>
      <c r="AE38" s="41"/>
      <c r="AF38" s="7"/>
      <c r="AG38" s="7"/>
      <c r="AH38" s="7"/>
      <c r="AI38" s="7"/>
      <c r="AJ38" s="7"/>
      <c r="AK38" s="7"/>
      <c r="AL38" s="7"/>
      <c r="AM38" s="7"/>
      <c r="AN38" s="7"/>
      <c r="AO38" s="55"/>
      <c r="AP38" s="50"/>
      <c r="AQ38" s="50"/>
      <c r="AR38" s="50"/>
      <c r="AS38" s="50"/>
      <c r="AT38" s="50"/>
      <c r="AU38" s="50"/>
      <c r="AV38" s="50"/>
      <c r="AW38" s="54"/>
      <c r="AX38" s="54"/>
      <c r="AY38" s="22"/>
    </row>
    <row r="39" spans="2:51" x14ac:dyDescent="0.25">
      <c r="B39" s="19"/>
      <c r="C39" s="262"/>
      <c r="D39" s="263"/>
      <c r="E39" s="264"/>
      <c r="F39" s="7"/>
      <c r="G39" s="7"/>
      <c r="H39" s="262"/>
      <c r="I39" s="263"/>
      <c r="J39" s="264"/>
      <c r="K39" s="7"/>
      <c r="L39" s="150" t="str">
        <f>LEFT(H23,2)</f>
        <v>11</v>
      </c>
      <c r="M39" s="318"/>
      <c r="N39" s="288"/>
      <c r="O39" s="319"/>
      <c r="P39" s="7"/>
      <c r="Q39" s="59"/>
      <c r="R39" s="262"/>
      <c r="S39" s="263"/>
      <c r="T39" s="264"/>
      <c r="U39" s="50"/>
      <c r="V39" s="58" t="str">
        <f>LEFT(H43,2)</f>
        <v>15</v>
      </c>
      <c r="W39" s="262"/>
      <c r="X39" s="263"/>
      <c r="Y39" s="264"/>
      <c r="Z39" s="50"/>
      <c r="AA39" s="7"/>
      <c r="AB39" s="262"/>
      <c r="AC39" s="263"/>
      <c r="AD39" s="264"/>
      <c r="AE39" s="41"/>
      <c r="AF39" s="7"/>
      <c r="AG39" s="7"/>
      <c r="AH39" s="7" t="s">
        <v>84</v>
      </c>
      <c r="AI39" s="7"/>
      <c r="AJ39" s="7"/>
      <c r="AK39" s="7"/>
      <c r="AL39" s="7"/>
      <c r="AM39" s="7"/>
      <c r="AN39" s="7"/>
      <c r="AO39" s="55"/>
      <c r="AP39" s="35"/>
      <c r="AQ39" s="36" t="s">
        <v>85</v>
      </c>
      <c r="AR39" s="12"/>
      <c r="AS39" s="12"/>
      <c r="AT39" s="27"/>
      <c r="AU39" s="28"/>
      <c r="AV39" s="50"/>
      <c r="AW39" s="7"/>
      <c r="AX39" s="7"/>
      <c r="AY39" s="22"/>
    </row>
    <row r="40" spans="2:51" x14ac:dyDescent="0.25">
      <c r="B40" s="53"/>
      <c r="C40" s="265"/>
      <c r="D40" s="266"/>
      <c r="E40" s="267"/>
      <c r="F40" s="7"/>
      <c r="G40" s="58" t="str">
        <f>LEFT(C38,2)</f>
        <v xml:space="preserve">7 </v>
      </c>
      <c r="H40" s="265"/>
      <c r="I40" s="266"/>
      <c r="J40" s="267"/>
      <c r="K40" s="7"/>
      <c r="L40" s="151" t="str">
        <f>LEFT(H33,2)</f>
        <v>13</v>
      </c>
      <c r="M40" s="320"/>
      <c r="N40" s="321"/>
      <c r="O40" s="322"/>
      <c r="P40" s="7"/>
      <c r="Q40" s="58" t="str">
        <f>LEFT(M33,2)</f>
        <v>21</v>
      </c>
      <c r="R40" s="265"/>
      <c r="S40" s="266"/>
      <c r="T40" s="267"/>
      <c r="U40" s="50"/>
      <c r="V40" s="61" t="str">
        <f>LEFT(H38,2)</f>
        <v>14</v>
      </c>
      <c r="W40" s="265"/>
      <c r="X40" s="266"/>
      <c r="Y40" s="267"/>
      <c r="Z40" s="50"/>
      <c r="AA40" s="67" t="str">
        <f>LEFT(W38,2)</f>
        <v>38</v>
      </c>
      <c r="AB40" s="265"/>
      <c r="AC40" s="266"/>
      <c r="AD40" s="267"/>
      <c r="AE40" s="41"/>
      <c r="AF40" s="7"/>
      <c r="AG40" s="7"/>
      <c r="AH40" s="7" t="s">
        <v>86</v>
      </c>
      <c r="AI40" s="7"/>
      <c r="AJ40" s="7"/>
      <c r="AK40" s="7"/>
      <c r="AL40" s="7"/>
      <c r="AM40" s="7"/>
      <c r="AN40" s="7"/>
      <c r="AO40" s="55"/>
      <c r="AP40" s="37"/>
      <c r="AQ40" s="11"/>
      <c r="AR40" s="56" t="s">
        <v>87</v>
      </c>
      <c r="AS40" s="56"/>
      <c r="AT40" s="50"/>
      <c r="AU40" s="29"/>
      <c r="AV40" s="50"/>
      <c r="AW40" s="56"/>
      <c r="AX40" s="56"/>
      <c r="AY40" s="25"/>
    </row>
    <row r="41" spans="2:51" ht="14.25" customHeight="1" thickBot="1" x14ac:dyDescent="0.3">
      <c r="B41" s="53"/>
      <c r="C41" s="6">
        <v>30</v>
      </c>
      <c r="D41" s="6">
        <v>30</v>
      </c>
      <c r="E41" s="6">
        <f>C41+D41</f>
        <v>60</v>
      </c>
      <c r="F41" s="7"/>
      <c r="G41" s="7"/>
      <c r="H41" s="6">
        <v>30</v>
      </c>
      <c r="I41" s="6">
        <v>30</v>
      </c>
      <c r="J41" s="6">
        <f>H41+I41</f>
        <v>60</v>
      </c>
      <c r="K41" s="7"/>
      <c r="L41" s="62"/>
      <c r="M41" s="149">
        <v>45</v>
      </c>
      <c r="N41" s="149">
        <v>15</v>
      </c>
      <c r="O41" s="149">
        <f>M41+N41</f>
        <v>60</v>
      </c>
      <c r="P41" s="7"/>
      <c r="Q41" s="59"/>
      <c r="R41" s="6">
        <v>30</v>
      </c>
      <c r="S41" s="6">
        <v>30</v>
      </c>
      <c r="T41" s="6">
        <f>R41+S41</f>
        <v>60</v>
      </c>
      <c r="U41" s="50"/>
      <c r="V41" s="59"/>
      <c r="W41" s="6">
        <v>45</v>
      </c>
      <c r="X41" s="6">
        <v>30</v>
      </c>
      <c r="Y41" s="6">
        <f>W41+X41</f>
        <v>75</v>
      </c>
      <c r="Z41" s="50"/>
      <c r="AA41" s="7"/>
      <c r="AB41" s="6">
        <v>30</v>
      </c>
      <c r="AC41" s="6">
        <v>30</v>
      </c>
      <c r="AD41" s="6">
        <f>AB41+AC41</f>
        <v>60</v>
      </c>
      <c r="AE41" s="41"/>
      <c r="AF41" s="7"/>
      <c r="AG41" s="7"/>
      <c r="AH41" s="7" t="s">
        <v>88</v>
      </c>
      <c r="AI41" s="7"/>
      <c r="AJ41" s="7"/>
      <c r="AK41" s="7"/>
      <c r="AL41" s="7"/>
      <c r="AM41" s="7"/>
      <c r="AN41" s="7"/>
      <c r="AO41" s="52"/>
      <c r="AP41" s="19"/>
      <c r="AQ41" s="8"/>
      <c r="AR41" s="56" t="s">
        <v>89</v>
      </c>
      <c r="AS41" s="56"/>
      <c r="AT41" s="50"/>
      <c r="AU41" s="29"/>
      <c r="AV41" s="50"/>
      <c r="AW41" s="52"/>
      <c r="AX41" s="52"/>
      <c r="AY41" s="26"/>
    </row>
    <row r="42" spans="2:51" ht="6.75" customHeight="1" thickTop="1" x14ac:dyDescent="0.25">
      <c r="B42" s="19"/>
      <c r="C42" s="7"/>
      <c r="D42" s="7"/>
      <c r="E42" s="7"/>
      <c r="F42" s="7"/>
      <c r="G42" s="7"/>
      <c r="H42" s="7"/>
      <c r="I42" s="7"/>
      <c r="J42" s="7"/>
      <c r="K42" s="7"/>
      <c r="L42" s="59"/>
      <c r="M42" s="7"/>
      <c r="N42" s="7"/>
      <c r="O42" s="7"/>
      <c r="P42" s="7"/>
      <c r="Q42" s="59"/>
      <c r="R42" s="7"/>
      <c r="S42" s="7"/>
      <c r="T42" s="7"/>
      <c r="U42" s="50"/>
      <c r="V42" s="7"/>
      <c r="W42" s="7"/>
      <c r="X42" s="7"/>
      <c r="Y42" s="7"/>
      <c r="Z42" s="50"/>
      <c r="AA42" s="59"/>
      <c r="AB42" s="7"/>
      <c r="AC42" s="7"/>
      <c r="AD42" s="7"/>
      <c r="AE42" s="50"/>
      <c r="AF42" s="7"/>
      <c r="AG42" s="7"/>
      <c r="AH42" s="7"/>
      <c r="AI42" s="7"/>
      <c r="AJ42" s="7"/>
      <c r="AK42" s="7"/>
      <c r="AL42" s="7"/>
      <c r="AM42" s="52"/>
      <c r="AN42" s="52"/>
      <c r="AO42" s="7"/>
      <c r="AP42" s="19"/>
      <c r="AQ42" s="57"/>
      <c r="AR42" s="57"/>
      <c r="AS42" s="57"/>
      <c r="AT42" s="50"/>
      <c r="AU42" s="29"/>
      <c r="AV42" s="52"/>
      <c r="AW42" s="52"/>
      <c r="AX42" s="52"/>
      <c r="AY42" s="26"/>
    </row>
    <row r="43" spans="2:51" ht="15" customHeight="1" x14ac:dyDescent="0.25">
      <c r="B43" s="19"/>
      <c r="C43" s="7"/>
      <c r="D43" s="7"/>
      <c r="E43" s="7"/>
      <c r="F43" s="7"/>
      <c r="G43" s="7"/>
      <c r="H43" s="259" t="s">
        <v>90</v>
      </c>
      <c r="I43" s="260"/>
      <c r="J43" s="261"/>
      <c r="K43" s="7"/>
      <c r="L43" s="59"/>
      <c r="M43" s="259" t="s">
        <v>91</v>
      </c>
      <c r="N43" s="260"/>
      <c r="O43" s="261"/>
      <c r="P43" s="7"/>
      <c r="Q43" s="59"/>
      <c r="R43" s="259" t="s">
        <v>92</v>
      </c>
      <c r="S43" s="260"/>
      <c r="T43" s="261"/>
      <c r="U43" s="7"/>
      <c r="V43" s="7"/>
      <c r="W43" s="7"/>
      <c r="X43" s="7"/>
      <c r="Y43" s="7"/>
      <c r="Z43" s="50"/>
      <c r="AA43" s="7"/>
      <c r="AB43" s="7"/>
      <c r="AC43" s="7"/>
      <c r="AD43" s="7"/>
      <c r="AE43" s="50"/>
      <c r="AF43" s="7"/>
      <c r="AG43" s="7"/>
      <c r="AH43" s="7"/>
      <c r="AI43" s="7"/>
      <c r="AJ43" s="7"/>
      <c r="AK43" s="7"/>
      <c r="AL43" s="7"/>
      <c r="AM43" s="7"/>
      <c r="AN43" s="7"/>
      <c r="AO43" s="7"/>
      <c r="AP43" s="19"/>
      <c r="AQ43" s="57"/>
      <c r="AR43" s="57"/>
      <c r="AS43" s="57"/>
      <c r="AT43" s="50"/>
      <c r="AU43" s="29"/>
      <c r="AV43" s="7"/>
      <c r="AW43" s="7"/>
      <c r="AX43" s="7"/>
      <c r="AY43" s="22"/>
    </row>
    <row r="44" spans="2:51" ht="15.75" thickBot="1" x14ac:dyDescent="0.3">
      <c r="B44" s="19"/>
      <c r="C44" s="7"/>
      <c r="D44" s="7"/>
      <c r="E44" s="7"/>
      <c r="F44" s="7"/>
      <c r="G44" s="7"/>
      <c r="H44" s="262"/>
      <c r="I44" s="263"/>
      <c r="J44" s="264"/>
      <c r="K44" s="7"/>
      <c r="L44" s="59"/>
      <c r="M44" s="262"/>
      <c r="N44" s="263"/>
      <c r="O44" s="264"/>
      <c r="P44" s="7"/>
      <c r="Q44" s="59"/>
      <c r="R44" s="262"/>
      <c r="S44" s="263"/>
      <c r="T44" s="264"/>
      <c r="U44" s="7"/>
      <c r="V44" s="7"/>
      <c r="W44" s="7"/>
      <c r="X44" s="7"/>
      <c r="Y44" s="7"/>
      <c r="Z44" s="50"/>
      <c r="AA44" s="7"/>
      <c r="AB44" s="7"/>
      <c r="AC44" s="7"/>
      <c r="AD44" s="7"/>
      <c r="AE44" s="7"/>
      <c r="AF44" s="7"/>
      <c r="AG44" s="7"/>
      <c r="AH44" s="7"/>
      <c r="AI44" s="7"/>
      <c r="AJ44" s="7"/>
      <c r="AK44" s="59"/>
      <c r="AL44" s="7"/>
      <c r="AM44" s="54"/>
      <c r="AN44" s="54"/>
      <c r="AO44" s="55"/>
      <c r="AP44" s="30"/>
      <c r="AQ44" s="31"/>
      <c r="AR44" s="31"/>
      <c r="AS44" s="31"/>
      <c r="AT44" s="31"/>
      <c r="AU44" s="32"/>
      <c r="AV44" s="7"/>
      <c r="AW44" s="7"/>
      <c r="AX44" s="7"/>
      <c r="AY44" s="22"/>
    </row>
    <row r="45" spans="2:51" ht="12.75" customHeight="1" thickBot="1" x14ac:dyDescent="0.3">
      <c r="B45" s="19"/>
      <c r="C45" s="7"/>
      <c r="D45" s="7"/>
      <c r="E45" s="7"/>
      <c r="F45" s="7"/>
      <c r="G45" s="60" t="str">
        <f>LEFT(H18,2)</f>
        <v>10</v>
      </c>
      <c r="H45" s="265"/>
      <c r="I45" s="266"/>
      <c r="J45" s="267"/>
      <c r="K45" s="7"/>
      <c r="L45" s="58" t="str">
        <f>LEFT(H28,2)</f>
        <v>12</v>
      </c>
      <c r="M45" s="265"/>
      <c r="N45" s="266"/>
      <c r="O45" s="267"/>
      <c r="P45" s="7"/>
      <c r="Q45" s="58" t="str">
        <f>LEFT(M8,2)</f>
        <v>16</v>
      </c>
      <c r="R45" s="265"/>
      <c r="S45" s="266"/>
      <c r="T45" s="267"/>
      <c r="U45" s="7"/>
      <c r="V45" s="7"/>
      <c r="W45" s="7"/>
      <c r="X45" s="7"/>
      <c r="Y45" s="7"/>
      <c r="Z45" s="7"/>
      <c r="AA45" s="7"/>
      <c r="AB45" s="7"/>
      <c r="AC45" s="7"/>
      <c r="AD45" s="7"/>
      <c r="AE45" s="55"/>
      <c r="AF45" s="7"/>
      <c r="AG45" s="7"/>
      <c r="AH45" s="7"/>
      <c r="AI45" s="7"/>
      <c r="AJ45" s="55"/>
      <c r="AK45" s="64"/>
      <c r="AL45" s="7"/>
      <c r="AM45" s="7"/>
      <c r="AN45" s="7"/>
      <c r="AO45" s="55"/>
      <c r="AP45" s="55"/>
      <c r="AQ45" s="55"/>
      <c r="AR45" s="55"/>
      <c r="AS45" s="55"/>
      <c r="AT45" s="55"/>
      <c r="AU45" s="7"/>
      <c r="AV45" s="7"/>
      <c r="AW45" s="7"/>
      <c r="AX45" s="7"/>
      <c r="AY45" s="22"/>
    </row>
    <row r="46" spans="2:51" ht="12.75" customHeight="1" thickTop="1" x14ac:dyDescent="0.25">
      <c r="B46" s="19"/>
      <c r="C46" s="7"/>
      <c r="D46" s="7"/>
      <c r="E46" s="7"/>
      <c r="F46" s="7"/>
      <c r="G46" s="7"/>
      <c r="H46" s="78">
        <v>30</v>
      </c>
      <c r="I46" s="6">
        <v>0</v>
      </c>
      <c r="J46" s="6">
        <f>H46+I46</f>
        <v>30</v>
      </c>
      <c r="K46" s="7"/>
      <c r="L46" s="59"/>
      <c r="M46" s="6">
        <v>30</v>
      </c>
      <c r="N46" s="6">
        <v>0</v>
      </c>
      <c r="O46" s="6">
        <f>M46+N46</f>
        <v>30</v>
      </c>
      <c r="P46" s="7"/>
      <c r="Q46" s="59"/>
      <c r="R46" s="6">
        <v>75</v>
      </c>
      <c r="S46" s="6">
        <v>0</v>
      </c>
      <c r="T46" s="6">
        <f>R46+S46</f>
        <v>75</v>
      </c>
      <c r="U46" s="7"/>
      <c r="V46" s="7"/>
      <c r="W46" s="7"/>
      <c r="X46" s="7"/>
      <c r="Y46" s="7"/>
      <c r="Z46" s="7"/>
      <c r="AA46" s="7"/>
      <c r="AB46" s="7"/>
      <c r="AC46" s="7"/>
      <c r="AD46" s="7"/>
      <c r="AE46" s="55"/>
      <c r="AF46" s="7"/>
      <c r="AG46" s="7"/>
      <c r="AH46" s="7"/>
      <c r="AI46" s="7"/>
      <c r="AJ46" s="55"/>
      <c r="AK46" s="62"/>
      <c r="AL46" s="50"/>
      <c r="AM46" s="50"/>
      <c r="AN46" s="56"/>
      <c r="AO46" s="55"/>
      <c r="AP46" s="55"/>
      <c r="AQ46" s="55"/>
      <c r="AR46" s="55"/>
      <c r="AS46" s="55"/>
      <c r="AT46" s="55"/>
      <c r="AU46" s="7"/>
      <c r="AV46" s="7"/>
      <c r="AW46" s="7"/>
      <c r="AX46" s="7"/>
      <c r="AY46" s="22"/>
    </row>
    <row r="47" spans="2:51" ht="5.25" customHeight="1" thickBot="1" x14ac:dyDescent="0.3">
      <c r="B47" s="23"/>
      <c r="C47" s="10"/>
      <c r="D47" s="10"/>
      <c r="E47" s="10"/>
      <c r="F47" s="10"/>
      <c r="G47" s="10"/>
      <c r="H47" s="10"/>
      <c r="I47" s="10"/>
      <c r="J47" s="10"/>
      <c r="K47" s="10"/>
      <c r="L47" s="10"/>
      <c r="M47" s="39"/>
      <c r="N47" s="39"/>
      <c r="O47" s="39"/>
      <c r="P47" s="39"/>
      <c r="Q47" s="39"/>
      <c r="R47" s="39"/>
      <c r="S47" s="39"/>
      <c r="T47" s="39"/>
      <c r="U47" s="39"/>
      <c r="V47" s="39"/>
      <c r="W47" s="39"/>
      <c r="X47" s="39"/>
      <c r="Y47" s="39"/>
      <c r="Z47" s="10"/>
      <c r="AA47" s="31"/>
      <c r="AB47" s="31"/>
      <c r="AC47" s="31"/>
      <c r="AD47" s="31"/>
      <c r="AE47" s="40"/>
      <c r="AF47" s="40"/>
      <c r="AG47" s="10"/>
      <c r="AH47" s="10"/>
      <c r="AI47" s="10"/>
      <c r="AJ47" s="10"/>
      <c r="AK47" s="31"/>
      <c r="AL47" s="31"/>
      <c r="AM47" s="31"/>
      <c r="AN47" s="40"/>
      <c r="AO47" s="40"/>
      <c r="AP47" s="40"/>
      <c r="AQ47" s="10"/>
      <c r="AR47" s="10"/>
      <c r="AS47" s="10"/>
      <c r="AT47" s="10"/>
      <c r="AU47" s="10"/>
      <c r="AV47" s="10"/>
      <c r="AW47" s="10"/>
      <c r="AX47" s="10"/>
      <c r="AY47" s="24"/>
    </row>
    <row r="48" spans="2:51" ht="0.75" customHeight="1" thickBot="1" x14ac:dyDescent="0.3">
      <c r="B48" s="23"/>
      <c r="C48" s="10"/>
      <c r="D48" s="10"/>
      <c r="E48" s="10"/>
      <c r="F48" s="10"/>
      <c r="G48" s="10"/>
      <c r="H48" s="10"/>
      <c r="I48" s="10"/>
      <c r="J48" s="10"/>
      <c r="K48" s="10"/>
      <c r="L48" s="10"/>
      <c r="M48" s="10"/>
      <c r="N48" s="10"/>
      <c r="O48" s="10"/>
      <c r="P48" s="10"/>
      <c r="Q48" s="10"/>
      <c r="R48" s="10"/>
      <c r="S48" s="10"/>
      <c r="T48" s="10"/>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24"/>
    </row>
    <row r="49" spans="2:53" ht="3" customHeight="1" thickBot="1" x14ac:dyDescent="0.3">
      <c r="B49" s="20"/>
      <c r="C49" s="12"/>
      <c r="D49" s="12"/>
      <c r="E49" s="12"/>
      <c r="F49" s="12"/>
      <c r="G49" s="12"/>
      <c r="H49" s="12"/>
      <c r="I49" s="12"/>
      <c r="J49" s="12"/>
      <c r="K49" s="12"/>
      <c r="L49" s="12"/>
      <c r="M49" s="12"/>
      <c r="N49" s="12"/>
      <c r="O49" s="12"/>
      <c r="P49" s="12"/>
      <c r="Q49" s="12"/>
      <c r="R49" s="12"/>
      <c r="S49" s="12"/>
      <c r="T49" s="12"/>
      <c r="U49" s="12"/>
      <c r="V49" s="12"/>
      <c r="W49" s="12"/>
      <c r="X49" s="12"/>
      <c r="Y49" s="12"/>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21"/>
    </row>
    <row r="50" spans="2:53" ht="15" customHeight="1" thickBot="1" x14ac:dyDescent="0.3">
      <c r="B50" s="19"/>
      <c r="C50" s="7"/>
      <c r="D50" s="7"/>
      <c r="E50" s="7"/>
      <c r="F50" s="7"/>
      <c r="G50" s="7"/>
      <c r="H50" s="7"/>
      <c r="I50" s="7"/>
      <c r="J50" s="7"/>
      <c r="K50" s="7"/>
      <c r="L50" s="7"/>
      <c r="M50" s="7"/>
      <c r="N50" s="7"/>
      <c r="O50" s="7"/>
      <c r="P50" s="7"/>
      <c r="Q50" s="7"/>
      <c r="R50" s="312" t="s">
        <v>93</v>
      </c>
      <c r="S50" s="313"/>
      <c r="T50" s="313"/>
      <c r="U50" s="313"/>
      <c r="V50" s="313"/>
      <c r="W50" s="313"/>
      <c r="X50" s="313"/>
      <c r="Y50" s="313"/>
      <c r="Z50" s="313"/>
      <c r="AA50" s="313"/>
      <c r="AB50" s="313"/>
      <c r="AC50" s="313"/>
      <c r="AD50" s="313"/>
      <c r="AE50" s="313"/>
      <c r="AF50" s="313"/>
      <c r="AG50" s="313"/>
      <c r="AH50" s="313"/>
      <c r="AI50" s="314"/>
      <c r="AJ50" s="7"/>
      <c r="AK50" s="7"/>
      <c r="AL50" s="7"/>
      <c r="AM50" s="7"/>
      <c r="AN50" s="7"/>
      <c r="AO50" s="7"/>
      <c r="AP50" s="7"/>
      <c r="AQ50" s="7"/>
      <c r="AR50" s="7"/>
      <c r="AS50" s="7"/>
      <c r="AT50" s="7"/>
      <c r="AU50" s="7"/>
      <c r="AV50" s="7"/>
      <c r="AW50" s="7"/>
      <c r="AX50" s="7"/>
      <c r="AY50" s="22"/>
      <c r="BA50" s="43"/>
    </row>
    <row r="51" spans="2:53" ht="6" customHeight="1" x14ac:dyDescent="0.25">
      <c r="B51" s="19"/>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22"/>
      <c r="BA51" s="43"/>
    </row>
    <row r="52" spans="2:53" ht="14.45" customHeight="1" x14ac:dyDescent="0.25">
      <c r="B52" s="19"/>
      <c r="C52" s="278" t="s">
        <v>94</v>
      </c>
      <c r="D52" s="278"/>
      <c r="E52" s="278"/>
      <c r="F52" s="7"/>
      <c r="G52" s="5">
        <v>30</v>
      </c>
      <c r="H52" s="259" t="s">
        <v>95</v>
      </c>
      <c r="I52" s="260"/>
      <c r="J52" s="261"/>
      <c r="K52" s="7"/>
      <c r="L52" s="7"/>
      <c r="M52" s="278" t="s">
        <v>96</v>
      </c>
      <c r="N52" s="278"/>
      <c r="O52" s="278"/>
      <c r="P52" s="7"/>
      <c r="Q52" s="7"/>
      <c r="R52" s="278" t="s">
        <v>97</v>
      </c>
      <c r="S52" s="278"/>
      <c r="T52" s="278"/>
      <c r="U52" s="7"/>
      <c r="V52" s="7"/>
      <c r="W52" s="278" t="s">
        <v>98</v>
      </c>
      <c r="X52" s="278"/>
      <c r="Y52" s="278"/>
      <c r="Z52" s="7"/>
      <c r="AA52" s="7"/>
      <c r="AB52" s="259" t="s">
        <v>99</v>
      </c>
      <c r="AC52" s="260"/>
      <c r="AD52" s="261"/>
      <c r="AE52" s="7"/>
      <c r="AF52" s="66"/>
      <c r="AG52" s="259" t="s">
        <v>100</v>
      </c>
      <c r="AH52" s="260"/>
      <c r="AI52" s="261"/>
      <c r="AJ52" s="7"/>
      <c r="AK52" s="66"/>
      <c r="AL52" s="278" t="s">
        <v>101</v>
      </c>
      <c r="AM52" s="278"/>
      <c r="AN52" s="278"/>
      <c r="AO52" s="7"/>
      <c r="AP52" s="309" t="s">
        <v>40</v>
      </c>
      <c r="AQ52" s="278" t="s">
        <v>102</v>
      </c>
      <c r="AR52" s="278"/>
      <c r="AS52" s="278"/>
      <c r="AT52" s="66"/>
      <c r="AU52" s="66"/>
      <c r="AV52" s="278" t="s">
        <v>103</v>
      </c>
      <c r="AW52" s="278"/>
      <c r="AX52" s="278"/>
      <c r="AY52" s="22"/>
      <c r="BA52" s="43"/>
    </row>
    <row r="53" spans="2:53" x14ac:dyDescent="0.25">
      <c r="B53" s="19"/>
      <c r="C53" s="278"/>
      <c r="D53" s="278"/>
      <c r="E53" s="278"/>
      <c r="F53" s="7"/>
      <c r="G53" s="5">
        <v>40</v>
      </c>
      <c r="H53" s="262"/>
      <c r="I53" s="263"/>
      <c r="J53" s="264"/>
      <c r="K53" s="7"/>
      <c r="L53" s="5">
        <v>42</v>
      </c>
      <c r="M53" s="278"/>
      <c r="N53" s="278"/>
      <c r="O53" s="278"/>
      <c r="P53" s="7"/>
      <c r="Q53" s="7"/>
      <c r="R53" s="278"/>
      <c r="S53" s="278"/>
      <c r="T53" s="278"/>
      <c r="U53" s="7"/>
      <c r="V53" s="7"/>
      <c r="W53" s="278"/>
      <c r="X53" s="278"/>
      <c r="Y53" s="278"/>
      <c r="Z53" s="7"/>
      <c r="AA53" s="7"/>
      <c r="AB53" s="262"/>
      <c r="AC53" s="263"/>
      <c r="AD53" s="264"/>
      <c r="AE53" s="7"/>
      <c r="AF53" s="66"/>
      <c r="AG53" s="262"/>
      <c r="AH53" s="263"/>
      <c r="AI53" s="264"/>
      <c r="AJ53" s="7"/>
      <c r="AK53" s="5">
        <v>18</v>
      </c>
      <c r="AL53" s="278"/>
      <c r="AM53" s="278"/>
      <c r="AN53" s="278"/>
      <c r="AO53" s="7"/>
      <c r="AP53" s="309"/>
      <c r="AQ53" s="278"/>
      <c r="AR53" s="278"/>
      <c r="AS53" s="278"/>
      <c r="AT53" s="66"/>
      <c r="AU53" s="66"/>
      <c r="AV53" s="278"/>
      <c r="AW53" s="278"/>
      <c r="AX53" s="278"/>
      <c r="AY53" s="22"/>
      <c r="BA53" s="43"/>
    </row>
    <row r="54" spans="2:53" ht="26.25" customHeight="1" x14ac:dyDescent="0.25">
      <c r="B54" s="38">
        <v>37</v>
      </c>
      <c r="C54" s="278"/>
      <c r="D54" s="278"/>
      <c r="E54" s="278"/>
      <c r="F54" s="7"/>
      <c r="G54" s="5">
        <v>49</v>
      </c>
      <c r="H54" s="265"/>
      <c r="I54" s="266"/>
      <c r="J54" s="267"/>
      <c r="K54" s="7"/>
      <c r="L54" s="5">
        <v>40</v>
      </c>
      <c r="M54" s="278"/>
      <c r="N54" s="278"/>
      <c r="O54" s="278"/>
      <c r="P54" s="7"/>
      <c r="Q54" s="5">
        <v>46</v>
      </c>
      <c r="R54" s="278"/>
      <c r="S54" s="278"/>
      <c r="T54" s="278"/>
      <c r="U54" s="7"/>
      <c r="V54" s="5">
        <v>45</v>
      </c>
      <c r="W54" s="278"/>
      <c r="X54" s="278"/>
      <c r="Y54" s="278"/>
      <c r="Z54" s="7"/>
      <c r="AA54" s="5">
        <v>35</v>
      </c>
      <c r="AB54" s="265"/>
      <c r="AC54" s="266"/>
      <c r="AD54" s="267"/>
      <c r="AE54" s="7"/>
      <c r="AF54" s="66"/>
      <c r="AG54" s="265"/>
      <c r="AH54" s="266"/>
      <c r="AI54" s="267"/>
      <c r="AJ54" s="7"/>
      <c r="AK54" s="5">
        <v>20</v>
      </c>
      <c r="AL54" s="278"/>
      <c r="AM54" s="278"/>
      <c r="AN54" s="278"/>
      <c r="AO54" s="7"/>
      <c r="AP54" s="310"/>
      <c r="AQ54" s="278"/>
      <c r="AR54" s="278"/>
      <c r="AS54" s="278"/>
      <c r="AT54" s="66"/>
      <c r="AU54" s="5">
        <v>37</v>
      </c>
      <c r="AV54" s="278"/>
      <c r="AW54" s="278"/>
      <c r="AX54" s="278"/>
      <c r="AY54" s="22"/>
      <c r="BA54" s="43"/>
    </row>
    <row r="55" spans="2:53" x14ac:dyDescent="0.25">
      <c r="B55" s="38"/>
      <c r="C55" s="6">
        <v>30</v>
      </c>
      <c r="D55" s="6">
        <v>15</v>
      </c>
      <c r="E55" s="6">
        <f>C55+D55</f>
        <v>45</v>
      </c>
      <c r="F55" s="7"/>
      <c r="G55" s="7"/>
      <c r="H55" s="6">
        <v>45</v>
      </c>
      <c r="I55" s="6">
        <v>15</v>
      </c>
      <c r="J55" s="6">
        <f>H55+I55</f>
        <v>60</v>
      </c>
      <c r="K55" s="7"/>
      <c r="L55" s="14"/>
      <c r="M55" s="6">
        <v>45</v>
      </c>
      <c r="N55" s="6">
        <v>15</v>
      </c>
      <c r="O55" s="6">
        <f>M55+N55</f>
        <v>60</v>
      </c>
      <c r="P55" s="7"/>
      <c r="Q55" s="7"/>
      <c r="R55" s="6">
        <v>30</v>
      </c>
      <c r="S55" s="6">
        <v>0</v>
      </c>
      <c r="T55" s="6">
        <f>R55+S55</f>
        <v>30</v>
      </c>
      <c r="U55" s="7"/>
      <c r="V55" s="7"/>
      <c r="W55" s="6">
        <v>45</v>
      </c>
      <c r="X55" s="6">
        <v>15</v>
      </c>
      <c r="Y55" s="6">
        <f>W55+X55</f>
        <v>60</v>
      </c>
      <c r="Z55" s="7"/>
      <c r="AA55" s="7"/>
      <c r="AB55" s="6">
        <v>45</v>
      </c>
      <c r="AC55" s="6">
        <v>0</v>
      </c>
      <c r="AD55" s="6">
        <f>AB55+AC55</f>
        <v>45</v>
      </c>
      <c r="AE55" s="7"/>
      <c r="AF55" s="66"/>
      <c r="AG55" s="6">
        <v>30</v>
      </c>
      <c r="AH55" s="6">
        <v>30</v>
      </c>
      <c r="AI55" s="6">
        <f>AG55+AH55</f>
        <v>60</v>
      </c>
      <c r="AJ55" s="7"/>
      <c r="AK55" s="66"/>
      <c r="AL55" s="6">
        <v>45</v>
      </c>
      <c r="AM55" s="6">
        <v>15</v>
      </c>
      <c r="AN55" s="6">
        <f>AL55+AM55</f>
        <v>60</v>
      </c>
      <c r="AO55" s="7"/>
      <c r="AP55" s="7"/>
      <c r="AQ55" s="6">
        <v>60</v>
      </c>
      <c r="AR55" s="6">
        <v>0</v>
      </c>
      <c r="AS55" s="6">
        <f>AQ55+AR55</f>
        <v>60</v>
      </c>
      <c r="AT55" s="66"/>
      <c r="AU55" s="66"/>
      <c r="AV55" s="6">
        <v>45</v>
      </c>
      <c r="AW55" s="6">
        <v>15</v>
      </c>
      <c r="AX55" s="6">
        <f>AV55+AW55</f>
        <v>60</v>
      </c>
      <c r="AY55" s="22"/>
      <c r="BA55" s="43"/>
    </row>
    <row r="56" spans="2:53" ht="4.5" customHeight="1" x14ac:dyDescent="0.25">
      <c r="B56" s="19"/>
      <c r="C56" s="54"/>
      <c r="D56" s="54"/>
      <c r="E56" s="54"/>
      <c r="F56" s="7"/>
      <c r="G56" s="7"/>
      <c r="H56" s="54"/>
      <c r="I56" s="54"/>
      <c r="J56" s="54"/>
      <c r="K56" s="7"/>
      <c r="L56" s="7"/>
      <c r="M56" s="54"/>
      <c r="N56" s="54"/>
      <c r="O56" s="54"/>
      <c r="P56" s="7"/>
      <c r="Q56" s="7"/>
      <c r="R56" s="54"/>
      <c r="S56" s="54"/>
      <c r="T56" s="54"/>
      <c r="U56" s="7"/>
      <c r="V56" s="7"/>
      <c r="W56" s="54"/>
      <c r="X56" s="54"/>
      <c r="Y56" s="54"/>
      <c r="Z56" s="7"/>
      <c r="AA56" s="50"/>
      <c r="AB56" s="54"/>
      <c r="AC56" s="54"/>
      <c r="AD56" s="54"/>
      <c r="AE56" s="7"/>
      <c r="AF56" s="7"/>
      <c r="AG56" s="65"/>
      <c r="AH56" s="65"/>
      <c r="AI56" s="65"/>
      <c r="AJ56" s="65"/>
      <c r="AK56" s="65"/>
      <c r="AL56" s="65"/>
      <c r="AM56" s="65"/>
      <c r="AN56" s="65"/>
      <c r="AO56" s="7"/>
      <c r="AP56" s="7"/>
      <c r="AQ56" s="65"/>
      <c r="AR56" s="65"/>
      <c r="AS56" s="65"/>
      <c r="AT56" s="65"/>
      <c r="AU56" s="65"/>
      <c r="AV56" s="65"/>
      <c r="AW56" s="65"/>
      <c r="AX56" s="65"/>
      <c r="AY56" s="22"/>
      <c r="BA56" s="43"/>
    </row>
    <row r="57" spans="2:53" ht="14.45" customHeight="1" x14ac:dyDescent="0.25">
      <c r="B57" s="19"/>
      <c r="C57" s="278" t="s">
        <v>104</v>
      </c>
      <c r="D57" s="278"/>
      <c r="E57" s="278"/>
      <c r="F57" s="7"/>
      <c r="G57" s="7"/>
      <c r="H57" s="278" t="s">
        <v>105</v>
      </c>
      <c r="I57" s="278"/>
      <c r="J57" s="278"/>
      <c r="K57" s="7"/>
      <c r="L57" s="7"/>
      <c r="M57" s="259" t="s">
        <v>106</v>
      </c>
      <c r="N57" s="260"/>
      <c r="O57" s="261"/>
      <c r="P57" s="7"/>
      <c r="Q57" s="7"/>
      <c r="R57" s="278" t="s">
        <v>107</v>
      </c>
      <c r="S57" s="278"/>
      <c r="T57" s="278"/>
      <c r="U57" s="7"/>
      <c r="V57" s="7"/>
      <c r="W57" s="278" t="s">
        <v>108</v>
      </c>
      <c r="X57" s="278"/>
      <c r="Y57" s="278"/>
      <c r="Z57" s="50"/>
      <c r="AA57" s="307" t="s">
        <v>40</v>
      </c>
      <c r="AB57" s="298" t="s">
        <v>109</v>
      </c>
      <c r="AC57" s="299"/>
      <c r="AD57" s="300"/>
      <c r="AE57" s="7"/>
      <c r="AF57" s="307" t="s">
        <v>40</v>
      </c>
      <c r="AG57" s="298" t="s">
        <v>110</v>
      </c>
      <c r="AH57" s="299"/>
      <c r="AI57" s="300"/>
      <c r="AJ57" s="7"/>
      <c r="AK57" s="307" t="s">
        <v>40</v>
      </c>
      <c r="AL57" s="298" t="s">
        <v>111</v>
      </c>
      <c r="AM57" s="299"/>
      <c r="AN57" s="300"/>
      <c r="AO57" s="66"/>
      <c r="AP57" s="307" t="s">
        <v>40</v>
      </c>
      <c r="AQ57" s="311" t="s">
        <v>112</v>
      </c>
      <c r="AR57" s="311"/>
      <c r="AS57" s="311"/>
      <c r="AT57" s="50"/>
      <c r="AU57" s="50"/>
      <c r="AV57" s="50"/>
      <c r="AW57" s="50"/>
      <c r="AX57" s="50"/>
      <c r="AY57" s="29"/>
      <c r="BA57" s="43"/>
    </row>
    <row r="58" spans="2:53" x14ac:dyDescent="0.25">
      <c r="B58" s="19"/>
      <c r="C58" s="278"/>
      <c r="D58" s="278"/>
      <c r="E58" s="278"/>
      <c r="F58" s="7"/>
      <c r="G58" s="7"/>
      <c r="H58" s="278"/>
      <c r="I58" s="278"/>
      <c r="J58" s="278"/>
      <c r="K58" s="7"/>
      <c r="L58" s="7"/>
      <c r="M58" s="262"/>
      <c r="N58" s="263"/>
      <c r="O58" s="264"/>
      <c r="P58" s="7"/>
      <c r="Q58" s="7"/>
      <c r="R58" s="278"/>
      <c r="S58" s="278"/>
      <c r="T58" s="278"/>
      <c r="U58" s="7"/>
      <c r="V58" s="7"/>
      <c r="W58" s="278"/>
      <c r="X58" s="278"/>
      <c r="Y58" s="278"/>
      <c r="Z58" s="50"/>
      <c r="AA58" s="307"/>
      <c r="AB58" s="301"/>
      <c r="AC58" s="302"/>
      <c r="AD58" s="303"/>
      <c r="AE58" s="7"/>
      <c r="AF58" s="307"/>
      <c r="AG58" s="301"/>
      <c r="AH58" s="302"/>
      <c r="AI58" s="303"/>
      <c r="AJ58" s="7"/>
      <c r="AK58" s="307"/>
      <c r="AL58" s="301"/>
      <c r="AM58" s="302"/>
      <c r="AN58" s="303"/>
      <c r="AO58" s="66"/>
      <c r="AP58" s="307"/>
      <c r="AQ58" s="311"/>
      <c r="AR58" s="311"/>
      <c r="AS58" s="311"/>
      <c r="AT58" s="50"/>
      <c r="AU58" s="50"/>
      <c r="AV58" s="50"/>
      <c r="AW58" s="50"/>
      <c r="AX58" s="50"/>
      <c r="AY58" s="29"/>
      <c r="BA58" s="43"/>
    </row>
    <row r="59" spans="2:53" ht="27.75" customHeight="1" x14ac:dyDescent="0.25">
      <c r="B59" s="38">
        <v>15</v>
      </c>
      <c r="C59" s="278"/>
      <c r="D59" s="278"/>
      <c r="E59" s="278"/>
      <c r="F59" s="7"/>
      <c r="G59" s="5">
        <v>37</v>
      </c>
      <c r="H59" s="278"/>
      <c r="I59" s="278"/>
      <c r="J59" s="278"/>
      <c r="K59" s="7"/>
      <c r="L59" s="5">
        <v>35</v>
      </c>
      <c r="M59" s="265"/>
      <c r="N59" s="266"/>
      <c r="O59" s="267"/>
      <c r="P59" s="7"/>
      <c r="Q59" s="5">
        <v>49</v>
      </c>
      <c r="R59" s="278"/>
      <c r="S59" s="278"/>
      <c r="T59" s="278"/>
      <c r="U59" s="7"/>
      <c r="V59" s="58" t="str">
        <f>LEFT(AL8,2)</f>
        <v>52</v>
      </c>
      <c r="W59" s="278"/>
      <c r="X59" s="278"/>
      <c r="Y59" s="278"/>
      <c r="Z59" s="50"/>
      <c r="AA59" s="308"/>
      <c r="AB59" s="304"/>
      <c r="AC59" s="305"/>
      <c r="AD59" s="306"/>
      <c r="AE59" s="7"/>
      <c r="AF59" s="308"/>
      <c r="AG59" s="304"/>
      <c r="AH59" s="305"/>
      <c r="AI59" s="306"/>
      <c r="AJ59" s="7"/>
      <c r="AK59" s="308"/>
      <c r="AL59" s="304"/>
      <c r="AM59" s="305"/>
      <c r="AN59" s="306"/>
      <c r="AO59" s="66"/>
      <c r="AP59" s="308"/>
      <c r="AQ59" s="311"/>
      <c r="AR59" s="311"/>
      <c r="AS59" s="311"/>
      <c r="AT59" s="50"/>
      <c r="AU59" s="50"/>
      <c r="AV59" s="50"/>
      <c r="AW59" s="50"/>
      <c r="AX59" s="50"/>
      <c r="AY59" s="29"/>
      <c r="BA59" s="43"/>
    </row>
    <row r="60" spans="2:53" x14ac:dyDescent="0.25">
      <c r="B60" s="19"/>
      <c r="C60" s="6">
        <v>30</v>
      </c>
      <c r="D60" s="6">
        <v>30</v>
      </c>
      <c r="E60" s="6">
        <f>C60+D60</f>
        <v>60</v>
      </c>
      <c r="F60" s="7"/>
      <c r="G60" s="7"/>
      <c r="H60" s="6">
        <v>30</v>
      </c>
      <c r="I60" s="6">
        <v>15</v>
      </c>
      <c r="J60" s="6">
        <f>H60+I60</f>
        <v>45</v>
      </c>
      <c r="K60" s="7"/>
      <c r="L60" s="7"/>
      <c r="M60" s="6">
        <v>60</v>
      </c>
      <c r="N60" s="6">
        <v>0</v>
      </c>
      <c r="O60" s="6">
        <f>M60+N60</f>
        <v>60</v>
      </c>
      <c r="P60" s="7"/>
      <c r="Q60" s="7"/>
      <c r="R60" s="6">
        <v>30</v>
      </c>
      <c r="S60" s="6">
        <v>15</v>
      </c>
      <c r="T60" s="6">
        <f>R60+S60</f>
        <v>45</v>
      </c>
      <c r="U60" s="7"/>
      <c r="V60" s="7"/>
      <c r="W60" s="6">
        <v>45</v>
      </c>
      <c r="X60" s="6">
        <v>15</v>
      </c>
      <c r="Y60" s="6">
        <f>W60+X60</f>
        <v>60</v>
      </c>
      <c r="Z60" s="50"/>
      <c r="AA60" s="7"/>
      <c r="AB60" s="6">
        <v>60</v>
      </c>
      <c r="AC60" s="6">
        <v>0</v>
      </c>
      <c r="AD60" s="6">
        <f>AB60+AC60</f>
        <v>60</v>
      </c>
      <c r="AE60" s="7"/>
      <c r="AF60" s="14"/>
      <c r="AG60" s="6">
        <v>60</v>
      </c>
      <c r="AH60" s="6">
        <v>0</v>
      </c>
      <c r="AI60" s="6">
        <f>AG60+AH60</f>
        <v>60</v>
      </c>
      <c r="AJ60" s="7"/>
      <c r="AK60" s="7"/>
      <c r="AL60" s="6">
        <v>60</v>
      </c>
      <c r="AM60" s="6">
        <v>0</v>
      </c>
      <c r="AN60" s="6">
        <f>AL60+AM60</f>
        <v>60</v>
      </c>
      <c r="AO60" s="66"/>
      <c r="AP60" s="66"/>
      <c r="AQ60" s="6">
        <v>60</v>
      </c>
      <c r="AR60" s="6">
        <v>0</v>
      </c>
      <c r="AS60" s="6">
        <f>AQ60+AR60</f>
        <v>60</v>
      </c>
      <c r="AT60" s="50"/>
      <c r="AU60" s="50"/>
      <c r="AV60" s="50"/>
      <c r="AW60" s="50"/>
      <c r="AX60" s="50"/>
      <c r="AY60" s="29"/>
      <c r="BA60" s="43"/>
    </row>
    <row r="61" spans="2:53" ht="4.5" customHeight="1" thickBot="1" x14ac:dyDescent="0.3">
      <c r="B61" s="23"/>
      <c r="C61" s="13"/>
      <c r="D61" s="13"/>
      <c r="E61" s="13"/>
      <c r="F61" s="10"/>
      <c r="G61" s="10"/>
      <c r="H61" s="13"/>
      <c r="I61" s="13"/>
      <c r="J61" s="13"/>
      <c r="K61" s="10"/>
      <c r="L61" s="10"/>
      <c r="M61" s="13"/>
      <c r="N61" s="13"/>
      <c r="O61" s="13"/>
      <c r="P61" s="10"/>
      <c r="Q61" s="10"/>
      <c r="R61" s="13"/>
      <c r="S61" s="13"/>
      <c r="T61" s="13"/>
      <c r="U61" s="10"/>
      <c r="V61" s="10"/>
      <c r="W61" s="13"/>
      <c r="X61" s="13"/>
      <c r="Y61" s="13"/>
      <c r="Z61" s="10"/>
      <c r="AA61" s="10"/>
      <c r="AB61" s="13"/>
      <c r="AC61" s="13"/>
      <c r="AD61" s="13"/>
      <c r="AE61" s="10"/>
      <c r="AF61" s="10"/>
      <c r="AG61" s="9"/>
      <c r="AH61" s="9"/>
      <c r="AI61" s="9"/>
      <c r="AJ61" s="9"/>
      <c r="AK61" s="9"/>
      <c r="AL61" s="9"/>
      <c r="AM61" s="9"/>
      <c r="AN61" s="9"/>
      <c r="AO61" s="10"/>
      <c r="AP61" s="31"/>
      <c r="AQ61" s="31"/>
      <c r="AR61" s="31"/>
      <c r="AS61" s="31"/>
      <c r="AT61" s="31"/>
      <c r="AU61" s="31"/>
      <c r="AV61" s="31"/>
      <c r="AW61" s="31"/>
      <c r="AX61" s="31"/>
      <c r="AY61" s="32"/>
      <c r="BA61" s="43"/>
    </row>
    <row r="62" spans="2:53" ht="15" customHeight="1" x14ac:dyDescent="0.25">
      <c r="B62" s="289" t="s">
        <v>114</v>
      </c>
      <c r="C62" s="290"/>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90"/>
      <c r="AB62" s="290"/>
      <c r="AC62" s="290"/>
      <c r="AD62" s="290"/>
      <c r="AE62" s="290"/>
      <c r="AF62" s="290"/>
      <c r="AG62" s="290"/>
      <c r="AH62" s="290"/>
      <c r="AI62" s="290"/>
      <c r="AJ62" s="290"/>
      <c r="AK62" s="290"/>
      <c r="AL62" s="290"/>
      <c r="AM62" s="290"/>
      <c r="AN62" s="290"/>
      <c r="AO62" s="290"/>
      <c r="AP62" s="290"/>
      <c r="AQ62" s="290"/>
      <c r="AR62" s="290"/>
      <c r="AS62" s="290"/>
      <c r="AT62" s="290"/>
      <c r="AU62" s="290"/>
      <c r="AV62" s="290"/>
      <c r="AW62" s="290"/>
      <c r="AX62" s="290"/>
      <c r="AY62" s="291"/>
      <c r="BA62" s="43"/>
    </row>
    <row r="63" spans="2:53" x14ac:dyDescent="0.25">
      <c r="B63" s="292"/>
      <c r="C63" s="293"/>
      <c r="D63" s="293"/>
      <c r="E63" s="293"/>
      <c r="F63" s="293"/>
      <c r="G63" s="293"/>
      <c r="H63" s="293"/>
      <c r="I63" s="293"/>
      <c r="J63" s="293"/>
      <c r="K63" s="293"/>
      <c r="L63" s="293"/>
      <c r="M63" s="293"/>
      <c r="N63" s="293"/>
      <c r="O63" s="293"/>
      <c r="P63" s="293"/>
      <c r="Q63" s="293"/>
      <c r="R63" s="293"/>
      <c r="S63" s="293"/>
      <c r="T63" s="293"/>
      <c r="U63" s="293"/>
      <c r="V63" s="293"/>
      <c r="W63" s="293"/>
      <c r="X63" s="293"/>
      <c r="Y63" s="293"/>
      <c r="Z63" s="293"/>
      <c r="AA63" s="293"/>
      <c r="AB63" s="293"/>
      <c r="AC63" s="293"/>
      <c r="AD63" s="293"/>
      <c r="AE63" s="293"/>
      <c r="AF63" s="293"/>
      <c r="AG63" s="293"/>
      <c r="AH63" s="293"/>
      <c r="AI63" s="293"/>
      <c r="AJ63" s="293"/>
      <c r="AK63" s="293"/>
      <c r="AL63" s="293"/>
      <c r="AM63" s="293"/>
      <c r="AN63" s="293"/>
      <c r="AO63" s="293"/>
      <c r="AP63" s="293"/>
      <c r="AQ63" s="293"/>
      <c r="AR63" s="293"/>
      <c r="AS63" s="293"/>
      <c r="AT63" s="293"/>
      <c r="AU63" s="293"/>
      <c r="AV63" s="293"/>
      <c r="AW63" s="293"/>
      <c r="AX63" s="293"/>
      <c r="AY63" s="294"/>
    </row>
    <row r="64" spans="2:53" x14ac:dyDescent="0.25">
      <c r="B64" s="292"/>
      <c r="C64" s="293"/>
      <c r="D64" s="293"/>
      <c r="E64" s="293"/>
      <c r="F64" s="293"/>
      <c r="G64" s="293"/>
      <c r="H64" s="293"/>
      <c r="I64" s="293"/>
      <c r="J64" s="293"/>
      <c r="K64" s="293"/>
      <c r="L64" s="293"/>
      <c r="M64" s="293"/>
      <c r="N64" s="293"/>
      <c r="O64" s="293"/>
      <c r="P64" s="293"/>
      <c r="Q64" s="293"/>
      <c r="R64" s="293"/>
      <c r="S64" s="293"/>
      <c r="T64" s="293"/>
      <c r="U64" s="293"/>
      <c r="V64" s="293"/>
      <c r="W64" s="293"/>
      <c r="X64" s="293"/>
      <c r="Y64" s="293"/>
      <c r="Z64" s="293"/>
      <c r="AA64" s="293"/>
      <c r="AB64" s="293"/>
      <c r="AC64" s="293"/>
      <c r="AD64" s="293"/>
      <c r="AE64" s="293"/>
      <c r="AF64" s="293"/>
      <c r="AG64" s="293"/>
      <c r="AH64" s="293"/>
      <c r="AI64" s="293"/>
      <c r="AJ64" s="293"/>
      <c r="AK64" s="293"/>
      <c r="AL64" s="293"/>
      <c r="AM64" s="293"/>
      <c r="AN64" s="293"/>
      <c r="AO64" s="293"/>
      <c r="AP64" s="293"/>
      <c r="AQ64" s="293"/>
      <c r="AR64" s="293"/>
      <c r="AS64" s="293"/>
      <c r="AT64" s="293"/>
      <c r="AU64" s="293"/>
      <c r="AV64" s="293"/>
      <c r="AW64" s="293"/>
      <c r="AX64" s="293"/>
      <c r="AY64" s="294"/>
    </row>
    <row r="65" spans="2:51" x14ac:dyDescent="0.25">
      <c r="B65" s="292"/>
      <c r="C65" s="293"/>
      <c r="D65" s="293"/>
      <c r="E65" s="293"/>
      <c r="F65" s="293"/>
      <c r="G65" s="293"/>
      <c r="H65" s="293"/>
      <c r="I65" s="293"/>
      <c r="J65" s="293"/>
      <c r="K65" s="293"/>
      <c r="L65" s="293"/>
      <c r="M65" s="293"/>
      <c r="N65" s="293"/>
      <c r="O65" s="293"/>
      <c r="P65" s="293"/>
      <c r="Q65" s="293"/>
      <c r="R65" s="293"/>
      <c r="S65" s="293"/>
      <c r="T65" s="293"/>
      <c r="U65" s="293"/>
      <c r="V65" s="293"/>
      <c r="W65" s="293"/>
      <c r="X65" s="293"/>
      <c r="Y65" s="293"/>
      <c r="Z65" s="293"/>
      <c r="AA65" s="293"/>
      <c r="AB65" s="293"/>
      <c r="AC65" s="293"/>
      <c r="AD65" s="293"/>
      <c r="AE65" s="293"/>
      <c r="AF65" s="293"/>
      <c r="AG65" s="293"/>
      <c r="AH65" s="293"/>
      <c r="AI65" s="293"/>
      <c r="AJ65" s="293"/>
      <c r="AK65" s="293"/>
      <c r="AL65" s="293"/>
      <c r="AM65" s="293"/>
      <c r="AN65" s="293"/>
      <c r="AO65" s="293"/>
      <c r="AP65" s="293"/>
      <c r="AQ65" s="293"/>
      <c r="AR65" s="293"/>
      <c r="AS65" s="293"/>
      <c r="AT65" s="293"/>
      <c r="AU65" s="293"/>
      <c r="AV65" s="293"/>
      <c r="AW65" s="293"/>
      <c r="AX65" s="293"/>
      <c r="AY65" s="294"/>
    </row>
    <row r="66" spans="2:51" x14ac:dyDescent="0.25">
      <c r="B66" s="292"/>
      <c r="C66" s="293"/>
      <c r="D66" s="293"/>
      <c r="E66" s="293"/>
      <c r="F66" s="293"/>
      <c r="G66" s="293"/>
      <c r="H66" s="293"/>
      <c r="I66" s="293"/>
      <c r="J66" s="293"/>
      <c r="K66" s="293"/>
      <c r="L66" s="293"/>
      <c r="M66" s="293"/>
      <c r="N66" s="293"/>
      <c r="O66" s="293"/>
      <c r="P66" s="293"/>
      <c r="Q66" s="293"/>
      <c r="R66" s="293"/>
      <c r="S66" s="293"/>
      <c r="T66" s="293"/>
      <c r="U66" s="293"/>
      <c r="V66" s="293"/>
      <c r="W66" s="293"/>
      <c r="X66" s="293"/>
      <c r="Y66" s="293"/>
      <c r="Z66" s="293"/>
      <c r="AA66" s="293"/>
      <c r="AB66" s="293"/>
      <c r="AC66" s="293"/>
      <c r="AD66" s="293"/>
      <c r="AE66" s="293"/>
      <c r="AF66" s="293"/>
      <c r="AG66" s="293"/>
      <c r="AH66" s="293"/>
      <c r="AI66" s="293"/>
      <c r="AJ66" s="293"/>
      <c r="AK66" s="293"/>
      <c r="AL66" s="293"/>
      <c r="AM66" s="293"/>
      <c r="AN66" s="293"/>
      <c r="AO66" s="293"/>
      <c r="AP66" s="293"/>
      <c r="AQ66" s="293"/>
      <c r="AR66" s="293"/>
      <c r="AS66" s="293"/>
      <c r="AT66" s="293"/>
      <c r="AU66" s="293"/>
      <c r="AV66" s="293"/>
      <c r="AW66" s="293"/>
      <c r="AX66" s="293"/>
      <c r="AY66" s="294"/>
    </row>
    <row r="67" spans="2:51" x14ac:dyDescent="0.25">
      <c r="B67" s="292"/>
      <c r="C67" s="293"/>
      <c r="D67" s="293"/>
      <c r="E67" s="293"/>
      <c r="F67" s="293"/>
      <c r="G67" s="293"/>
      <c r="H67" s="293"/>
      <c r="I67" s="293"/>
      <c r="J67" s="293"/>
      <c r="K67" s="293"/>
      <c r="L67" s="293"/>
      <c r="M67" s="293"/>
      <c r="N67" s="293"/>
      <c r="O67" s="293"/>
      <c r="P67" s="293"/>
      <c r="Q67" s="293"/>
      <c r="R67" s="293"/>
      <c r="S67" s="293"/>
      <c r="T67" s="293"/>
      <c r="U67" s="293"/>
      <c r="V67" s="293"/>
      <c r="W67" s="293"/>
      <c r="X67" s="293"/>
      <c r="Y67" s="293"/>
      <c r="Z67" s="293"/>
      <c r="AA67" s="293"/>
      <c r="AB67" s="293"/>
      <c r="AC67" s="293"/>
      <c r="AD67" s="293"/>
      <c r="AE67" s="293"/>
      <c r="AF67" s="293"/>
      <c r="AG67" s="293"/>
      <c r="AH67" s="293"/>
      <c r="AI67" s="293"/>
      <c r="AJ67" s="293"/>
      <c r="AK67" s="293"/>
      <c r="AL67" s="293"/>
      <c r="AM67" s="293"/>
      <c r="AN67" s="293"/>
      <c r="AO67" s="293"/>
      <c r="AP67" s="293"/>
      <c r="AQ67" s="293"/>
      <c r="AR67" s="293"/>
      <c r="AS67" s="293"/>
      <c r="AT67" s="293"/>
      <c r="AU67" s="293"/>
      <c r="AV67" s="293"/>
      <c r="AW67" s="293"/>
      <c r="AX67" s="293"/>
      <c r="AY67" s="294"/>
    </row>
    <row r="68" spans="2:51" x14ac:dyDescent="0.25">
      <c r="B68" s="292"/>
      <c r="C68" s="293"/>
      <c r="D68" s="293"/>
      <c r="E68" s="293"/>
      <c r="F68" s="293"/>
      <c r="G68" s="293"/>
      <c r="H68" s="293"/>
      <c r="I68" s="293"/>
      <c r="J68" s="293"/>
      <c r="K68" s="293"/>
      <c r="L68" s="293"/>
      <c r="M68" s="293"/>
      <c r="N68" s="293"/>
      <c r="O68" s="293"/>
      <c r="P68" s="293"/>
      <c r="Q68" s="293"/>
      <c r="R68" s="293"/>
      <c r="S68" s="293"/>
      <c r="T68" s="293"/>
      <c r="U68" s="293"/>
      <c r="V68" s="293"/>
      <c r="W68" s="293"/>
      <c r="X68" s="293"/>
      <c r="Y68" s="293"/>
      <c r="Z68" s="293"/>
      <c r="AA68" s="293"/>
      <c r="AB68" s="293"/>
      <c r="AC68" s="293"/>
      <c r="AD68" s="293"/>
      <c r="AE68" s="293"/>
      <c r="AF68" s="293"/>
      <c r="AG68" s="293"/>
      <c r="AH68" s="293"/>
      <c r="AI68" s="293"/>
      <c r="AJ68" s="293"/>
      <c r="AK68" s="293"/>
      <c r="AL68" s="293"/>
      <c r="AM68" s="293"/>
      <c r="AN68" s="293"/>
      <c r="AO68" s="293"/>
      <c r="AP68" s="293"/>
      <c r="AQ68" s="293"/>
      <c r="AR68" s="293"/>
      <c r="AS68" s="293"/>
      <c r="AT68" s="293"/>
      <c r="AU68" s="293"/>
      <c r="AV68" s="293"/>
      <c r="AW68" s="293"/>
      <c r="AX68" s="293"/>
      <c r="AY68" s="294"/>
    </row>
    <row r="69" spans="2:51" ht="22.5" customHeight="1" thickBot="1" x14ac:dyDescent="0.3">
      <c r="B69" s="295"/>
      <c r="C69" s="296"/>
      <c r="D69" s="296"/>
      <c r="E69" s="296"/>
      <c r="F69" s="296"/>
      <c r="G69" s="296"/>
      <c r="H69" s="296"/>
      <c r="I69" s="296"/>
      <c r="J69" s="296"/>
      <c r="K69" s="296"/>
      <c r="L69" s="296"/>
      <c r="M69" s="296"/>
      <c r="N69" s="296"/>
      <c r="O69" s="296"/>
      <c r="P69" s="296"/>
      <c r="Q69" s="296"/>
      <c r="R69" s="296"/>
      <c r="S69" s="296"/>
      <c r="T69" s="296"/>
      <c r="U69" s="296"/>
      <c r="V69" s="296"/>
      <c r="W69" s="296"/>
      <c r="X69" s="296"/>
      <c r="Y69" s="296"/>
      <c r="Z69" s="296"/>
      <c r="AA69" s="296"/>
      <c r="AB69" s="296"/>
      <c r="AC69" s="296"/>
      <c r="AD69" s="296"/>
      <c r="AE69" s="296"/>
      <c r="AF69" s="296"/>
      <c r="AG69" s="296"/>
      <c r="AH69" s="296"/>
      <c r="AI69" s="296"/>
      <c r="AJ69" s="296"/>
      <c r="AK69" s="296"/>
      <c r="AL69" s="296"/>
      <c r="AM69" s="296"/>
      <c r="AN69" s="296"/>
      <c r="AO69" s="296"/>
      <c r="AP69" s="296"/>
      <c r="AQ69" s="296"/>
      <c r="AR69" s="296"/>
      <c r="AS69" s="296"/>
      <c r="AT69" s="296"/>
      <c r="AU69" s="296"/>
      <c r="AV69" s="296"/>
      <c r="AW69" s="296"/>
      <c r="AX69" s="296"/>
      <c r="AY69" s="297"/>
    </row>
    <row r="70" spans="2:51" ht="6" customHeight="1" x14ac:dyDescent="0.25">
      <c r="C70"/>
      <c r="D70"/>
      <c r="E70"/>
      <c r="F70"/>
      <c r="G70"/>
      <c r="H70"/>
      <c r="L70" s="7"/>
      <c r="M70" s="7"/>
      <c r="N70" s="7"/>
      <c r="O70" s="7"/>
      <c r="R70" s="7"/>
      <c r="S70" s="7"/>
      <c r="T70" s="7"/>
      <c r="U70" s="7"/>
      <c r="V70" s="7"/>
      <c r="W70" s="7"/>
      <c r="X70" s="7"/>
      <c r="Y70" s="7"/>
      <c r="AA70" s="7"/>
      <c r="AB70" s="7"/>
      <c r="AC70" s="7"/>
      <c r="AD70" s="7"/>
      <c r="AF70" s="7"/>
      <c r="AG70" s="7"/>
      <c r="AH70" s="7"/>
      <c r="AI70" s="7"/>
      <c r="AK70" s="7"/>
      <c r="AL70" s="7"/>
      <c r="AM70" s="7"/>
      <c r="AN70" s="7"/>
      <c r="AP70" s="7"/>
      <c r="AQ70" s="7"/>
      <c r="AR70" s="7"/>
      <c r="AS70" s="7"/>
    </row>
    <row r="71" spans="2:51" x14ac:dyDescent="0.25">
      <c r="C71"/>
      <c r="D71"/>
      <c r="E71"/>
      <c r="F71"/>
      <c r="G71"/>
      <c r="H71"/>
    </row>
    <row r="75" spans="2:51" x14ac:dyDescent="0.25">
      <c r="L75" s="7"/>
      <c r="M75" s="7"/>
      <c r="N75" s="7"/>
      <c r="O75" s="7"/>
      <c r="R75" s="7"/>
      <c r="S75" s="7"/>
      <c r="T75" s="7"/>
      <c r="U75" s="7"/>
      <c r="V75" s="7"/>
      <c r="W75" s="7"/>
      <c r="X75" s="7"/>
      <c r="Y75" s="7"/>
      <c r="AA75" s="7"/>
      <c r="AB75" s="7"/>
      <c r="AC75" s="7"/>
      <c r="AD75" s="7"/>
      <c r="AF75" s="7"/>
      <c r="AG75" s="7"/>
      <c r="AH75" s="7"/>
      <c r="AI75" s="7"/>
      <c r="AK75" s="7"/>
      <c r="AL75" s="7"/>
      <c r="AM75" s="7"/>
      <c r="AN75" s="7"/>
      <c r="AP75" s="7"/>
      <c r="AQ75" s="7"/>
      <c r="AR75" s="7"/>
      <c r="AS75" s="7"/>
    </row>
    <row r="80" spans="2:51" x14ac:dyDescent="0.25">
      <c r="L80" s="7"/>
      <c r="M80" s="7"/>
      <c r="N80" s="7"/>
      <c r="O80" s="7"/>
      <c r="R80" s="7"/>
      <c r="S80" s="7"/>
      <c r="T80" s="7"/>
      <c r="U80" s="7"/>
      <c r="V80" s="7"/>
      <c r="W80" s="7"/>
      <c r="X80" s="7"/>
      <c r="Y80" s="7"/>
      <c r="AA80" s="7"/>
      <c r="AB80" s="7"/>
      <c r="AC80" s="7"/>
      <c r="AD80" s="7"/>
      <c r="AF80" s="7"/>
      <c r="AG80" s="7"/>
      <c r="AH80" s="7"/>
      <c r="AI80" s="7"/>
      <c r="AP80" s="7"/>
      <c r="AQ80" s="7"/>
      <c r="AR80" s="7"/>
      <c r="AS80" s="7"/>
    </row>
    <row r="85" spans="12:35" x14ac:dyDescent="0.25">
      <c r="L85" s="7"/>
      <c r="M85" s="7"/>
      <c r="N85" s="7"/>
      <c r="O85" s="7"/>
      <c r="R85" s="7"/>
      <c r="S85" s="7"/>
      <c r="T85" s="7"/>
      <c r="U85" s="7"/>
      <c r="V85" s="7"/>
      <c r="W85" s="7"/>
      <c r="X85" s="7"/>
      <c r="Y85" s="7"/>
      <c r="AA85" s="7"/>
      <c r="AB85" s="7"/>
      <c r="AC85" s="7"/>
      <c r="AD85" s="7"/>
      <c r="AF85" s="7"/>
      <c r="AG85" s="7"/>
      <c r="AH85" s="7"/>
      <c r="AI85" s="7"/>
    </row>
    <row r="90" spans="12:35" x14ac:dyDescent="0.25">
      <c r="R90" s="7"/>
      <c r="S90" s="7"/>
      <c r="T90" s="7"/>
      <c r="U90" s="7"/>
      <c r="AA90" s="7"/>
      <c r="AB90" s="7"/>
      <c r="AC90" s="7"/>
      <c r="AD90" s="7"/>
    </row>
    <row r="95" spans="12:35" x14ac:dyDescent="0.25">
      <c r="R95" s="7"/>
      <c r="S95" s="7"/>
      <c r="T95" s="7"/>
      <c r="U95" s="7"/>
    </row>
    <row r="96" spans="12:35" x14ac:dyDescent="0.25">
      <c r="R96" s="7"/>
      <c r="S96" s="7"/>
      <c r="T96" s="7"/>
      <c r="U96" s="7"/>
    </row>
  </sheetData>
  <customSheetViews>
    <customSheetView guid="{03057C24-3972-48DC-9925-6C2B4C888F74}" scale="115" showPageBreaks="1" fitToPage="1" printArea="1" view="pageBreakPreview" showRuler="0">
      <selection activeCell="BA58" sqref="BA58"/>
      <pageMargins left="0" right="0" top="0" bottom="0" header="0" footer="0"/>
      <printOptions horizontalCentered="1"/>
      <pageSetup paperSize="9" scale="63" orientation="landscape" horizontalDpi="360" verticalDpi="360" r:id="rId1"/>
    </customSheetView>
  </customSheetViews>
  <mergeCells count="106">
    <mergeCell ref="H33:J35"/>
    <mergeCell ref="AV52:AX54"/>
    <mergeCell ref="C57:E59"/>
    <mergeCell ref="H57:J59"/>
    <mergeCell ref="M57:O59"/>
    <mergeCell ref="R57:T59"/>
    <mergeCell ref="W57:Y59"/>
    <mergeCell ref="C52:E54"/>
    <mergeCell ref="H52:J54"/>
    <mergeCell ref="M52:O54"/>
    <mergeCell ref="R52:T54"/>
    <mergeCell ref="W52:Y54"/>
    <mergeCell ref="AB52:AD54"/>
    <mergeCell ref="AG52:AI54"/>
    <mergeCell ref="AB57:AD59"/>
    <mergeCell ref="AG57:AI59"/>
    <mergeCell ref="AL57:AN59"/>
    <mergeCell ref="AK57:AK59"/>
    <mergeCell ref="AF57:AF59"/>
    <mergeCell ref="AA57:AA59"/>
    <mergeCell ref="AP57:AP59"/>
    <mergeCell ref="AQ57:AS59"/>
    <mergeCell ref="AL52:AN54"/>
    <mergeCell ref="AQ18:AS20"/>
    <mergeCell ref="AL13:AN15"/>
    <mergeCell ref="AQ13:AS15"/>
    <mergeCell ref="AB8:AD10"/>
    <mergeCell ref="AG18:AI20"/>
    <mergeCell ref="AP52:AP54"/>
    <mergeCell ref="AQ52:AS54"/>
    <mergeCell ref="C33:E35"/>
    <mergeCell ref="R50:AI50"/>
    <mergeCell ref="C38:E40"/>
    <mergeCell ref="W33:Y35"/>
    <mergeCell ref="AB38:AD40"/>
    <mergeCell ref="H43:J45"/>
    <mergeCell ref="W28:Y30"/>
    <mergeCell ref="M43:O45"/>
    <mergeCell ref="R43:T45"/>
    <mergeCell ref="AG33:AI35"/>
    <mergeCell ref="R28:T30"/>
    <mergeCell ref="R38:T40"/>
    <mergeCell ref="M28:O30"/>
    <mergeCell ref="M38:O40"/>
    <mergeCell ref="AB33:AD35"/>
    <mergeCell ref="R33:T35"/>
    <mergeCell ref="C18:E20"/>
    <mergeCell ref="B2:AY2"/>
    <mergeCell ref="C4:E4"/>
    <mergeCell ref="H4:J4"/>
    <mergeCell ref="M4:O4"/>
    <mergeCell ref="R4:T4"/>
    <mergeCell ref="W4:Y4"/>
    <mergeCell ref="AB4:AD4"/>
    <mergeCell ref="AG4:AI4"/>
    <mergeCell ref="AL4:AN4"/>
    <mergeCell ref="AQ4:AS4"/>
    <mergeCell ref="AV4:AX4"/>
    <mergeCell ref="B62:AY69"/>
    <mergeCell ref="AL8:AN10"/>
    <mergeCell ref="C13:E15"/>
    <mergeCell ref="M8:O10"/>
    <mergeCell ref="R8:T10"/>
    <mergeCell ref="W18:Y20"/>
    <mergeCell ref="H18:J20"/>
    <mergeCell ref="C28:E30"/>
    <mergeCell ref="R18:T20"/>
    <mergeCell ref="H13:J15"/>
    <mergeCell ref="C8:E10"/>
    <mergeCell ref="M33:O35"/>
    <mergeCell ref="H28:J30"/>
    <mergeCell ref="AP13:AP15"/>
    <mergeCell ref="M23:O25"/>
    <mergeCell ref="M18:O20"/>
    <mergeCell ref="AL28:AN30"/>
    <mergeCell ref="AB23:AD25"/>
    <mergeCell ref="AG13:AI15"/>
    <mergeCell ref="AQ8:AS10"/>
    <mergeCell ref="AG8:AI10"/>
    <mergeCell ref="AB13:AD15"/>
    <mergeCell ref="AQ28:AS30"/>
    <mergeCell ref="AQ23:AS25"/>
    <mergeCell ref="C23:E25"/>
    <mergeCell ref="AU8:AU10"/>
    <mergeCell ref="AV8:AX10"/>
    <mergeCell ref="H38:J40"/>
    <mergeCell ref="AB28:AD30"/>
    <mergeCell ref="AP23:AP25"/>
    <mergeCell ref="AP18:AP20"/>
    <mergeCell ref="W8:Y10"/>
    <mergeCell ref="AB18:AD20"/>
    <mergeCell ref="M13:O15"/>
    <mergeCell ref="AP28:AP30"/>
    <mergeCell ref="H23:J25"/>
    <mergeCell ref="AF23:AF25"/>
    <mergeCell ref="W38:Y40"/>
    <mergeCell ref="W13:Y15"/>
    <mergeCell ref="AL23:AN25"/>
    <mergeCell ref="AG23:AI25"/>
    <mergeCell ref="AG28:AI30"/>
    <mergeCell ref="R13:T15"/>
    <mergeCell ref="AL18:AN20"/>
    <mergeCell ref="AL33:AN35"/>
    <mergeCell ref="H8:J10"/>
    <mergeCell ref="R23:T25"/>
    <mergeCell ref="W23:Y25"/>
  </mergeCells>
  <printOptions horizontalCentered="1"/>
  <pageMargins left="0.23622047244094491" right="0.23622047244094491" top="6.0778985507246377E-2" bottom="0.74803149606299213" header="0.31496062992125984" footer="0.31496062992125984"/>
  <pageSetup paperSize="9" scale="60" orientation="landscape" horizontalDpi="360" verticalDpi="360" r:id="rId2"/>
  <ignoredErrors>
    <ignoredError sqref="BA7" evalError="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6150A-54FE-4C16-9FF8-8D1E9AD51E94}">
  <sheetPr codeName="Planilha2"/>
  <dimension ref="B2:K198"/>
  <sheetViews>
    <sheetView tabSelected="1" topLeftCell="A9" workbookViewId="0">
      <selection activeCell="O29" sqref="O29"/>
    </sheetView>
  </sheetViews>
  <sheetFormatPr defaultRowHeight="15" x14ac:dyDescent="0.25"/>
  <cols>
    <col min="2" max="2" width="32.42578125" customWidth="1"/>
    <col min="3" max="3" width="30.5703125" customWidth="1"/>
    <col min="4" max="4" width="12.5703125" customWidth="1"/>
  </cols>
  <sheetData>
    <row r="2" spans="2:6" ht="20.25" customHeight="1" thickBot="1" x14ac:dyDescent="0.3">
      <c r="B2" s="107" t="s">
        <v>115</v>
      </c>
    </row>
    <row r="3" spans="2:6" ht="16.5" thickTop="1" thickBot="1" x14ac:dyDescent="0.3">
      <c r="B3" s="97" t="s">
        <v>116</v>
      </c>
      <c r="C3" s="98" t="s">
        <v>117</v>
      </c>
      <c r="D3" s="98" t="s">
        <v>118</v>
      </c>
    </row>
    <row r="4" spans="2:6" ht="15.75" thickTop="1" x14ac:dyDescent="0.25">
      <c r="B4" s="110" t="s">
        <v>119</v>
      </c>
      <c r="C4" s="111">
        <f>F38</f>
        <v>1125</v>
      </c>
      <c r="D4" s="112">
        <f>C4/$C$11</f>
        <v>0.40394973070017953</v>
      </c>
    </row>
    <row r="5" spans="2:6" ht="25.5" x14ac:dyDescent="0.25">
      <c r="B5" s="80" t="s">
        <v>120</v>
      </c>
      <c r="C5" s="101">
        <f>F58</f>
        <v>480</v>
      </c>
      <c r="D5" s="113">
        <f>C5/$C$11</f>
        <v>0.17235188509874327</v>
      </c>
    </row>
    <row r="6" spans="2:6" x14ac:dyDescent="0.25">
      <c r="B6" s="80" t="s">
        <v>121</v>
      </c>
      <c r="C6" s="101">
        <f>F78</f>
        <v>645</v>
      </c>
      <c r="D6" s="113">
        <f t="shared" ref="D6:D10" si="0">C6/$C$11</f>
        <v>0.23159784560143626</v>
      </c>
    </row>
    <row r="7" spans="2:6" ht="25.5" x14ac:dyDescent="0.25">
      <c r="B7" s="80" t="s">
        <v>122</v>
      </c>
      <c r="C7" s="101">
        <f>D84</f>
        <v>0</v>
      </c>
      <c r="D7" s="113">
        <f t="shared" si="0"/>
        <v>0</v>
      </c>
    </row>
    <row r="8" spans="2:6" x14ac:dyDescent="0.25">
      <c r="B8" s="80" t="s">
        <v>123</v>
      </c>
      <c r="C8" s="101">
        <f>F94</f>
        <v>240</v>
      </c>
      <c r="D8" s="113">
        <f t="shared" si="0"/>
        <v>8.6175942549371637E-2</v>
      </c>
    </row>
    <row r="9" spans="2:6" ht="25.5" x14ac:dyDescent="0.25">
      <c r="B9" s="80" t="s">
        <v>124</v>
      </c>
      <c r="C9" s="101">
        <f>F106</f>
        <v>220</v>
      </c>
      <c r="D9" s="113">
        <f t="shared" si="0"/>
        <v>7.899461400359066E-2</v>
      </c>
    </row>
    <row r="10" spans="2:6" ht="15.75" thickBot="1" x14ac:dyDescent="0.3">
      <c r="B10" s="114" t="s">
        <v>125</v>
      </c>
      <c r="C10" s="115">
        <v>75</v>
      </c>
      <c r="D10" s="113">
        <f t="shared" si="0"/>
        <v>2.6929982046678635E-2</v>
      </c>
    </row>
    <row r="11" spans="2:6" ht="16.5" thickTop="1" thickBot="1" x14ac:dyDescent="0.3">
      <c r="B11" s="102" t="s">
        <v>126</v>
      </c>
      <c r="C11" s="103">
        <f>SUM(C4:C10)</f>
        <v>2785</v>
      </c>
      <c r="D11" s="104">
        <f>SUM(D4:D10)</f>
        <v>1</v>
      </c>
    </row>
    <row r="12" spans="2:6" ht="15.75" thickTop="1" x14ac:dyDescent="0.25"/>
    <row r="13" spans="2:6" ht="25.5" customHeight="1" thickBot="1" x14ac:dyDescent="0.3">
      <c r="B13" s="106" t="s">
        <v>127</v>
      </c>
      <c r="C13" s="93"/>
      <c r="D13" s="93"/>
      <c r="E13" s="93"/>
      <c r="F13" s="93"/>
    </row>
    <row r="14" spans="2:6" ht="16.5" thickTop="1" thickBot="1" x14ac:dyDescent="0.3">
      <c r="B14" s="325" t="s">
        <v>128</v>
      </c>
      <c r="C14" s="325" t="s">
        <v>129</v>
      </c>
      <c r="D14" s="327" t="s">
        <v>130</v>
      </c>
      <c r="E14" s="328"/>
      <c r="F14" s="329"/>
    </row>
    <row r="15" spans="2:6" ht="16.5" thickTop="1" thickBot="1" x14ac:dyDescent="0.3">
      <c r="B15" s="326"/>
      <c r="C15" s="326"/>
      <c r="D15" s="108" t="s">
        <v>131</v>
      </c>
      <c r="E15" s="108" t="s">
        <v>132</v>
      </c>
      <c r="F15" s="108" t="s">
        <v>11</v>
      </c>
    </row>
    <row r="16" spans="2:6" ht="15.75" thickTop="1" x14ac:dyDescent="0.25">
      <c r="B16" s="86"/>
      <c r="C16" s="87" t="s">
        <v>133</v>
      </c>
      <c r="D16" s="87">
        <v>30</v>
      </c>
      <c r="E16" s="87">
        <v>0</v>
      </c>
      <c r="F16" s="89">
        <f>SUM(D16:E16)</f>
        <v>30</v>
      </c>
    </row>
    <row r="17" spans="2:6" x14ac:dyDescent="0.25">
      <c r="B17" s="80" t="s">
        <v>134</v>
      </c>
      <c r="C17" s="338" t="s">
        <v>404</v>
      </c>
      <c r="D17" s="81">
        <v>30</v>
      </c>
      <c r="E17" s="81">
        <v>0</v>
      </c>
      <c r="F17" s="85">
        <f t="shared" ref="F17:F37" si="1">SUM(D17:E17)</f>
        <v>30</v>
      </c>
    </row>
    <row r="18" spans="2:6" x14ac:dyDescent="0.25">
      <c r="B18" s="80" t="s">
        <v>135</v>
      </c>
      <c r="C18" s="338"/>
      <c r="D18" s="81">
        <v>0</v>
      </c>
      <c r="E18" s="81">
        <v>30</v>
      </c>
      <c r="F18" s="85">
        <f t="shared" si="1"/>
        <v>30</v>
      </c>
    </row>
    <row r="19" spans="2:6" x14ac:dyDescent="0.25">
      <c r="B19" s="86" t="s">
        <v>405</v>
      </c>
      <c r="C19" s="87" t="s">
        <v>405</v>
      </c>
      <c r="D19" s="87">
        <v>60</v>
      </c>
      <c r="E19" s="87">
        <v>0</v>
      </c>
      <c r="F19" s="89">
        <f t="shared" si="1"/>
        <v>60</v>
      </c>
    </row>
    <row r="20" spans="2:6" x14ac:dyDescent="0.25">
      <c r="B20" s="80" t="s">
        <v>406</v>
      </c>
      <c r="C20" s="81" t="s">
        <v>406</v>
      </c>
      <c r="D20" s="81">
        <v>60</v>
      </c>
      <c r="E20" s="81">
        <v>0</v>
      </c>
      <c r="F20" s="85">
        <f t="shared" si="1"/>
        <v>60</v>
      </c>
    </row>
    <row r="21" spans="2:6" ht="25.5" x14ac:dyDescent="0.25">
      <c r="B21" s="86" t="s">
        <v>415</v>
      </c>
      <c r="C21" s="330" t="s">
        <v>407</v>
      </c>
      <c r="D21" s="87">
        <v>0</v>
      </c>
      <c r="E21" s="87">
        <v>30</v>
      </c>
      <c r="F21" s="89">
        <f t="shared" si="1"/>
        <v>30</v>
      </c>
    </row>
    <row r="22" spans="2:6" ht="25.5" x14ac:dyDescent="0.25">
      <c r="B22" s="86" t="s">
        <v>137</v>
      </c>
      <c r="C22" s="330"/>
      <c r="D22" s="87">
        <v>0</v>
      </c>
      <c r="E22" s="87">
        <v>30</v>
      </c>
      <c r="F22" s="89">
        <f t="shared" si="1"/>
        <v>30</v>
      </c>
    </row>
    <row r="23" spans="2:6" x14ac:dyDescent="0.25">
      <c r="B23" s="86" t="s">
        <v>140</v>
      </c>
      <c r="C23" s="330"/>
      <c r="D23" s="87">
        <v>0</v>
      </c>
      <c r="E23" s="87">
        <v>30</v>
      </c>
      <c r="F23" s="89">
        <f t="shared" si="1"/>
        <v>30</v>
      </c>
    </row>
    <row r="24" spans="2:6" ht="25.5" x14ac:dyDescent="0.25">
      <c r="B24" s="86" t="s">
        <v>416</v>
      </c>
      <c r="C24" s="330"/>
      <c r="D24" s="87">
        <v>60</v>
      </c>
      <c r="E24" s="87">
        <v>0</v>
      </c>
      <c r="F24" s="89">
        <f t="shared" si="1"/>
        <v>60</v>
      </c>
    </row>
    <row r="25" spans="2:6" ht="25.5" x14ac:dyDescent="0.25">
      <c r="B25" s="80"/>
      <c r="C25" s="81" t="s">
        <v>408</v>
      </c>
      <c r="D25" s="81">
        <v>30</v>
      </c>
      <c r="E25" s="81">
        <v>0</v>
      </c>
      <c r="F25" s="85">
        <f t="shared" si="1"/>
        <v>30</v>
      </c>
    </row>
    <row r="26" spans="2:6" x14ac:dyDescent="0.25">
      <c r="B26" s="86"/>
      <c r="C26" s="330" t="s">
        <v>409</v>
      </c>
      <c r="D26" s="87">
        <v>30</v>
      </c>
      <c r="E26" s="87">
        <v>30</v>
      </c>
      <c r="F26" s="89">
        <f t="shared" si="1"/>
        <v>60</v>
      </c>
    </row>
    <row r="27" spans="2:6" x14ac:dyDescent="0.25">
      <c r="B27" s="86"/>
      <c r="C27" s="330"/>
      <c r="D27" s="87">
        <v>30</v>
      </c>
      <c r="E27" s="87">
        <v>30</v>
      </c>
      <c r="F27" s="89">
        <f t="shared" si="1"/>
        <v>60</v>
      </c>
    </row>
    <row r="28" spans="2:6" x14ac:dyDescent="0.25">
      <c r="B28" s="80"/>
      <c r="C28" s="81" t="s">
        <v>410</v>
      </c>
      <c r="D28" s="81">
        <v>30</v>
      </c>
      <c r="E28" s="81">
        <v>0</v>
      </c>
      <c r="F28" s="85">
        <f t="shared" si="1"/>
        <v>30</v>
      </c>
    </row>
    <row r="29" spans="2:6" ht="25.5" x14ac:dyDescent="0.25">
      <c r="B29" s="86" t="s">
        <v>145</v>
      </c>
      <c r="C29" s="87" t="s">
        <v>411</v>
      </c>
      <c r="D29" s="87">
        <v>30</v>
      </c>
      <c r="E29" s="87">
        <v>0</v>
      </c>
      <c r="F29" s="89">
        <f t="shared" si="1"/>
        <v>30</v>
      </c>
    </row>
    <row r="30" spans="2:6" x14ac:dyDescent="0.25">
      <c r="B30" s="80" t="s">
        <v>146</v>
      </c>
      <c r="C30" s="346" t="s">
        <v>412</v>
      </c>
      <c r="D30" s="81">
        <v>90</v>
      </c>
      <c r="E30" s="81">
        <v>0</v>
      </c>
      <c r="F30" s="85">
        <f t="shared" si="1"/>
        <v>90</v>
      </c>
    </row>
    <row r="31" spans="2:6" x14ac:dyDescent="0.25">
      <c r="B31" s="80" t="s">
        <v>147</v>
      </c>
      <c r="C31" s="346"/>
      <c r="D31" s="81">
        <v>90</v>
      </c>
      <c r="E31" s="81">
        <v>0</v>
      </c>
      <c r="F31" s="85">
        <f t="shared" si="1"/>
        <v>90</v>
      </c>
    </row>
    <row r="32" spans="2:6" ht="25.5" x14ac:dyDescent="0.25">
      <c r="B32" s="80" t="s">
        <v>417</v>
      </c>
      <c r="C32" s="346"/>
      <c r="D32" s="81">
        <v>90</v>
      </c>
      <c r="E32" s="81">
        <v>0</v>
      </c>
      <c r="F32" s="85">
        <f t="shared" si="1"/>
        <v>90</v>
      </c>
    </row>
    <row r="33" spans="2:6" x14ac:dyDescent="0.25">
      <c r="B33" s="80" t="s">
        <v>418</v>
      </c>
      <c r="C33" s="346"/>
      <c r="D33" s="81">
        <v>60</v>
      </c>
      <c r="E33" s="81">
        <v>0</v>
      </c>
      <c r="F33" s="85">
        <f t="shared" si="1"/>
        <v>60</v>
      </c>
    </row>
    <row r="34" spans="2:6" x14ac:dyDescent="0.25">
      <c r="B34" s="80" t="s">
        <v>419</v>
      </c>
      <c r="C34" s="346"/>
      <c r="D34" s="81">
        <v>60</v>
      </c>
      <c r="E34" s="81">
        <v>0</v>
      </c>
      <c r="F34" s="85">
        <f t="shared" si="1"/>
        <v>60</v>
      </c>
    </row>
    <row r="35" spans="2:6" x14ac:dyDescent="0.25">
      <c r="B35" s="80" t="s">
        <v>162</v>
      </c>
      <c r="C35" s="346"/>
      <c r="D35" s="81">
        <v>75</v>
      </c>
      <c r="E35" s="81">
        <v>0</v>
      </c>
      <c r="F35" s="85">
        <f t="shared" si="1"/>
        <v>75</v>
      </c>
    </row>
    <row r="36" spans="2:6" x14ac:dyDescent="0.25">
      <c r="B36" s="86"/>
      <c r="C36" s="87" t="s">
        <v>413</v>
      </c>
      <c r="D36" s="87">
        <v>30</v>
      </c>
      <c r="E36" s="87">
        <v>0</v>
      </c>
      <c r="F36" s="89">
        <f>SUM(D36:E36)</f>
        <v>30</v>
      </c>
    </row>
    <row r="37" spans="2:6" ht="15.75" thickBot="1" x14ac:dyDescent="0.3">
      <c r="B37" s="80"/>
      <c r="C37" s="81" t="s">
        <v>414</v>
      </c>
      <c r="D37" s="81">
        <v>45</v>
      </c>
      <c r="E37" s="81">
        <v>15</v>
      </c>
      <c r="F37" s="85">
        <f t="shared" si="1"/>
        <v>60</v>
      </c>
    </row>
    <row r="38" spans="2:6" ht="16.5" thickTop="1" thickBot="1" x14ac:dyDescent="0.3">
      <c r="B38" s="324" t="s">
        <v>126</v>
      </c>
      <c r="C38" s="324"/>
      <c r="D38" s="102">
        <f>SUM(D16:D37)</f>
        <v>930</v>
      </c>
      <c r="E38" s="102">
        <f>SUM(E16:E37)</f>
        <v>195</v>
      </c>
      <c r="F38" s="102">
        <f>SUM(F16:F37)</f>
        <v>1125</v>
      </c>
    </row>
    <row r="39" spans="2:6" ht="15" customHeight="1" thickTop="1" x14ac:dyDescent="0.25"/>
    <row r="40" spans="2:6" ht="15" customHeight="1" thickBot="1" x14ac:dyDescent="0.3">
      <c r="B40" s="105" t="s">
        <v>151</v>
      </c>
    </row>
    <row r="41" spans="2:6" ht="15" customHeight="1" thickTop="1" thickBot="1" x14ac:dyDescent="0.3">
      <c r="B41" s="325" t="s">
        <v>128</v>
      </c>
      <c r="C41" s="325" t="s">
        <v>129</v>
      </c>
      <c r="D41" s="327" t="s">
        <v>130</v>
      </c>
      <c r="E41" s="328"/>
      <c r="F41" s="329"/>
    </row>
    <row r="42" spans="2:6" ht="15" customHeight="1" thickTop="1" thickBot="1" x14ac:dyDescent="0.3">
      <c r="B42" s="326"/>
      <c r="C42" s="326"/>
      <c r="D42" s="108" t="s">
        <v>131</v>
      </c>
      <c r="E42" s="108" t="s">
        <v>132</v>
      </c>
      <c r="F42" s="108" t="s">
        <v>11</v>
      </c>
    </row>
    <row r="43" spans="2:6" ht="15" customHeight="1" thickTop="1" x14ac:dyDescent="0.25">
      <c r="B43" s="86" t="str" cm="1">
        <f t="array" ref="B43">IFERROR(INDEX(Núcleos!$C:$C,_xlfn.AGGREGATE(15,6,ROW(Núcleos!$D$5:$D$63)/(Núcleos!$D$5:$D$63="Profissionalizante"),1)),"")</f>
        <v>Circuitos Elétricos I</v>
      </c>
      <c r="C43" s="331" t="s">
        <v>153</v>
      </c>
      <c r="D43" s="87" cm="1">
        <f t="array" ref="D43">IFERROR(INDEX(Núcleos!$F:$F,_xlfn.AGGREGATE(15,6,ROW(Núcleos!$D$5:$D$63)/(Núcleos!$D$5:$D$63="Profissionalizante"),1)),"")</f>
        <v>75</v>
      </c>
      <c r="E43" s="87" cm="1">
        <f t="array" ref="E43">IFERROR(INDEX(Núcleos!$G:$G,_xlfn.AGGREGATE(15,6,ROW(Núcleos!$D$5:$D$63)/(Núcleos!$D$5:$D$63="Profissionalizante"),1)),"")</f>
        <v>0</v>
      </c>
      <c r="F43" s="89" cm="1">
        <f t="array" ref="F43">IFERROR(INDEX(Núcleos!$H:$H,_xlfn.AGGREGATE(15,6,ROW(Núcleos!$D$5:$D$63)/(Núcleos!$D$5:$D$63="Profissionalizante"),1)),"")</f>
        <v>75</v>
      </c>
    </row>
    <row r="44" spans="2:6" ht="15" customHeight="1" x14ac:dyDescent="0.25">
      <c r="B44" s="86" t="str" cm="1">
        <f t="array" ref="B44">IFERROR(INDEX(Núcleos!$C:$C,_xlfn.AGGREGATE(15,6,ROW(Núcleos!$D$5:$D$63)/(Núcleos!$D$5:$D$63="Profissionalizante"),2)),"")</f>
        <v>Experimental de Circuitos Elétricos I</v>
      </c>
      <c r="C44" s="331"/>
      <c r="D44" s="87" cm="1">
        <f t="array" ref="D44">IFERROR(INDEX(Núcleos!$F:$F,_xlfn.AGGREGATE(15,6,ROW(Núcleos!$D$5:$D$63)/(Núcleos!$D$5:$D$63="Profissionalizante"),2)),"")</f>
        <v>0</v>
      </c>
      <c r="E44" s="87" cm="1">
        <f t="array" ref="E44">IFERROR(INDEX(Núcleos!$G:$G,_xlfn.AGGREGATE(15,6,ROW(Núcleos!$D$5:$D$63)/(Núcleos!$D$5:$D$63="Profissionalizante"),2)),"")</f>
        <v>15</v>
      </c>
      <c r="F44" s="89" cm="1">
        <f t="array" ref="F44">IFERROR(INDEX(Núcleos!$H:$H,_xlfn.AGGREGATE(15,6,ROW(Núcleos!$D$5:$D$63)/(Núcleos!$D$5:$D$63="Profissionalizante"),2)),"")</f>
        <v>15</v>
      </c>
    </row>
    <row r="45" spans="2:6" ht="15" customHeight="1" x14ac:dyDescent="0.25">
      <c r="B45" s="86" t="str" cm="1">
        <f t="array" ref="B45">IFERROR(INDEX(Núcleos!$C:$C,_xlfn.AGGREGATE(15,6,ROW(Núcleos!$D$5:$D$63)/(Núcleos!$D$5:$D$63="Profissionalizante"),3)),"")</f>
        <v>Sinais e Sistemas I</v>
      </c>
      <c r="C45" s="331"/>
      <c r="D45" s="87" cm="1">
        <f t="array" ref="D45">IFERROR(INDEX(Núcleos!$F:$F,_xlfn.AGGREGATE(15,6,ROW(Núcleos!$D$5:$D$63)/(Núcleos!$D$5:$D$63="Profissionalizante"),3)),"")</f>
        <v>90</v>
      </c>
      <c r="E45" s="87" cm="1">
        <f t="array" ref="E45">IFERROR(INDEX(Núcleos!$G:$G,_xlfn.AGGREGATE(15,6,ROW(Núcleos!$D$5:$D$63)/(Núcleos!$D$5:$D$63="Profissionalizante"),3)),"")</f>
        <v>0</v>
      </c>
      <c r="F45" s="89" cm="1">
        <f t="array" ref="F45">IFERROR(INDEX(Núcleos!$H:$H,_xlfn.AGGREGATE(15,6,ROW(Núcleos!$D$5:$D$63)/(Núcleos!$D$5:$D$63="Profissionalizante"),3)),"")</f>
        <v>90</v>
      </c>
    </row>
    <row r="46" spans="2:6" ht="15" customHeight="1" x14ac:dyDescent="0.25">
      <c r="B46" s="86" t="str" cm="1">
        <f t="array" ref="B46">IFERROR(INDEX(Núcleos!$C:$C,_xlfn.AGGREGATE(15,6,ROW(Núcleos!$D$5:$D$63)/(Núcleos!$D$5:$D$63="Profissionalizante"),4)),"")</f>
        <v>Eletrônica Analógica I</v>
      </c>
      <c r="C46" s="331"/>
      <c r="D46" s="87" cm="1">
        <f t="array" ref="D46">IFERROR(INDEX(Núcleos!$F:$F,_xlfn.AGGREGATE(15,6,ROW(Núcleos!$D$5:$D$63)/(Núcleos!$D$5:$D$63="Profissionalizante"),4)),"")</f>
        <v>60</v>
      </c>
      <c r="E46" s="87" cm="1">
        <f t="array" ref="E46">IFERROR(INDEX(Núcleos!$G:$G,_xlfn.AGGREGATE(15,6,ROW(Núcleos!$D$5:$D$63)/(Núcleos!$D$5:$D$63="Profissionalizante"),4)),"")</f>
        <v>0</v>
      </c>
      <c r="F46" s="89" cm="1">
        <f t="array" ref="F46">IFERROR(INDEX(Núcleos!$H:$H,_xlfn.AGGREGATE(15,6,ROW(Núcleos!$D$5:$D$63)/(Núcleos!$D$5:$D$63="Profissionalizante"),4)),"")</f>
        <v>60</v>
      </c>
    </row>
    <row r="47" spans="2:6" ht="15" customHeight="1" x14ac:dyDescent="0.25">
      <c r="B47" s="82" t="str" cm="1">
        <f t="array" ref="B47">IFERROR(INDEX(Núcleos!$C:$C,_xlfn.AGGREGATE(15,6,ROW(Núcleos!$D$5:$D$63)/(Núcleos!$D$5:$D$63="Profissionalizante"),5)),"")</f>
        <v>Experimental de Eletrônica Analógica I</v>
      </c>
      <c r="C47" s="323" t="s">
        <v>158</v>
      </c>
      <c r="D47" s="83" cm="1">
        <f t="array" ref="D47">IFERROR(INDEX(Núcleos!$F:$F,_xlfn.AGGREGATE(15,6,ROW(Núcleos!$D$5:$D$63)/(Núcleos!$D$5:$D$63="Profissionalizante"),5)),"")</f>
        <v>0</v>
      </c>
      <c r="E47" s="83" cm="1">
        <f t="array" ref="E47">IFERROR(INDEX(Núcleos!$G:$G,_xlfn.AGGREGATE(15,6,ROW(Núcleos!$D$5:$D$63)/(Núcleos!$D$5:$D$63="Profissionalizante"),5)),"")</f>
        <v>30</v>
      </c>
      <c r="F47" s="85" cm="1">
        <f t="array" ref="F47">IFERROR(INDEX(Núcleos!$H:$H,_xlfn.AGGREGATE(15,6,ROW(Núcleos!$D$5:$D$63)/(Núcleos!$D$5:$D$63="Profissionalizante"),5)),"")</f>
        <v>30</v>
      </c>
    </row>
    <row r="48" spans="2:6" ht="15" customHeight="1" x14ac:dyDescent="0.25">
      <c r="B48" s="80" t="str" cm="1">
        <f t="array" ref="B48">IFERROR(INDEX(Núcleos!$C:$C,_xlfn.AGGREGATE(15,6,ROW(Núcleos!$D$5:$D$63)/(Núcleos!$D$5:$D$63="Profissionalizante"),6)),"")</f>
        <v>Informática Industrial I</v>
      </c>
      <c r="C48" s="323"/>
      <c r="D48" s="81" cm="1">
        <f t="array" ref="D48">IFERROR(INDEX(Núcleos!$F:$F,_xlfn.AGGREGATE(15,6,ROW(Núcleos!$D$5:$D$63)/(Núcleos!$D$5:$D$63="Profissionalizante"),6)),"")</f>
        <v>30</v>
      </c>
      <c r="E48" s="81" cm="1">
        <f t="array" ref="E48">IFERROR(INDEX(Núcleos!$G:$G,_xlfn.AGGREGATE(15,6,ROW(Núcleos!$D$5:$D$63)/(Núcleos!$D$5:$D$63="Profissionalizante"),6)),"")</f>
        <v>30</v>
      </c>
      <c r="F48" s="85" cm="1">
        <f t="array" ref="F48">IFERROR(INDEX(Núcleos!$H:$H,_xlfn.AGGREGATE(15,6,ROW(Núcleos!$D$5:$D$63)/(Núcleos!$D$5:$D$63="Profissionalizante"),6)),"")</f>
        <v>60</v>
      </c>
    </row>
    <row r="49" spans="2:6" ht="15" customHeight="1" x14ac:dyDescent="0.25">
      <c r="B49" s="86" t="str" cm="1">
        <f t="array" ref="B49">IFERROR(INDEX(Núcleos!$C:$C,_xlfn.AGGREGATE(15,6,ROW(Núcleos!$D$5:$D$63)/(Núcleos!$D$5:$D$63="Profissionalizante"),7)),"")</f>
        <v/>
      </c>
      <c r="C49" s="330" t="s">
        <v>161</v>
      </c>
      <c r="D49" s="87" cm="1">
        <f t="array" ref="D49">IFERROR(INDEX(Núcleos!$F:$F,_xlfn.AGGREGATE(15,6,ROW(Núcleos!$D$5:$D$63)/(Núcleos!$D$5:$D$63="Profissionalizante"),7)),"")</f>
        <v>0</v>
      </c>
      <c r="E49" s="87" cm="1">
        <f t="array" ref="E49">IFERROR(INDEX(Núcleos!$G:$G,_xlfn.AGGREGATE(15,6,ROW(Núcleos!$D$5:$D$63)/(Núcleos!$D$5:$D$63="Profissionalizante"),7)),"")</f>
        <v>0</v>
      </c>
      <c r="F49" s="89" cm="1">
        <f t="array" ref="F49">IFERROR(INDEX(Núcleos!$H:$H,_xlfn.AGGREGATE(15,6,ROW(Núcleos!$D$5:$D$63)/(Núcleos!$D$5:$D$63="Profissionalizante"),7)),"")</f>
        <v>0</v>
      </c>
    </row>
    <row r="50" spans="2:6" ht="15" customHeight="1" x14ac:dyDescent="0.25">
      <c r="B50" s="86" t="str" cm="1">
        <f t="array" ref="B50">IFERROR(INDEX(Núcleos!$C:$C,_xlfn.AGGREGATE(15,6,ROW(Núcleos!$D$5:$D$63)/(Núcleos!$D$5:$D$63="Profissionalizante"),8)),"")</f>
        <v>Eletrônica Analógica II</v>
      </c>
      <c r="C50" s="330"/>
      <c r="D50" s="87" cm="1">
        <f t="array" ref="D50">IFERROR(INDEX(Núcleos!$F:$F,_xlfn.AGGREGATE(15,6,ROW(Núcleos!$D$5:$D$63)/(Núcleos!$D$5:$D$63="Profissionalizante"),8)),"")</f>
        <v>60</v>
      </c>
      <c r="E50" s="87" cm="1">
        <f t="array" ref="E50">IFERROR(INDEX(Núcleos!$G:$G,_xlfn.AGGREGATE(15,6,ROW(Núcleos!$D$5:$D$63)/(Núcleos!$D$5:$D$63="Profissionalizante"),8)),"")</f>
        <v>0</v>
      </c>
      <c r="F50" s="89" cm="1">
        <f t="array" ref="F50">IFERROR(INDEX(Núcleos!$H:$H,_xlfn.AGGREGATE(15,6,ROW(Núcleos!$D$5:$D$63)/(Núcleos!$D$5:$D$63="Profissionalizante"),8)),"")</f>
        <v>60</v>
      </c>
    </row>
    <row r="51" spans="2:6" ht="15" customHeight="1" x14ac:dyDescent="0.25">
      <c r="B51" s="80" t="str" cm="1">
        <f t="array" ref="B51">IFERROR(INDEX(Núcleos!$C:$C,_xlfn.AGGREGATE(15,6,ROW(Núcleos!$D$5:$D$63)/(Núcleos!$D$5:$D$63="Profissionalizante"),9)),"")</f>
        <v>Experimental de Eletrônica Analógica II</v>
      </c>
      <c r="C51" s="81" t="s">
        <v>164</v>
      </c>
      <c r="D51" s="81" cm="1">
        <f t="array" ref="D51">IFERROR(INDEX(Núcleos!$F:$F,_xlfn.AGGREGATE(15,6,ROW(Núcleos!$D$5:$D$63)/(Núcleos!$D$5:$D$63="Profissionalizante"),9)),"")</f>
        <v>0</v>
      </c>
      <c r="E51" s="81" cm="1">
        <f t="array" ref="E51">IFERROR(INDEX(Núcleos!$G:$G,_xlfn.AGGREGATE(15,6,ROW(Núcleos!$D$5:$D$63)/(Núcleos!$D$5:$D$63="Profissionalizante"),9)),"")</f>
        <v>30</v>
      </c>
      <c r="F51" s="85" cm="1">
        <f t="array" ref="F51">IFERROR(INDEX(Núcleos!$H:$H,_xlfn.AGGREGATE(15,6,ROW(Núcleos!$D$5:$D$63)/(Núcleos!$D$5:$D$63="Profissionalizante"),9)),"")</f>
        <v>30</v>
      </c>
    </row>
    <row r="52" spans="2:6" ht="15" customHeight="1" x14ac:dyDescent="0.25">
      <c r="B52" s="86" t="str" cm="1">
        <f t="array" ref="B52">IFERROR(INDEX(Núcleos!$C:$C,_xlfn.AGGREGATE(15,6,ROW(Núcleos!$D$5:$D$63)/(Núcleos!$D$5:$D$63="Profissionalizante"),10)),"")</f>
        <v>Sinais e Sistemas II</v>
      </c>
      <c r="C52" s="330" t="s">
        <v>166</v>
      </c>
      <c r="D52" s="87" cm="1">
        <f t="array" ref="D52">IFERROR(INDEX(Núcleos!$F:$F,_xlfn.AGGREGATE(15,6,ROW(Núcleos!$D$5:$D$63)/(Núcleos!$D$5:$D$63="Profissionalizante"),10)),"")</f>
        <v>60</v>
      </c>
      <c r="E52" s="87" cm="1">
        <f t="array" ref="E52">IFERROR(INDEX(Núcleos!$G:$G,_xlfn.AGGREGATE(15,6,ROW(Núcleos!$D$5:$D$63)/(Núcleos!$D$5:$D$63="Profissionalizante"),10)),"")</f>
        <v>0</v>
      </c>
      <c r="F52" s="89" cm="1">
        <f t="array" ref="F52">IFERROR(INDEX(Núcleos!$H:$H,_xlfn.AGGREGATE(15,6,ROW(Núcleos!$D$5:$D$63)/(Núcleos!$D$5:$D$63="Profissionalizante"),10)),"")</f>
        <v>60</v>
      </c>
    </row>
    <row r="53" spans="2:6" ht="15" customHeight="1" x14ac:dyDescent="0.25">
      <c r="B53" s="86" t="str" cm="1">
        <f t="array" ref="B53">IFERROR(INDEX(Núcleos!$C:$C,_xlfn.AGGREGATE(15,6,ROW(Núcleos!$D$5:$D$63)/(Núcleos!$D$5:$D$63="Profissionalizante"),11)),"")</f>
        <v/>
      </c>
      <c r="C53" s="330"/>
      <c r="D53" s="87" t="str" cm="1">
        <f t="array" ref="D53">IFERROR(INDEX(Núcleos!$F:$F,_xlfn.AGGREGATE(15,6,ROW(Núcleos!$D$5:$D$63)/(Núcleos!$D$5:$D$63="Profissionalizante"),11)),"")</f>
        <v/>
      </c>
      <c r="E53" s="87" t="str" cm="1">
        <f t="array" ref="E53">IFERROR(INDEX(Núcleos!$G:$G,_xlfn.AGGREGATE(15,6,ROW(Núcleos!$D$5:$D$63)/(Núcleos!$D$5:$D$63="Profissionalizante"),11)),"")</f>
        <v/>
      </c>
      <c r="F53" s="89" t="str" cm="1">
        <f t="array" ref="F53">IFERROR(INDEX(Núcleos!$H:$H,_xlfn.AGGREGATE(15,6,ROW(Núcleos!$D$5:$D$63)/(Núcleos!$D$5:$D$63="Profissionalizante"),11)),"")</f>
        <v/>
      </c>
    </row>
    <row r="54" spans="2:6" ht="15" customHeight="1" x14ac:dyDescent="0.25">
      <c r="B54" s="86" t="str" cm="1">
        <f t="array" ref="B54">IFERROR(INDEX(Núcleos!$C:$C,_xlfn.AGGREGATE(15,6,ROW(Núcleos!$D$5:$D$63)/(Núcleos!$D$5:$D$63="Profissionalizante"),12)),"")</f>
        <v/>
      </c>
      <c r="C54" s="330"/>
      <c r="D54" s="87" t="str" cm="1">
        <f t="array" ref="D54">IFERROR(INDEX(Núcleos!$F:$F,_xlfn.AGGREGATE(15,6,ROW(Núcleos!$D$5:$D$63)/(Núcleos!$D$5:$D$63="Profissionalizante"),12)),"")</f>
        <v/>
      </c>
      <c r="E54" s="87" t="str" cm="1">
        <f t="array" ref="E54">IFERROR(INDEX(Núcleos!$G:$G,_xlfn.AGGREGATE(15,6,ROW(Núcleos!$D$5:$D$63)/(Núcleos!$D$5:$D$63="Profissionalizante"),12)),"")</f>
        <v/>
      </c>
      <c r="F54" s="89" t="str" cm="1">
        <f t="array" ref="F54">IFERROR(INDEX(Núcleos!$H:$H,_xlfn.AGGREGATE(15,6,ROW(Núcleos!$D$5:$D$63)/(Núcleos!$D$5:$D$63="Profissionalizante"),12)),"")</f>
        <v/>
      </c>
    </row>
    <row r="55" spans="2:6" ht="15" customHeight="1" x14ac:dyDescent="0.25">
      <c r="B55" s="86" t="str" cm="1">
        <f t="array" ref="B55">IFERROR(INDEX(Núcleos!$C:$C,_xlfn.AGGREGATE(15,6,ROW(Núcleos!$D$5:$D$63)/(Núcleos!$D$5:$D$63="Profissionalizante"),13)),"")</f>
        <v/>
      </c>
      <c r="C55" s="330"/>
      <c r="D55" s="87" t="str" cm="1">
        <f t="array" ref="D55">IFERROR(INDEX(Núcleos!$F:$F,_xlfn.AGGREGATE(15,6,ROW(Núcleos!$D$5:$D$63)/(Núcleos!$D$5:$D$63="Profissionalizante"),13)),"")</f>
        <v/>
      </c>
      <c r="E55" s="87" t="str" cm="1">
        <f t="array" ref="E55">IFERROR(INDEX(Núcleos!$G:$G,_xlfn.AGGREGATE(15,6,ROW(Núcleos!$D$5:$D$63)/(Núcleos!$D$5:$D$63="Profissionalizante"),13)),"")</f>
        <v/>
      </c>
      <c r="F55" s="89" t="str" cm="1">
        <f t="array" ref="F55">IFERROR(INDEX(Núcleos!$H:$H,_xlfn.AGGREGATE(15,6,ROW(Núcleos!$D$5:$D$63)/(Núcleos!$D$5:$D$63="Profissionalizante"),13)),"")</f>
        <v/>
      </c>
    </row>
    <row r="56" spans="2:6" ht="15" customHeight="1" x14ac:dyDescent="0.25">
      <c r="B56" s="84" t="str" cm="1">
        <f t="array" ref="B56">IFERROR(INDEX(Núcleos!$C:$C,_xlfn.AGGREGATE(15,6,ROW(Núcleos!$D$5:$D$63)/(Núcleos!$D$5:$D$63="Profissionalizante"),14)),"")</f>
        <v/>
      </c>
      <c r="C56" s="85" t="s">
        <v>171</v>
      </c>
      <c r="D56" s="85" t="str" cm="1">
        <f t="array" ref="D56">IFERROR(INDEX(Núcleos!$F:$F,_xlfn.AGGREGATE(15,6,ROW(Núcleos!$D$5:$D$63)/(Núcleos!$D$5:$D$63="Profissionalizante"),14)),"")</f>
        <v/>
      </c>
      <c r="E56" s="85" t="str" cm="1">
        <f t="array" ref="E56">IFERROR(INDEX(Núcleos!$G:$G,_xlfn.AGGREGATE(15,6,ROW(Núcleos!$D$5:$D$63)/(Núcleos!$D$5:$D$63="Profissionalizante"),14)),"")</f>
        <v/>
      </c>
      <c r="F56" s="85" t="str" cm="1">
        <f t="array" ref="F56">IFERROR(INDEX(Núcleos!$H:$H,_xlfn.AGGREGATE(15,6,ROW(Núcleos!$D$5:$D$63)/(Núcleos!$D$5:$D$63="Profissionalizante"),14)),"")</f>
        <v/>
      </c>
    </row>
    <row r="57" spans="2:6" ht="15" customHeight="1" thickBot="1" x14ac:dyDescent="0.3">
      <c r="B57" s="90" t="str" cm="1">
        <f t="array" ref="B57">IFERROR(INDEX(Núcleos!$C:$C,_xlfn.AGGREGATE(15,6,ROW(Núcleos!$D$5:$D$63)/(Núcleos!$D$5:$D$63="Profissionalizante"),15)),"")</f>
        <v/>
      </c>
      <c r="C57" s="91" t="s">
        <v>173</v>
      </c>
      <c r="D57" s="92" t="str" cm="1">
        <f t="array" ref="D57">IFERROR(INDEX(Núcleos!$F:$F,_xlfn.AGGREGATE(15,6,ROW(Núcleos!$D$5:$D$63)/(Núcleos!$D$5:$D$63="Profissionalizante"),15)),"")</f>
        <v/>
      </c>
      <c r="E57" s="92" t="str" cm="1">
        <f t="array" ref="E57">IFERROR(INDEX(Núcleos!$G:$G,_xlfn.AGGREGATE(15,6,ROW(Núcleos!$D$5:$D$63)/(Núcleos!$D$5:$D$63="Profissionalizante"),15)),"")</f>
        <v/>
      </c>
      <c r="F57" s="89" t="str" cm="1">
        <f t="array" ref="F57">IFERROR(INDEX(Núcleos!$H:$H,_xlfn.AGGREGATE(15,6,ROW(Núcleos!$D$5:$D$63)/(Núcleos!$D$5:$D$63="Profissionalizante"),15)),"")</f>
        <v/>
      </c>
    </row>
    <row r="58" spans="2:6" ht="15" customHeight="1" thickTop="1" thickBot="1" x14ac:dyDescent="0.3">
      <c r="B58" s="324" t="s">
        <v>11</v>
      </c>
      <c r="C58" s="324"/>
      <c r="D58" s="102">
        <f>SUM(D43:D57)</f>
        <v>375</v>
      </c>
      <c r="E58" s="102">
        <f t="shared" ref="E58" si="2">SUM(E43:E57)</f>
        <v>105</v>
      </c>
      <c r="F58" s="102">
        <f>SUM(F43:F57)</f>
        <v>480</v>
      </c>
    </row>
    <row r="59" spans="2:6" ht="15" customHeight="1" thickTop="1" x14ac:dyDescent="0.25">
      <c r="F59" s="94"/>
    </row>
    <row r="60" spans="2:6" ht="15" customHeight="1" thickBot="1" x14ac:dyDescent="0.3">
      <c r="B60" s="105" t="s">
        <v>174</v>
      </c>
    </row>
    <row r="61" spans="2:6" ht="15" customHeight="1" thickTop="1" thickBot="1" x14ac:dyDescent="0.3">
      <c r="B61" s="325" t="s">
        <v>128</v>
      </c>
      <c r="C61" s="325" t="s">
        <v>129</v>
      </c>
      <c r="D61" s="327" t="s">
        <v>130</v>
      </c>
      <c r="E61" s="328"/>
      <c r="F61" s="329"/>
    </row>
    <row r="62" spans="2:6" ht="15" customHeight="1" thickTop="1" thickBot="1" x14ac:dyDescent="0.3">
      <c r="B62" s="326"/>
      <c r="C62" s="326"/>
      <c r="D62" s="108" t="s">
        <v>131</v>
      </c>
      <c r="E62" s="108" t="s">
        <v>132</v>
      </c>
      <c r="F62" s="108" t="s">
        <v>11</v>
      </c>
    </row>
    <row r="63" spans="2:6" ht="15" customHeight="1" thickTop="1" x14ac:dyDescent="0.25">
      <c r="B63" s="86" t="str" cm="1">
        <f t="array" ref="B63">IFERROR(INDEX(Núcleos!$C:$C,_xlfn.AGGREGATE(15,6,ROW(Núcleos!$D$5:$D$63)/(Núcleos!$D$5:$D$63="Específico"),1)),"")</f>
        <v>Instrumentação e Dispositivos Inteligentes</v>
      </c>
      <c r="C63" s="88" t="s">
        <v>176</v>
      </c>
      <c r="D63" s="89" cm="1">
        <f t="array" ref="D63">IFERROR(INDEX(Núcleos!$F:$F,_xlfn.AGGREGATE(15,6,ROW(Núcleos!$D$5:$D$63)/(Núcleos!$D$5:$D$63="Específico"),1)),"")</f>
        <v>30</v>
      </c>
      <c r="E63" s="89" cm="1">
        <f t="array" ref="E63">IFERROR(INDEX(Núcleos!$G:$G,_xlfn.AGGREGATE(15,6,ROW(Núcleos!$D$5:$D$63)/(Núcleos!$D$5:$D$63="Específico"),1)),"")</f>
        <v>30</v>
      </c>
      <c r="F63" s="87" cm="1">
        <f t="array" ref="F63">IFERROR(INDEX(Núcleos!$H:$H,_xlfn.AGGREGATE(15,6,ROW(Núcleos!$D$5:$D$63)/(Núcleos!$D$5:$D$63="Específico"),1)),"")</f>
        <v>60</v>
      </c>
    </row>
    <row r="64" spans="2:6" ht="15" customHeight="1" x14ac:dyDescent="0.25">
      <c r="B64" s="86" t="str" cm="1">
        <f t="array" ref="B64">IFERROR(INDEX(Núcleos!$C:$C,_xlfn.AGGREGATE(15,6,ROW(Núcleos!$D$5:$D$63)/(Núcleos!$D$5:$D$63="Específico"),2)),"")</f>
        <v>Informática Industrial II</v>
      </c>
      <c r="C64" s="88" t="s">
        <v>176</v>
      </c>
      <c r="D64" s="89" cm="1">
        <f t="array" ref="D64">IFERROR(INDEX(Núcleos!$F:$F,_xlfn.AGGREGATE(15,6,ROW(Núcleos!$D$5:$D$63)/(Núcleos!$D$5:$D$63="Específico"),2)),"")</f>
        <v>30</v>
      </c>
      <c r="E64" s="89" cm="1">
        <f t="array" ref="E64">IFERROR(INDEX(Núcleos!$G:$G,_xlfn.AGGREGATE(15,6,ROW(Núcleos!$D$5:$D$63)/(Núcleos!$D$5:$D$63="Específico"),2)),"")</f>
        <v>30</v>
      </c>
      <c r="F64" s="87" cm="1">
        <f t="array" ref="F64">IFERROR(INDEX(Núcleos!$H:$H,_xlfn.AGGREGATE(15,6,ROW(Núcleos!$D$5:$D$63)/(Núcleos!$D$5:$D$63="Específico"),2)),"")</f>
        <v>60</v>
      </c>
    </row>
    <row r="65" spans="2:6" ht="25.5" x14ac:dyDescent="0.25">
      <c r="B65" s="86" t="str" cm="1">
        <f t="array" ref="B65">IFERROR(INDEX(Núcleos!$C:$C,_xlfn.AGGREGATE(15,6,ROW(Núcleos!$D$5:$D$63)/(Núcleos!$D$5:$D$63="Específico"),3)),"")</f>
        <v>Redes Industriais para Controle e Automação I</v>
      </c>
      <c r="C65" s="88" t="s">
        <v>176</v>
      </c>
      <c r="D65" s="89" cm="1">
        <f t="array" ref="D65">IFERROR(INDEX(Núcleos!$F:$F,_xlfn.AGGREGATE(15,6,ROW(Núcleos!$D$5:$D$63)/(Núcleos!$D$5:$D$63="Específico"),3)),"")</f>
        <v>60</v>
      </c>
      <c r="E65" s="89" cm="1">
        <f t="array" ref="E65">IFERROR(INDEX(Núcleos!$G:$G,_xlfn.AGGREGATE(15,6,ROW(Núcleos!$D$5:$D$63)/(Núcleos!$D$5:$D$63="Específico"),3)),"")</f>
        <v>30</v>
      </c>
      <c r="F65" s="87" cm="1">
        <f t="array" ref="F65">IFERROR(INDEX(Núcleos!$H:$H,_xlfn.AGGREGATE(15,6,ROW(Núcleos!$D$5:$D$63)/(Núcleos!$D$5:$D$63="Específico"),3)),"")</f>
        <v>90</v>
      </c>
    </row>
    <row r="66" spans="2:6" x14ac:dyDescent="0.25">
      <c r="B66" s="86" t="str" cm="1">
        <f t="array" ref="B66">IFERROR(INDEX(Núcleos!$C:$C,_xlfn.AGGREGATE(15,6,ROW(Núcleos!$D$5:$D$63)/(Núcleos!$D$5:$D$63="Específico"),4)),"")</f>
        <v>Conversão de Energia e Maquinas</v>
      </c>
      <c r="C66" s="88" t="s">
        <v>176</v>
      </c>
      <c r="D66" s="89" cm="1">
        <f t="array" ref="D66">IFERROR(INDEX(Núcleos!$F:$F,_xlfn.AGGREGATE(15,6,ROW(Núcleos!$D$5:$D$63)/(Núcleos!$D$5:$D$63="Específico"),4)),"")</f>
        <v>45</v>
      </c>
      <c r="E66" s="89" cm="1">
        <f t="array" ref="E66">IFERROR(INDEX(Núcleos!$G:$G,_xlfn.AGGREGATE(15,6,ROW(Núcleos!$D$5:$D$63)/(Núcleos!$D$5:$D$63="Específico"),4)),"")</f>
        <v>15</v>
      </c>
      <c r="F66" s="87" cm="1">
        <f t="array" ref="F66">IFERROR(INDEX(Núcleos!$H:$H,_xlfn.AGGREGATE(15,6,ROW(Núcleos!$D$5:$D$63)/(Núcleos!$D$5:$D$63="Específico"),4)),"")</f>
        <v>60</v>
      </c>
    </row>
    <row r="67" spans="2:6" ht="25.5" x14ac:dyDescent="0.25">
      <c r="B67" s="86" t="str" cm="1">
        <f t="array" ref="B67">IFERROR(INDEX(Núcleos!$C:$C,_xlfn.AGGREGATE(15,6,ROW(Núcleos!$D$5:$D$63)/(Núcleos!$D$5:$D$63="Específico"),5)),"")</f>
        <v>Experimental de Sistemas de Controle Realimentado</v>
      </c>
      <c r="C67" s="88" t="s">
        <v>176</v>
      </c>
      <c r="D67" s="89" cm="1">
        <f t="array" ref="D67">IFERROR(INDEX(Núcleos!$F:$F,_xlfn.AGGREGATE(15,6,ROW(Núcleos!$D$5:$D$63)/(Núcleos!$D$5:$D$63="Específico"),5)),"")</f>
        <v>0</v>
      </c>
      <c r="E67" s="89" cm="1">
        <f t="array" ref="E67">IFERROR(INDEX(Núcleos!$G:$G,_xlfn.AGGREGATE(15,6,ROW(Núcleos!$D$5:$D$63)/(Núcleos!$D$5:$D$63="Específico"),5)),"")</f>
        <v>30</v>
      </c>
      <c r="F67" s="87" cm="1">
        <f t="array" ref="F67">IFERROR(INDEX(Núcleos!$H:$H,_xlfn.AGGREGATE(15,6,ROW(Núcleos!$D$5:$D$63)/(Núcleos!$D$5:$D$63="Específico"),5)),"")</f>
        <v>30</v>
      </c>
    </row>
    <row r="68" spans="2:6" ht="25.5" x14ac:dyDescent="0.25">
      <c r="B68" s="86" t="str" cm="1">
        <f t="array" ref="B68">IFERROR(INDEX(Núcleos!$C:$C,_xlfn.AGGREGATE(15,6,ROW(Núcleos!$D$5:$D$63)/(Núcleos!$D$5:$D$63="Específico"),6)),"")</f>
        <v>Manipuladores Robóticos Industriais e Inteligentes</v>
      </c>
      <c r="C68" s="88" t="s">
        <v>176</v>
      </c>
      <c r="D68" s="89" cm="1">
        <f t="array" ref="D68">IFERROR(INDEX(Núcleos!$F:$F,_xlfn.AGGREGATE(15,6,ROW(Núcleos!$D$5:$D$63)/(Núcleos!$D$5:$D$63="Específico"),6)),"")</f>
        <v>45</v>
      </c>
      <c r="E68" s="89" cm="1">
        <f t="array" ref="E68">IFERROR(INDEX(Núcleos!$G:$G,_xlfn.AGGREGATE(15,6,ROW(Núcleos!$D$5:$D$63)/(Núcleos!$D$5:$D$63="Específico"),6)),"")</f>
        <v>15</v>
      </c>
      <c r="F68" s="87" cm="1">
        <f t="array" ref="F68">IFERROR(INDEX(Núcleos!$H:$H,_xlfn.AGGREGATE(15,6,ROW(Núcleos!$D$5:$D$63)/(Núcleos!$D$5:$D$63="Específico"),6)),"")</f>
        <v>60</v>
      </c>
    </row>
    <row r="69" spans="2:6" ht="25.5" x14ac:dyDescent="0.25">
      <c r="B69" s="86" t="str" cm="1">
        <f t="array" ref="B69">IFERROR(INDEX(Núcleos!$C:$C,_xlfn.AGGREGATE(15,6,ROW(Núcleos!$D$5:$D$63)/(Núcleos!$D$5:$D$63="Específico"),7)),"")</f>
        <v>Redes Industriais para Controle e Automação II</v>
      </c>
      <c r="C69" s="88" t="s">
        <v>176</v>
      </c>
      <c r="D69" s="89" cm="1">
        <f t="array" ref="D69">IFERROR(INDEX(Núcleos!$F:$F,_xlfn.AGGREGATE(15,6,ROW(Núcleos!$D$5:$D$63)/(Núcleos!$D$5:$D$63="Específico"),7)),"")</f>
        <v>45</v>
      </c>
      <c r="E69" s="89" cm="1">
        <f t="array" ref="E69">IFERROR(INDEX(Núcleos!$G:$G,_xlfn.AGGREGATE(15,6,ROW(Núcleos!$D$5:$D$63)/(Núcleos!$D$5:$D$63="Específico"),7)),"")</f>
        <v>30</v>
      </c>
      <c r="F69" s="87" cm="1">
        <f t="array" ref="F69">IFERROR(INDEX(Núcleos!$H:$H,_xlfn.AGGREGATE(15,6,ROW(Núcleos!$D$5:$D$63)/(Núcleos!$D$5:$D$63="Específico"),7)),"")</f>
        <v>75</v>
      </c>
    </row>
    <row r="70" spans="2:6" x14ac:dyDescent="0.25">
      <c r="B70" s="86" t="str" cm="1">
        <f t="array" ref="B70">IFERROR(INDEX(Núcleos!$C:$C,_xlfn.AGGREGATE(15,6,ROW(Núcleos!$D$5:$D$63)/(Núcleos!$D$5:$D$63="Específico"),8)),"")</f>
        <v>Sistemas de Controle Realimentado</v>
      </c>
      <c r="C70" s="88" t="s">
        <v>176</v>
      </c>
      <c r="D70" s="89" cm="1">
        <f t="array" ref="D70">IFERROR(INDEX(Núcleos!$F:$F,_xlfn.AGGREGATE(15,6,ROW(Núcleos!$D$5:$D$63)/(Núcleos!$D$5:$D$63="Específico"),8)),"")</f>
        <v>60</v>
      </c>
      <c r="E70" s="89" cm="1">
        <f t="array" ref="E70">IFERROR(INDEX(Núcleos!$G:$G,_xlfn.AGGREGATE(15,6,ROW(Núcleos!$D$5:$D$63)/(Núcleos!$D$5:$D$63="Específico"),8)),"")</f>
        <v>30</v>
      </c>
      <c r="F70" s="87" cm="1">
        <f t="array" ref="F70">IFERROR(INDEX(Núcleos!$H:$H,_xlfn.AGGREGATE(15,6,ROW(Núcleos!$D$5:$D$63)/(Núcleos!$D$5:$D$63="Específico"),8)),"")</f>
        <v>90</v>
      </c>
    </row>
    <row r="71" spans="2:6" ht="25.5" x14ac:dyDescent="0.25">
      <c r="B71" s="86" t="str" cm="1">
        <f t="array" ref="B71">IFERROR(INDEX(Núcleos!$C:$C,_xlfn.AGGREGATE(15,6,ROW(Núcleos!$D$5:$D$63)/(Núcleos!$D$5:$D$63="Específico"),9)),"")</f>
        <v>Instalação, Proteção e Especificação de Sistemas Industriais</v>
      </c>
      <c r="C71" s="88" t="s">
        <v>176</v>
      </c>
      <c r="D71" s="89" cm="1">
        <f t="array" ref="D71">IFERROR(INDEX(Núcleos!$F:$F,_xlfn.AGGREGATE(15,6,ROW(Núcleos!$D$5:$D$63)/(Núcleos!$D$5:$D$63="Específico"),9)),"")</f>
        <v>30</v>
      </c>
      <c r="E71" s="89" cm="1">
        <f t="array" ref="E71">IFERROR(INDEX(Núcleos!$G:$G,_xlfn.AGGREGATE(15,6,ROW(Núcleos!$D$5:$D$63)/(Núcleos!$D$5:$D$63="Específico"),9)),"")</f>
        <v>30</v>
      </c>
      <c r="F71" s="87" cm="1">
        <f t="array" ref="F71">IFERROR(INDEX(Núcleos!$H:$H,_xlfn.AGGREGATE(15,6,ROW(Núcleos!$D$5:$D$63)/(Núcleos!$D$5:$D$63="Específico"),9)),"")</f>
        <v>60</v>
      </c>
    </row>
    <row r="72" spans="2:6" x14ac:dyDescent="0.25">
      <c r="B72" s="86" t="str" cm="1">
        <f t="array" ref="B72">IFERROR(INDEX(Núcleos!$C:$C,_xlfn.AGGREGATE(15,6,ROW(Núcleos!$D$5:$D$63)/(Núcleos!$D$5:$D$63="Específico"),10)),"")</f>
        <v>Experimental de Instalações Elétricas</v>
      </c>
      <c r="C72" s="88" t="s">
        <v>176</v>
      </c>
      <c r="D72" s="89" cm="1">
        <f t="array" ref="D72">IFERROR(INDEX(Núcleos!$F:$F,_xlfn.AGGREGATE(15,6,ROW(Núcleos!$D$5:$D$63)/(Núcleos!$D$5:$D$63="Específico"),10)),"")</f>
        <v>0</v>
      </c>
      <c r="E72" s="89" cm="1">
        <f t="array" ref="E72">IFERROR(INDEX(Núcleos!$G:$G,_xlfn.AGGREGATE(15,6,ROW(Núcleos!$D$5:$D$63)/(Núcleos!$D$5:$D$63="Específico"),10)),"")</f>
        <v>30</v>
      </c>
      <c r="F72" s="87" cm="1">
        <f t="array" ref="F72">IFERROR(INDEX(Núcleos!$H:$H,_xlfn.AGGREGATE(15,6,ROW(Núcleos!$D$5:$D$63)/(Núcleos!$D$5:$D$63="Específico"),10)),"")</f>
        <v>30</v>
      </c>
    </row>
    <row r="73" spans="2:6" x14ac:dyDescent="0.25">
      <c r="B73" s="86" t="str" cm="1">
        <f t="array" ref="B73">IFERROR(INDEX(Núcleos!$C:$C,_xlfn.AGGREGATE(15,6,ROW(Núcleos!$D$5:$D$63)/(Núcleos!$D$5:$D$63="Específico"),11)),"")</f>
        <v>Instalações Elétricas</v>
      </c>
      <c r="C73" s="88" t="s">
        <v>176</v>
      </c>
      <c r="D73" s="89" cm="1">
        <f t="array" ref="D73">IFERROR(INDEX(Núcleos!$F:$F,_xlfn.AGGREGATE(15,6,ROW(Núcleos!$D$5:$D$63)/(Núcleos!$D$5:$D$63="Específico"),11)),"")</f>
        <v>30</v>
      </c>
      <c r="E73" s="89" cm="1">
        <f t="array" ref="E73">IFERROR(INDEX(Núcleos!$G:$G,_xlfn.AGGREGATE(15,6,ROW(Núcleos!$D$5:$D$63)/(Núcleos!$D$5:$D$63="Específico"),11)),"")</f>
        <v>0</v>
      </c>
      <c r="F73" s="87" cm="1">
        <f t="array" ref="F73">IFERROR(INDEX(Núcleos!$H:$H,_xlfn.AGGREGATE(15,6,ROW(Núcleos!$D$5:$D$63)/(Núcleos!$D$5:$D$63="Específico"),11)),"")</f>
        <v>30</v>
      </c>
    </row>
    <row r="74" spans="2:6" x14ac:dyDescent="0.25">
      <c r="B74" s="86" t="str" cm="1">
        <f t="array" ref="B74">IFERROR(INDEX(Núcleos!$C:$C,_xlfn.AGGREGATE(15,6,ROW(Núcleos!$D$5:$D$63)/(Núcleos!$D$5:$D$63="Específico"),12)),"")</f>
        <v/>
      </c>
      <c r="C74" s="88" t="s">
        <v>176</v>
      </c>
      <c r="D74" s="89" t="str" cm="1">
        <f t="array" ref="D74">IFERROR(INDEX(Núcleos!$F:$F,_xlfn.AGGREGATE(15,6,ROW(Núcleos!$D$5:$D$63)/(Núcleos!$D$5:$D$63="Específico"),12)),"")</f>
        <v/>
      </c>
      <c r="E74" s="89" t="str" cm="1">
        <f t="array" ref="E74">IFERROR(INDEX(Núcleos!$G:$G,_xlfn.AGGREGATE(15,6,ROW(Núcleos!$D$5:$D$63)/(Núcleos!$D$5:$D$63="Específico"),12)),"")</f>
        <v/>
      </c>
      <c r="F74" s="87" t="str" cm="1">
        <f t="array" ref="F74">IFERROR(INDEX(Núcleos!$H:$H,_xlfn.AGGREGATE(15,6,ROW(Núcleos!$D$5:$D$63)/(Núcleos!$D$5:$D$63="Específico"),12)),"")</f>
        <v/>
      </c>
    </row>
    <row r="75" spans="2:6" x14ac:dyDescent="0.25">
      <c r="B75" s="86" t="str" cm="1">
        <f t="array" ref="B75">IFERROR(INDEX(Núcleos!$C:$C,_xlfn.AGGREGATE(15,6,ROW(Núcleos!$D$5:$D$63)/(Núcleos!$D$5:$D$63="Específico"),13)),"")</f>
        <v/>
      </c>
      <c r="C75" s="88" t="s">
        <v>176</v>
      </c>
      <c r="D75" s="89" t="str" cm="1">
        <f t="array" ref="D75">IFERROR(INDEX(Núcleos!$F:$F,_xlfn.AGGREGATE(15,6,ROW(Núcleos!$D$5:$D$63)/(Núcleos!$D$5:$D$63="Específico"),13)),"")</f>
        <v/>
      </c>
      <c r="E75" s="89" t="str" cm="1">
        <f t="array" ref="E75">IFERROR(INDEX(Núcleos!$G:$G,_xlfn.AGGREGATE(15,6,ROW(Núcleos!$D$5:$D$63)/(Núcleos!$D$5:$D$63="Específico"),13)),"")</f>
        <v/>
      </c>
      <c r="F75" s="87" t="str" cm="1">
        <f t="array" ref="F75">IFERROR(INDEX(Núcleos!$H:$H,_xlfn.AGGREGATE(15,6,ROW(Núcleos!$D$5:$D$63)/(Núcleos!$D$5:$D$63="Específico"),13)),"")</f>
        <v/>
      </c>
    </row>
    <row r="76" spans="2:6" x14ac:dyDescent="0.25">
      <c r="B76" s="86" t="str" cm="1">
        <f t="array" ref="B76">IFERROR(INDEX(Núcleos!$C:$C,_xlfn.AGGREGATE(15,6,ROW(Núcleos!$D$5:$D$63)/(Núcleos!$D$5:$D$63="Específico"),14)),"")</f>
        <v/>
      </c>
      <c r="C76" s="88" t="s">
        <v>176</v>
      </c>
      <c r="D76" s="89" t="str" cm="1">
        <f t="array" ref="D76">IFERROR(INDEX(Núcleos!$F:$F,_xlfn.AGGREGATE(15,6,ROW(Núcleos!$D$5:$D$63)/(Núcleos!$D$5:$D$63="Específico"),14)),"")</f>
        <v/>
      </c>
      <c r="E76" s="89" t="str" cm="1">
        <f t="array" ref="E76">IFERROR(INDEX(Núcleos!$G:$G,_xlfn.AGGREGATE(15,6,ROW(Núcleos!$D$5:$D$63)/(Núcleos!$D$5:$D$63="Específico"),14)),"")</f>
        <v/>
      </c>
      <c r="F76" s="87" t="str" cm="1">
        <f t="array" ref="F76">IFERROR(INDEX(Núcleos!$H:$H,_xlfn.AGGREGATE(15,6,ROW(Núcleos!$D$5:$D$63)/(Núcleos!$D$5:$D$63="Específico"),14)),"")</f>
        <v/>
      </c>
    </row>
    <row r="77" spans="2:6" ht="15.75" thickBot="1" x14ac:dyDescent="0.3">
      <c r="B77" s="86" t="str" cm="1">
        <f t="array" ref="B77">IFERROR(INDEX(Núcleos!$C:$C,_xlfn.AGGREGATE(15,6,ROW(Núcleos!$D$5:$D$63)/(Núcleos!$D$5:$D$63="Específico"),15)),"")</f>
        <v/>
      </c>
      <c r="C77" s="88" t="s">
        <v>176</v>
      </c>
      <c r="D77" s="89" t="str" cm="1">
        <f t="array" ref="D77">IFERROR(INDEX(Núcleos!$F:$F,_xlfn.AGGREGATE(15,6,ROW(Núcleos!$D$5:$D$63)/(Núcleos!$D$5:$D$63="Específico"),15)),"")</f>
        <v/>
      </c>
      <c r="E77" s="89" t="str" cm="1">
        <f t="array" ref="E77">IFERROR(INDEX(Núcleos!$G:$G,_xlfn.AGGREGATE(15,6,ROW(Núcleos!$D$5:$D$63)/(Núcleos!$D$5:$D$63="Específico"),15)),"")</f>
        <v/>
      </c>
      <c r="F77" s="87" t="str" cm="1">
        <f t="array" ref="F77">IFERROR(INDEX(Núcleos!$H:$H,_xlfn.AGGREGATE(15,6,ROW(Núcleos!$D$5:$D$63)/(Núcleos!$D$5:$D$63="Específico"),15)),"")</f>
        <v/>
      </c>
    </row>
    <row r="78" spans="2:6" ht="16.5" thickTop="1" thickBot="1" x14ac:dyDescent="0.3">
      <c r="B78" s="324" t="s">
        <v>11</v>
      </c>
      <c r="C78" s="324"/>
      <c r="D78" s="102">
        <f>SUM(D63:D77)</f>
        <v>375</v>
      </c>
      <c r="E78" s="102">
        <f>SUM(E63:E77)</f>
        <v>270</v>
      </c>
      <c r="F78" s="102">
        <f>SUM(F63:F77)</f>
        <v>645</v>
      </c>
    </row>
    <row r="79" spans="2:6" ht="15.75" thickTop="1" x14ac:dyDescent="0.25"/>
    <row r="80" spans="2:6" ht="15.75" thickBot="1" x14ac:dyDescent="0.3">
      <c r="B80" s="105" t="s">
        <v>184</v>
      </c>
    </row>
    <row r="81" spans="2:6" ht="31.5" thickTop="1" thickBot="1" x14ac:dyDescent="0.3">
      <c r="B81" s="122" t="s">
        <v>128</v>
      </c>
      <c r="C81" s="123" t="s">
        <v>129</v>
      </c>
      <c r="D81" s="123" t="s">
        <v>185</v>
      </c>
    </row>
    <row r="82" spans="2:6" ht="15.75" thickTop="1" x14ac:dyDescent="0.25">
      <c r="B82" s="82" t="str" cm="1">
        <f t="array" ref="B82">IFERROR(INDEX(Núcleos!$C:$C,_xlfn.AGGREGATE(15,6,ROW(Núcleos!$D$5:$D$63)/(Núcleos!$D$5:$D$63="Complementar"),1)),"")</f>
        <v>Atividades Complementares</v>
      </c>
      <c r="C82" s="83" t="s">
        <v>187</v>
      </c>
      <c r="D82" s="83" cm="1">
        <f t="array" ref="D82">IFERROR(INDEX(Núcleos!$F:$F,_xlfn.AGGREGATE(15,6,ROW(Núcleos!$D$5:$D$63)/(Núcleos!$D$5:$D$63="Complementar"),1)),"")</f>
        <v>0</v>
      </c>
      <c r="E82" cm="1">
        <f t="array" ref="E82">IFERROR(INDEX(Núcleos!$G:$G,_xlfn.AGGREGATE(15,6,ROW(Núcleos!$D$5:$D$63)/(Núcleos!$D$5:$D$63="Complementar"),1)),"")</f>
        <v>80</v>
      </c>
      <c r="F82" cm="1">
        <f t="array" ref="F82">IFERROR(INDEX(Núcleos!$H:$H,_xlfn.AGGREGATE(15,6,ROW(Núcleos!$D$5:$D$63)/(Núcleos!$D$5:$D$63="Complementar"),1)),"")</f>
        <v>80</v>
      </c>
    </row>
    <row r="83" spans="2:6" ht="15.75" thickBot="1" x14ac:dyDescent="0.3">
      <c r="B83" s="124"/>
      <c r="C83" s="119"/>
      <c r="D83" s="119"/>
    </row>
    <row r="84" spans="2:6" ht="16.5" thickTop="1" thickBot="1" x14ac:dyDescent="0.3">
      <c r="B84" s="324" t="s">
        <v>11</v>
      </c>
      <c r="C84" s="324"/>
      <c r="D84" s="120">
        <f>D82</f>
        <v>0</v>
      </c>
    </row>
    <row r="85" spans="2:6" ht="15.75" thickTop="1" x14ac:dyDescent="0.25">
      <c r="B85" s="121"/>
      <c r="C85" s="121"/>
      <c r="D85" s="121"/>
    </row>
    <row r="86" spans="2:6" ht="15.75" thickBot="1" x14ac:dyDescent="0.3">
      <c r="B86" s="105" t="s">
        <v>188</v>
      </c>
    </row>
    <row r="87" spans="2:6" ht="16.5" thickTop="1" thickBot="1" x14ac:dyDescent="0.3">
      <c r="B87" s="325" t="s">
        <v>128</v>
      </c>
      <c r="C87" s="325" t="s">
        <v>129</v>
      </c>
      <c r="D87" s="327" t="s">
        <v>130</v>
      </c>
      <c r="E87" s="328"/>
      <c r="F87" s="329"/>
    </row>
    <row r="88" spans="2:6" ht="16.5" thickTop="1" thickBot="1" x14ac:dyDescent="0.3">
      <c r="B88" s="326"/>
      <c r="C88" s="326"/>
      <c r="D88" s="108" t="s">
        <v>131</v>
      </c>
      <c r="E88" s="109" t="s">
        <v>132</v>
      </c>
      <c r="F88" s="108" t="s">
        <v>11</v>
      </c>
    </row>
    <row r="89" spans="2:6" ht="15.75" thickTop="1" x14ac:dyDescent="0.25">
      <c r="B89" t="str" cm="1">
        <f t="array" ref="B89">IFERROR(INDEX(Núcleos!$C:$C,_xlfn.AGGREGATE(15,6,ROW(Núcleos!$D$5:$D$63)/(Núcleos!$D$5:$D$63="Extensão"),1)),"")</f>
        <v>Atividades Curriculares de Extensão I</v>
      </c>
      <c r="C89" s="79" t="s">
        <v>190</v>
      </c>
      <c r="D89" s="79" cm="1">
        <f t="array" ref="D89">IFERROR(INDEX(Núcleos!$F:$F,_xlfn.AGGREGATE(15,6,ROW(Núcleos!$D$5:$D$63)/(Núcleos!$D$5:$D$63="Extensão"),1)),"")</f>
        <v>0</v>
      </c>
      <c r="E89" s="79" cm="1">
        <f t="array" ref="E89">IFERROR(INDEX(Núcleos!$G:$G,_xlfn.AGGREGATE(15,6,ROW(Núcleos!$D$5:$D$63)/(Núcleos!$D$5:$D$63="Extensão"),1)),"")</f>
        <v>90</v>
      </c>
      <c r="F89" s="79" cm="1">
        <f t="array" ref="F89">IFERROR(INDEX(Núcleos!$H:$H,_xlfn.AGGREGATE(15,6,ROW(Núcleos!$D$5:$D$63)/(Núcleos!$D$5:$D$63="Extensão"),1)),"")</f>
        <v>90</v>
      </c>
    </row>
    <row r="90" spans="2:6" x14ac:dyDescent="0.25">
      <c r="B90" t="str" cm="1">
        <f t="array" ref="B90">IFERROR(INDEX(Núcleos!$C:$C,_xlfn.AGGREGATE(15,6,ROW(Núcleos!$D$5:$D$63)/(Núcleos!$D$5:$D$63="Extensão"),2)),"")</f>
        <v>Atividades Curriculares de Extensão II</v>
      </c>
      <c r="C90" s="79" t="s">
        <v>190</v>
      </c>
      <c r="D90" s="79" cm="1">
        <f t="array" ref="D90">IFERROR(INDEX(Núcleos!$F:$F,_xlfn.AGGREGATE(15,6,ROW(Núcleos!$D$5:$D$63)/(Núcleos!$D$5:$D$63="Extensão"),2)),"")</f>
        <v>0</v>
      </c>
      <c r="E90" s="79" cm="1">
        <f t="array" ref="E90">IFERROR(INDEX(Núcleos!$G:$G,_xlfn.AGGREGATE(15,6,ROW(Núcleos!$D$5:$D$63)/(Núcleos!$D$5:$D$63="Extensão"),2)),"")</f>
        <v>90</v>
      </c>
      <c r="F90" s="79" cm="1">
        <f t="array" ref="F90">IFERROR(INDEX(Núcleos!$H:$H,_xlfn.AGGREGATE(15,6,ROW(Núcleos!$D$5:$D$63)/(Núcleos!$D$5:$D$63="Extensão"),2)),"")</f>
        <v>90</v>
      </c>
    </row>
    <row r="91" spans="2:6" x14ac:dyDescent="0.25">
      <c r="B91" t="str" cm="1">
        <f t="array" ref="B91">IFERROR(INDEX(Núcleos!$C:$C,_xlfn.AGGREGATE(15,6,ROW(Núcleos!$D$5:$D$63)/(Núcleos!$D$5:$D$63="Extensão"),3)),"")</f>
        <v>Atividades Curriculares de Extensão III</v>
      </c>
      <c r="C91" s="79" t="s">
        <v>190</v>
      </c>
      <c r="D91" s="79" cm="1">
        <f t="array" ref="D91">IFERROR(INDEX(Núcleos!$F:$F,_xlfn.AGGREGATE(15,6,ROW(Núcleos!$D$5:$D$63)/(Núcleos!$D$5:$D$63="Extensão"),3)),"")</f>
        <v>0</v>
      </c>
      <c r="E91" s="79" cm="1">
        <f t="array" ref="E91">IFERROR(INDEX(Núcleos!$G:$G,_xlfn.AGGREGATE(15,6,ROW(Núcleos!$D$5:$D$63)/(Núcleos!$D$5:$D$63="Extensão"),3)),"")</f>
        <v>60</v>
      </c>
      <c r="F91" s="79" cm="1">
        <f t="array" ref="F91">IFERROR(INDEX(Núcleos!$H:$H,_xlfn.AGGREGATE(15,6,ROW(Núcleos!$D$5:$D$63)/(Núcleos!$D$5:$D$63="Extensão"),3)),"")</f>
        <v>60</v>
      </c>
    </row>
    <row r="92" spans="2:6" x14ac:dyDescent="0.25">
      <c r="B92" t="str" cm="1">
        <f t="array" ref="B92">IFERROR(INDEX(Núcleos!$C:$C,_xlfn.AGGREGATE(15,6,ROW(Núcleos!$D$5:$D$63)/(Núcleos!$D$5:$D$63="Extensão"),4)),"")</f>
        <v/>
      </c>
      <c r="C92" s="79" t="s">
        <v>190</v>
      </c>
      <c r="D92" s="79" t="str" cm="1">
        <f t="array" ref="D92">IFERROR(INDEX(Núcleos!$F:$F,_xlfn.AGGREGATE(15,6,ROW(Núcleos!$D$5:$D$63)/(Núcleos!$D$5:$D$63="Extensão"),4)),"")</f>
        <v/>
      </c>
      <c r="E92" s="79" t="str" cm="1">
        <f t="array" ref="E92">IFERROR(INDEX(Núcleos!$G:$G,_xlfn.AGGREGATE(15,6,ROW(Núcleos!$D$5:$D$63)/(Núcleos!$D$5:$D$63="Extensão"),4)),"")</f>
        <v/>
      </c>
      <c r="F92" s="79" t="str" cm="1">
        <f t="array" ref="F92">IFERROR(INDEX(Núcleos!$H:$H,_xlfn.AGGREGATE(15,6,ROW(Núcleos!$D$5:$D$63)/(Núcleos!$D$5:$D$63="Extensão"),4)),"")</f>
        <v/>
      </c>
    </row>
    <row r="93" spans="2:6" ht="15.75" thickBot="1" x14ac:dyDescent="0.3">
      <c r="B93" t="str" cm="1">
        <f t="array" ref="B93">IFERROR(INDEX(Núcleos!$C:$C,_xlfn.AGGREGATE(15,6,ROW(Núcleos!$D$5:$D$63)/(Núcleos!$D$5:$D$63="Extensão"),5)),"")</f>
        <v/>
      </c>
      <c r="C93" s="79" t="s">
        <v>190</v>
      </c>
      <c r="D93" s="125" t="str" cm="1">
        <f t="array" ref="D93">IFERROR(INDEX(Núcleos!$F:$F,_xlfn.AGGREGATE(15,6,ROW(Núcleos!$D$5:$D$63)/(Núcleos!$D$5:$D$63="Extensão"),5)),"")</f>
        <v/>
      </c>
      <c r="E93" s="125" t="str" cm="1">
        <f t="array" ref="E93">IFERROR(INDEX(Núcleos!$G:$G,_xlfn.AGGREGATE(15,6,ROW(Núcleos!$D$5:$D$63)/(Núcleos!$D$5:$D$63="Extensão"),5)),"")</f>
        <v/>
      </c>
      <c r="F93" s="125" t="str" cm="1">
        <f t="array" ref="F93">IFERROR(INDEX(Núcleos!$H:$H,_xlfn.AGGREGATE(15,6,ROW(Núcleos!$D$5:$D$63)/(Núcleos!$D$5:$D$63="Extensão"),5)),"")</f>
        <v/>
      </c>
    </row>
    <row r="94" spans="2:6" ht="16.5" thickTop="1" thickBot="1" x14ac:dyDescent="0.3">
      <c r="B94" s="324" t="s">
        <v>126</v>
      </c>
      <c r="C94" s="324"/>
      <c r="D94" s="102">
        <f>SUM(D89:D93)</f>
        <v>0</v>
      </c>
      <c r="E94" s="102">
        <f t="shared" ref="E94:F94" si="3">SUM(E89:E93)</f>
        <v>240</v>
      </c>
      <c r="F94" s="102">
        <f t="shared" si="3"/>
        <v>240</v>
      </c>
    </row>
    <row r="95" spans="2:6" ht="15.75" thickTop="1" x14ac:dyDescent="0.25">
      <c r="B95" s="121"/>
      <c r="C95" s="121"/>
      <c r="D95" s="121"/>
    </row>
    <row r="97" spans="2:6" ht="15.75" thickBot="1" x14ac:dyDescent="0.3">
      <c r="B97" s="105" t="s">
        <v>195</v>
      </c>
    </row>
    <row r="98" spans="2:6" ht="16.5" thickTop="1" thickBot="1" x14ac:dyDescent="0.3">
      <c r="B98" s="325" t="s">
        <v>128</v>
      </c>
      <c r="C98" s="325" t="s">
        <v>129</v>
      </c>
      <c r="D98" s="327" t="s">
        <v>130</v>
      </c>
      <c r="E98" s="328"/>
      <c r="F98" s="329"/>
    </row>
    <row r="99" spans="2:6" ht="16.5" thickTop="1" thickBot="1" x14ac:dyDescent="0.3">
      <c r="B99" s="326"/>
      <c r="C99" s="326"/>
      <c r="D99" s="108" t="s">
        <v>131</v>
      </c>
      <c r="E99" s="109" t="s">
        <v>132</v>
      </c>
      <c r="F99" s="108" t="s">
        <v>11</v>
      </c>
    </row>
    <row r="100" spans="2:6" ht="15.75" thickTop="1" x14ac:dyDescent="0.25">
      <c r="B100" s="340" t="str" cm="1">
        <f t="array" ref="B100">IFERROR(INDEX(Núcleos!$C:$C,_xlfn.AGGREGATE(15,6,ROW(Núcleos!$D$5:$D$63)/(Núcleos!$D$5:$D$63="Estágio"),1)),"")</f>
        <v>Estágio Supervisionado Obrigatório (**)</v>
      </c>
      <c r="C100" s="83" t="s">
        <v>197</v>
      </c>
      <c r="D100" s="332" cm="1">
        <f t="array" ref="D100">IFERROR(INDEX(Núcleos!$F:$F,_xlfn.AGGREGATE(15,6,ROW(Núcleos!$D$5:$D$63)/(Núcleos!$D$5:$D$63="Estágio"),1)),"")</f>
        <v>0</v>
      </c>
      <c r="E100" s="332" cm="1">
        <f t="array" ref="E100">IFERROR(INDEX(Núcleos!$G:$G,_xlfn.AGGREGATE(15,6,ROW(Núcleos!$D$5:$D$63)/(Núcleos!$D$5:$D$63="Estágio"),1)),"")</f>
        <v>160</v>
      </c>
      <c r="F100" s="332" cm="1">
        <f t="array" ref="F100">IFERROR(INDEX(Núcleos!$H:$H,_xlfn.AGGREGATE(15,6,ROW(Núcleos!$D$5:$D$63)/(Núcleos!$D$5:$D$63="Estágio"),1)),"")</f>
        <v>160</v>
      </c>
    </row>
    <row r="101" spans="2:6" x14ac:dyDescent="0.25">
      <c r="B101" s="341"/>
      <c r="C101" s="83" t="s">
        <v>198</v>
      </c>
      <c r="D101" s="323"/>
      <c r="E101" s="323"/>
      <c r="F101" s="323"/>
    </row>
    <row r="102" spans="2:6" x14ac:dyDescent="0.25">
      <c r="B102" s="333" t="str" cm="1">
        <f t="array" ref="B102">IFERROR(INDEX(Núcleos!$C:$C,_xlfn.AGGREGATE(15,6,ROW(Núcleos!$D$5:$D$63)/(Núcleos!$D$5:$D$63="Estágio"),2)),"")</f>
        <v/>
      </c>
      <c r="C102" s="118" t="s">
        <v>200</v>
      </c>
      <c r="D102" s="334" t="str" cm="1">
        <f t="array" ref="D102">IFERROR(INDEX(Núcleos!$F:$F,_xlfn.AGGREGATE(15,6,ROW(Núcleos!$D$5:$D$63)/(Núcleos!$D$5:$D$63="Estágio"),2)),"")</f>
        <v/>
      </c>
      <c r="E102" s="334" t="str" cm="1">
        <f t="array" ref="E102">IFERROR(INDEX(Núcleos!$G:$G,_xlfn.AGGREGATE(15,6,ROW(Núcleos!$D$5:$D$63)/(Núcleos!$D$5:$D$63="Estágio"),2)),"")</f>
        <v/>
      </c>
      <c r="F102" s="334" t="str" cm="1">
        <f t="array" ref="F102">IFERROR(INDEX(Núcleos!$H:$H,_xlfn.AGGREGATE(15,6,ROW(Núcleos!$D$5:$D$63)/(Núcleos!$D$5:$D$63="Estágio"),2)),"")</f>
        <v/>
      </c>
    </row>
    <row r="103" spans="2:6" ht="25.5" x14ac:dyDescent="0.25">
      <c r="B103" s="333"/>
      <c r="C103" s="118" t="s">
        <v>201</v>
      </c>
      <c r="D103" s="334"/>
      <c r="E103" s="334"/>
      <c r="F103" s="334"/>
    </row>
    <row r="104" spans="2:6" x14ac:dyDescent="0.25">
      <c r="B104" s="336" t="str" cm="1">
        <f t="array" ref="B104">IFERROR(INDEX(Núcleos!$C:$C,_xlfn.AGGREGATE(15,6,ROW(Núcleos!$D$5:$D$63)/(Núcleos!$D$5:$D$63="Estágio"),3)),"")</f>
        <v/>
      </c>
      <c r="C104" s="95" t="s">
        <v>203</v>
      </c>
      <c r="D104" s="338" t="str" cm="1">
        <f t="array" ref="D104">IFERROR(INDEX(Núcleos!$F:$F,_xlfn.AGGREGATE(15,6,ROW(Núcleos!$D$5:$D$63)/(Núcleos!$D$5:$D$63="Estágio"),3)),"")</f>
        <v/>
      </c>
      <c r="E104" s="338" t="str" cm="1">
        <f t="array" ref="E104">IFERROR(INDEX(Núcleos!$G:$G,_xlfn.AGGREGATE(15,6,ROW(Núcleos!$D$5:$D$63)/(Núcleos!$D$5:$D$63="Estágio"),3)),"")</f>
        <v/>
      </c>
      <c r="F104" s="338" t="str" cm="1">
        <f t="array" ref="F104">IFERROR(INDEX(Núcleos!$H:$H,_xlfn.AGGREGATE(15,6,ROW(Núcleos!$D$5:$D$63)/(Núcleos!$D$5:$D$63="Estágio"),3)),"")</f>
        <v/>
      </c>
    </row>
    <row r="105" spans="2:6" ht="15.75" thickBot="1" x14ac:dyDescent="0.3">
      <c r="B105" s="337"/>
      <c r="C105" s="119" t="s">
        <v>204</v>
      </c>
      <c r="D105" s="339"/>
      <c r="E105" s="339"/>
      <c r="F105" s="339"/>
    </row>
    <row r="106" spans="2:6" ht="16.5" thickTop="1" thickBot="1" x14ac:dyDescent="0.3">
      <c r="B106" s="324" t="s">
        <v>126</v>
      </c>
      <c r="C106" s="324"/>
      <c r="D106" s="120">
        <v>0</v>
      </c>
      <c r="E106" s="120">
        <v>220</v>
      </c>
      <c r="F106" s="120">
        <v>220</v>
      </c>
    </row>
    <row r="107" spans="2:6" ht="15.75" thickTop="1" x14ac:dyDescent="0.25">
      <c r="B107" s="121"/>
      <c r="C107" s="121"/>
      <c r="D107" s="121"/>
      <c r="E107" s="121"/>
      <c r="F107" s="121"/>
    </row>
    <row r="108" spans="2:6" ht="15.75" thickBot="1" x14ac:dyDescent="0.3">
      <c r="B108" s="105" t="s">
        <v>205</v>
      </c>
    </row>
    <row r="109" spans="2:6" ht="16.5" thickTop="1" thickBot="1" x14ac:dyDescent="0.3">
      <c r="B109" s="325" t="s">
        <v>128</v>
      </c>
      <c r="C109" s="327" t="s">
        <v>130</v>
      </c>
      <c r="D109" s="328"/>
      <c r="E109" s="329"/>
    </row>
    <row r="110" spans="2:6" ht="16.5" thickTop="1" thickBot="1" x14ac:dyDescent="0.3">
      <c r="B110" s="326"/>
      <c r="C110" s="108" t="s">
        <v>131</v>
      </c>
      <c r="D110" s="108" t="s">
        <v>132</v>
      </c>
      <c r="E110" s="108" t="s">
        <v>11</v>
      </c>
    </row>
    <row r="111" spans="2:6" ht="15.75" thickTop="1" x14ac:dyDescent="0.25">
      <c r="B111" s="82" t="str" cm="1">
        <f t="array" ref="B111">IFERROR(INDEX(Núcleos!$C:$C,_xlfn.AGGREGATE(15,6,ROW(Núcleos!$D$5:$D$63)/(Núcleos!$D$5:$D$63="Optativa"),1)),"")</f>
        <v>Optativa</v>
      </c>
      <c r="C111" s="83" cm="1">
        <f t="array" ref="C111">IFERROR(INDEX(Núcleos!$F:$F,_xlfn.AGGREGATE(15,6,ROW(Núcleos!$D$5:$D$63)/(Núcleos!$D$5:$D$63="Optativa"),1)),"")</f>
        <v>45</v>
      </c>
      <c r="D111" s="83" cm="1">
        <f t="array" ref="D111">IFERROR(INDEX(Núcleos!$G:$G,_xlfn.AGGREGATE(15,6,ROW(Núcleos!$D$5:$D$63)/(Núcleos!$D$5:$D$63="Optativa"),1)),"")</f>
        <v>30</v>
      </c>
      <c r="E111" s="83" cm="1">
        <f t="array" ref="E111">IFERROR(INDEX(Núcleos!$H:$H,_xlfn.AGGREGATE(15,6,ROW(Núcleos!$D$5:$D$63)/(Núcleos!$D$5:$D$63="Optativa"),1)),"")</f>
        <v>75</v>
      </c>
    </row>
    <row r="112" spans="2:6" ht="25.5" x14ac:dyDescent="0.25">
      <c r="B112" s="80" t="str" cm="1">
        <f t="array" ref="B112">IFERROR(INDEX(Núcleos!$C:$C,_xlfn.AGGREGATE(15,6,ROW(Núcleos!$D$5:$D$63)/(Núcleos!$D$5:$D$63="Optativa"),2)),"")</f>
        <v>Dispositivos Ciberfísicos Inteligentes para Automação</v>
      </c>
      <c r="C112" s="81" cm="1">
        <f t="array" ref="C112">IFERROR(INDEX(Núcleos!$F:$F,_xlfn.AGGREGATE(15,6,ROW(Núcleos!$D$5:$D$63)/(Núcleos!$D$5:$D$63="Optativa"),2)),"")</f>
        <v>45</v>
      </c>
      <c r="D112" s="81" cm="1">
        <f t="array" ref="D112">IFERROR(INDEX(Núcleos!$G:$G,_xlfn.AGGREGATE(15,6,ROW(Núcleos!$D$5:$D$63)/(Núcleos!$D$5:$D$63="Optativa"),2)),"")</f>
        <v>30</v>
      </c>
      <c r="E112" s="81" cm="1">
        <f t="array" ref="E112">IFERROR(INDEX(Núcleos!$H:$H,_xlfn.AGGREGATE(15,6,ROW(Núcleos!$D$5:$D$63)/(Núcleos!$D$5:$D$63="Optativa"),2)),"")</f>
        <v>75</v>
      </c>
    </row>
    <row r="113" spans="2:5" x14ac:dyDescent="0.25">
      <c r="B113" s="80" t="str" cm="1">
        <f t="array" ref="B113">IFERROR(INDEX(Núcleos!$C:$C,_xlfn.AGGREGATE(15,6,ROW(Núcleos!$D$5:$D$63)/(Núcleos!$D$5:$D$63="Optativa"),3)),"")</f>
        <v>Automação Residencial e Predial</v>
      </c>
      <c r="C113" s="81" cm="1">
        <f t="array" ref="C113">IFERROR(INDEX(Núcleos!$F:$F,_xlfn.AGGREGATE(15,6,ROW(Núcleos!$D$5:$D$63)/(Núcleos!$D$5:$D$63="Optativa"),3)),"")</f>
        <v>45</v>
      </c>
      <c r="D113" s="81" cm="1">
        <f t="array" ref="D113">IFERROR(INDEX(Núcleos!$G:$G,_xlfn.AGGREGATE(15,6,ROW(Núcleos!$D$5:$D$63)/(Núcleos!$D$5:$D$63="Optativa"),3)),"")</f>
        <v>15</v>
      </c>
      <c r="E113" s="81" cm="1">
        <f t="array" ref="E113">IFERROR(INDEX(Núcleos!$H:$H,_xlfn.AGGREGATE(15,6,ROW(Núcleos!$D$5:$D$63)/(Núcleos!$D$5:$D$63="Optativa"),3)),"")</f>
        <v>60</v>
      </c>
    </row>
    <row r="114" spans="2:5" x14ac:dyDescent="0.25">
      <c r="B114" s="80" t="str" cm="1">
        <f t="array" ref="B114">IFERROR(INDEX(Núcleos!$C:$C,_xlfn.AGGREGATE(15,6,ROW(Núcleos!$D$5:$D$63)/(Núcleos!$D$5:$D$63="Optativa"),4)),"")</f>
        <v>Eficiência em Sistemas de Energia</v>
      </c>
      <c r="C114" s="81" cm="1">
        <f t="array" ref="C114">IFERROR(INDEX(Núcleos!$F:$F,_xlfn.AGGREGATE(15,6,ROW(Núcleos!$D$5:$D$63)/(Núcleos!$D$5:$D$63="Optativa"),4)),"")</f>
        <v>45</v>
      </c>
      <c r="D114" s="81" cm="1">
        <f t="array" ref="D114">IFERROR(INDEX(Núcleos!$G:$G,_xlfn.AGGREGATE(15,6,ROW(Núcleos!$D$5:$D$63)/(Núcleos!$D$5:$D$63="Optativa"),4)),"")</f>
        <v>15</v>
      </c>
      <c r="E114" s="81" cm="1">
        <f t="array" ref="E114">IFERROR(INDEX(Núcleos!$H:$H,_xlfn.AGGREGATE(15,6,ROW(Núcleos!$D$5:$D$63)/(Núcleos!$D$5:$D$63="Optativa"),4)),"")</f>
        <v>60</v>
      </c>
    </row>
    <row r="115" spans="2:5" x14ac:dyDescent="0.25">
      <c r="B115" s="80" t="str" cm="1">
        <f t="array" ref="B115">IFERROR(INDEX(Núcleos!$C:$C,_xlfn.AGGREGATE(15,6,ROW(Núcleos!$D$5:$D$63)/(Núcleos!$D$5:$D$63="Optativa"),5)),"")</f>
        <v>Fabricação Assistida por Computador</v>
      </c>
      <c r="C115" s="81" cm="1">
        <f t="array" ref="C115">IFERROR(INDEX(Núcleos!$F:$F,_xlfn.AGGREGATE(15,6,ROW(Núcleos!$D$5:$D$63)/(Núcleos!$D$5:$D$63="Optativa"),5)),"")</f>
        <v>30</v>
      </c>
      <c r="D115" s="81" cm="1">
        <f t="array" ref="D115">IFERROR(INDEX(Núcleos!$G:$G,_xlfn.AGGREGATE(15,6,ROW(Núcleos!$D$5:$D$63)/(Núcleos!$D$5:$D$63="Optativa"),5)),"")</f>
        <v>0</v>
      </c>
      <c r="E115" s="81" cm="1">
        <f t="array" ref="E115">IFERROR(INDEX(Núcleos!$H:$H,_xlfn.AGGREGATE(15,6,ROW(Núcleos!$D$5:$D$63)/(Núcleos!$D$5:$D$63="Optativa"),5)),"")</f>
        <v>30</v>
      </c>
    </row>
    <row r="116" spans="2:5" ht="25.5" x14ac:dyDescent="0.25">
      <c r="B116" s="80" t="str" cm="1">
        <f t="array" ref="B116">IFERROR(INDEX(Núcleos!$C:$C,_xlfn.AGGREGATE(15,6,ROW(Núcleos!$D$5:$D$63)/(Núcleos!$D$5:$D$63="Optativa"),6)),"")</f>
        <v>Fontes Renováveis não Convencionais - Técnicas e Aplicações</v>
      </c>
      <c r="C116" s="81" cm="1">
        <f t="array" ref="C116">IFERROR(INDEX(Núcleos!$F:$F,_xlfn.AGGREGATE(15,6,ROW(Núcleos!$D$5:$D$63)/(Núcleos!$D$5:$D$63="Optativa"),6)),"")</f>
        <v>45</v>
      </c>
      <c r="D116" s="81" cm="1">
        <f t="array" ref="D116">IFERROR(INDEX(Núcleos!$G:$G,_xlfn.AGGREGATE(15,6,ROW(Núcleos!$D$5:$D$63)/(Núcleos!$D$5:$D$63="Optativa"),6)),"")</f>
        <v>15</v>
      </c>
      <c r="E116" s="81" cm="1">
        <f t="array" ref="E116">IFERROR(INDEX(Núcleos!$H:$H,_xlfn.AGGREGATE(15,6,ROW(Núcleos!$D$5:$D$63)/(Núcleos!$D$5:$D$63="Optativa"),6)),"")</f>
        <v>60</v>
      </c>
    </row>
    <row r="117" spans="2:5" x14ac:dyDescent="0.25">
      <c r="B117" s="80" t="str" cm="1">
        <f t="array" ref="B117">IFERROR(INDEX(Núcleos!$C:$C,_xlfn.AGGREGATE(15,6,ROW(Núcleos!$D$5:$D$63)/(Núcleos!$D$5:$D$63="Optativa"),7)),"")</f>
        <v>Gestão dos Sistemas de Produção</v>
      </c>
      <c r="C117" s="81" cm="1">
        <f t="array" ref="C117">IFERROR(INDEX(Núcleos!$F:$F,_xlfn.AGGREGATE(15,6,ROW(Núcleos!$D$5:$D$63)/(Núcleos!$D$5:$D$63="Optativa"),7)),"")</f>
        <v>45</v>
      </c>
      <c r="D117" s="81" cm="1">
        <f t="array" ref="D117">IFERROR(INDEX(Núcleos!$G:$G,_xlfn.AGGREGATE(15,6,ROW(Núcleos!$D$5:$D$63)/(Núcleos!$D$5:$D$63="Optativa"),7)),"")</f>
        <v>0</v>
      </c>
      <c r="E117" s="81" cm="1">
        <f t="array" ref="E117">IFERROR(INDEX(Núcleos!$H:$H,_xlfn.AGGREGATE(15,6,ROW(Núcleos!$D$5:$D$63)/(Núcleos!$D$5:$D$63="Optativa"),7)),"")</f>
        <v>45</v>
      </c>
    </row>
    <row r="118" spans="2:5" ht="38.25" x14ac:dyDescent="0.25">
      <c r="B118" s="80" t="str" cm="1">
        <f t="array" ref="B118">IFERROR(INDEX(Núcleos!$C:$C,_xlfn.AGGREGATE(15,6,ROW(Núcleos!$D$5:$D$63)/(Núcleos!$D$5:$D$63="Optativa"),8)),"")</f>
        <v>Língua 
Brasileira de
Sinais - LIBRAS I</v>
      </c>
      <c r="C118" s="81" cm="1">
        <f t="array" ref="C118">IFERROR(INDEX(Núcleos!$F:$F,_xlfn.AGGREGATE(15,6,ROW(Núcleos!$D$5:$D$63)/(Núcleos!$D$5:$D$63="Optativa"),8)),"")</f>
        <v>30</v>
      </c>
      <c r="D118" s="81" cm="1">
        <f t="array" ref="D118">IFERROR(INDEX(Núcleos!$G:$G,_xlfn.AGGREGATE(15,6,ROW(Núcleos!$D$5:$D$63)/(Núcleos!$D$5:$D$63="Optativa"),8)),"")</f>
        <v>30</v>
      </c>
      <c r="E118" s="81" cm="1">
        <f t="array" ref="E118">IFERROR(INDEX(Núcleos!$H:$H,_xlfn.AGGREGATE(15,6,ROW(Núcleos!$D$5:$D$63)/(Núcleos!$D$5:$D$63="Optativa"),8)),"")</f>
        <v>60</v>
      </c>
    </row>
    <row r="119" spans="2:5" ht="25.5" x14ac:dyDescent="0.25">
      <c r="B119" s="80" t="str" cm="1">
        <f t="array" ref="B119">IFERROR(INDEX(Núcleos!$C:$C,_xlfn.AGGREGATE(15,6,ROW(Núcleos!$D$5:$D$63)/(Núcleos!$D$5:$D$63="Optativa"),9)),"")</f>
        <v>Materiais e Equip. Elétricos e Eletrônicos</v>
      </c>
      <c r="C119" s="81" cm="1">
        <f t="array" ref="C119">IFERROR(INDEX(Núcleos!$F:$F,_xlfn.AGGREGATE(15,6,ROW(Núcleos!$D$5:$D$63)/(Núcleos!$D$5:$D$63="Optativa"),9)),"")</f>
        <v>45</v>
      </c>
      <c r="D119" s="81" cm="1">
        <f t="array" ref="D119">IFERROR(INDEX(Núcleos!$G:$G,_xlfn.AGGREGATE(15,6,ROW(Núcleos!$D$5:$D$63)/(Núcleos!$D$5:$D$63="Optativa"),9)),"")</f>
        <v>15</v>
      </c>
      <c r="E119" s="81" cm="1">
        <f t="array" ref="E119">IFERROR(INDEX(Núcleos!$H:$H,_xlfn.AGGREGATE(15,6,ROW(Núcleos!$D$5:$D$63)/(Núcleos!$D$5:$D$63="Optativa"),9)),"")</f>
        <v>60</v>
      </c>
    </row>
    <row r="120" spans="2:5" ht="25.5" x14ac:dyDescent="0.25">
      <c r="B120" s="80" t="str" cm="1">
        <f t="array" ref="B120">IFERROR(INDEX(Núcleos!$C:$C,_xlfn.AGGREGATE(15,6,ROW(Núcleos!$D$5:$D$63)/(Núcleos!$D$5:$D$63="Optativa"),10)),"")</f>
        <v>Metodologia da Pesquisa e Escrita Científica</v>
      </c>
      <c r="C120" s="81" cm="1">
        <f t="array" ref="C120">IFERROR(INDEX(Núcleos!$F:$F,_xlfn.AGGREGATE(15,6,ROW(Núcleos!$D$5:$D$63)/(Núcleos!$D$5:$D$63="Optativa"),10)),"")</f>
        <v>60</v>
      </c>
      <c r="D120" s="81" cm="1">
        <f t="array" ref="D120">IFERROR(INDEX(Núcleos!$G:$G,_xlfn.AGGREGATE(15,6,ROW(Núcleos!$D$5:$D$63)/(Núcleos!$D$5:$D$63="Optativa"),10)),"")</f>
        <v>0</v>
      </c>
      <c r="E120" s="81" cm="1">
        <f t="array" ref="E120">IFERROR(INDEX(Núcleos!$H:$H,_xlfn.AGGREGATE(15,6,ROW(Núcleos!$D$5:$D$63)/(Núcleos!$D$5:$D$63="Optativa"),10)),"")</f>
        <v>60</v>
      </c>
    </row>
    <row r="121" spans="2:5" x14ac:dyDescent="0.25">
      <c r="B121" s="80" t="str" cm="1">
        <f t="array" ref="B121">IFERROR(INDEX(Núcleos!$C:$C,_xlfn.AGGREGATE(15,6,ROW(Núcleos!$D$5:$D$63)/(Núcleos!$D$5:$D$63="Optativa"),11)),"")</f>
        <v>Processamento Digital de Sinais</v>
      </c>
      <c r="C121" s="81" cm="1">
        <f t="array" ref="C121">IFERROR(INDEX(Núcleos!$F:$F,_xlfn.AGGREGATE(15,6,ROW(Núcleos!$D$5:$D$63)/(Núcleos!$D$5:$D$63="Optativa"),11)),"")</f>
        <v>45</v>
      </c>
      <c r="D121" s="81" cm="1">
        <f t="array" ref="D121">IFERROR(INDEX(Núcleos!$G:$G,_xlfn.AGGREGATE(15,6,ROW(Núcleos!$D$5:$D$63)/(Núcleos!$D$5:$D$63="Optativa"),11)),"")</f>
        <v>15</v>
      </c>
      <c r="E121" s="81" cm="1">
        <f t="array" ref="E121">IFERROR(INDEX(Núcleos!$H:$H,_xlfn.AGGREGATE(15,6,ROW(Núcleos!$D$5:$D$63)/(Núcleos!$D$5:$D$63="Optativa"),11)),"")</f>
        <v>60</v>
      </c>
    </row>
    <row r="122" spans="2:5" x14ac:dyDescent="0.25">
      <c r="B122" s="80" t="str" cm="1">
        <f t="array" ref="B122">IFERROR(INDEX(Núcleos!$C:$C,_xlfn.AGGREGATE(15,6,ROW(Núcleos!$D$5:$D$63)/(Núcleos!$D$5:$D$63="Optativa"),12)),"")</f>
        <v>Programação Orientada a Objetos</v>
      </c>
      <c r="C122" s="81" cm="1">
        <f t="array" ref="C122">IFERROR(INDEX(Núcleos!$F:$F,_xlfn.AGGREGATE(15,6,ROW(Núcleos!$D$5:$D$63)/(Núcleos!$D$5:$D$63="Optativa"),12)),"")</f>
        <v>30</v>
      </c>
      <c r="D122" s="81" cm="1">
        <f t="array" ref="D122">IFERROR(INDEX(Núcleos!$G:$G,_xlfn.AGGREGATE(15,6,ROW(Núcleos!$D$5:$D$63)/(Núcleos!$D$5:$D$63="Optativa"),12)),"")</f>
        <v>30</v>
      </c>
      <c r="E122" s="81" cm="1">
        <f t="array" ref="E122">IFERROR(INDEX(Núcleos!$H:$H,_xlfn.AGGREGATE(15,6,ROW(Núcleos!$D$5:$D$63)/(Núcleos!$D$5:$D$63="Optativa"),12)),"")</f>
        <v>60</v>
      </c>
    </row>
    <row r="123" spans="2:5" ht="25.5" x14ac:dyDescent="0.25">
      <c r="B123" s="80" t="str" cm="1">
        <f t="array" ref="B123">IFERROR(INDEX(Núcleos!$C:$C,_xlfn.AGGREGATE(15,6,ROW(Núcleos!$D$5:$D$63)/(Núcleos!$D$5:$D$63="Optativa"),13)),"")</f>
        <v>Sistemas Computacionais em Tempo Real</v>
      </c>
      <c r="C123" s="81" cm="1">
        <f t="array" ref="C123">IFERROR(INDEX(Núcleos!$F:$F,_xlfn.AGGREGATE(15,6,ROW(Núcleos!$D$5:$D$63)/(Núcleos!$D$5:$D$63="Optativa"),13)),"")</f>
        <v>30</v>
      </c>
      <c r="D123" s="81" cm="1">
        <f t="array" ref="D123">IFERROR(INDEX(Núcleos!$G:$G,_xlfn.AGGREGATE(15,6,ROW(Núcleos!$D$5:$D$63)/(Núcleos!$D$5:$D$63="Optativa"),13)),"")</f>
        <v>15</v>
      </c>
      <c r="E123" s="81" cm="1">
        <f t="array" ref="E123">IFERROR(INDEX(Núcleos!$H:$H,_xlfn.AGGREGATE(15,6,ROW(Núcleos!$D$5:$D$63)/(Núcleos!$D$5:$D$63="Optativa"),13)),"")</f>
        <v>45</v>
      </c>
    </row>
    <row r="124" spans="2:5" ht="25.5" x14ac:dyDescent="0.25">
      <c r="B124" s="80" t="str" cm="1">
        <f t="array" ref="B124">IFERROR(INDEX(Núcleos!$C:$C,_xlfn.AGGREGATE(15,6,ROW(Núcleos!$D$5:$D$63)/(Núcleos!$D$5:$D$63="Optativa"),14)),"")</f>
        <v>Sistemas de Gestão e Manutenção na Automação</v>
      </c>
      <c r="C124" s="81" cm="1">
        <f t="array" ref="C124">IFERROR(INDEX(Núcleos!$F:$F,_xlfn.AGGREGATE(15,6,ROW(Núcleos!$D$5:$D$63)/(Núcleos!$D$5:$D$63="Optativa"),14)),"")</f>
        <v>60</v>
      </c>
      <c r="D124" s="81" cm="1">
        <f t="array" ref="D124">IFERROR(INDEX(Núcleos!$G:$G,_xlfn.AGGREGATE(15,6,ROW(Núcleos!$D$5:$D$63)/(Núcleos!$D$5:$D$63="Optativa"),14)),"")</f>
        <v>0</v>
      </c>
      <c r="E124" s="81" cm="1">
        <f t="array" ref="E124">IFERROR(INDEX(Núcleos!$H:$H,_xlfn.AGGREGATE(15,6,ROW(Núcleos!$D$5:$D$63)/(Núcleos!$D$5:$D$63="Optativa"),14)),"")</f>
        <v>60</v>
      </c>
    </row>
    <row r="125" spans="2:5" x14ac:dyDescent="0.25">
      <c r="B125" s="80" t="str" cm="1">
        <f t="array" ref="B125">IFERROR(INDEX(Núcleos!$C:$C,_xlfn.AGGREGATE(15,6,ROW(Núcleos!$D$5:$D$63)/(Núcleos!$D$5:$D$63="Optativa"),15)),"")</f>
        <v>Sistemas Distribuídos</v>
      </c>
      <c r="C125" s="81" cm="1">
        <f t="array" ref="C125">IFERROR(INDEX(Núcleos!$F:$F,_xlfn.AGGREGATE(15,6,ROW(Núcleos!$D$5:$D$63)/(Núcleos!$D$5:$D$63="Optativa"),15)),"")</f>
        <v>30</v>
      </c>
      <c r="D125" s="81" cm="1">
        <f t="array" ref="D125">IFERROR(INDEX(Núcleos!$G:$G,_xlfn.AGGREGATE(15,6,ROW(Núcleos!$D$5:$D$63)/(Núcleos!$D$5:$D$63="Optativa"),15)),"")</f>
        <v>15</v>
      </c>
      <c r="E125" s="81" cm="1">
        <f t="array" ref="E125">IFERROR(INDEX(Núcleos!$H:$H,_xlfn.AGGREGATE(15,6,ROW(Núcleos!$D$5:$D$63)/(Núcleos!$D$5:$D$63="Optativa"),15)),"")</f>
        <v>45</v>
      </c>
    </row>
    <row r="126" spans="2:5" x14ac:dyDescent="0.25">
      <c r="B126" s="80" t="str" cm="1">
        <f t="array" ref="B126">IFERROR(INDEX(Núcleos!$C:$C,_xlfn.AGGREGATE(15,6,ROW(Núcleos!$D$5:$D$63)/(Núcleos!$D$5:$D$63="Optativa"),16)),"")</f>
        <v>Instalações Industriais</v>
      </c>
      <c r="C126" s="81" cm="1">
        <f t="array" ref="C126">IFERROR(INDEX(Núcleos!$F:$F,_xlfn.AGGREGATE(15,6,ROW(Núcleos!$D$5:$D$63)/(Núcleos!$D$5:$D$63="Optativa"),16)),"")</f>
        <v>45</v>
      </c>
      <c r="D126" s="81" cm="1">
        <f t="array" ref="D126">IFERROR(INDEX(Núcleos!$G:$G,_xlfn.AGGREGATE(15,6,ROW(Núcleos!$D$5:$D$63)/(Núcleos!$D$5:$D$63="Optativa"),16)),"")</f>
        <v>15</v>
      </c>
      <c r="E126" s="81" cm="1">
        <f t="array" ref="E126">IFERROR(INDEX(Núcleos!$H:$H,_xlfn.AGGREGATE(15,6,ROW(Núcleos!$D$5:$D$63)/(Núcleos!$D$5:$D$63="Optativa"),16)),"")</f>
        <v>60</v>
      </c>
    </row>
    <row r="127" spans="2:5" ht="25.5" x14ac:dyDescent="0.25">
      <c r="B127" s="80" t="str" cm="1">
        <f t="array" ref="B127">IFERROR(INDEX(Núcleos!$C:$C,_xlfn.AGGREGATE(15,6,ROW(Núcleos!$D$5:$D$63)/(Núcleos!$D$5:$D$63="Optativa"),17)),"")</f>
        <v>Tópicos Especiais em Engenharia de Controle e Automação I (***)</v>
      </c>
      <c r="C127" s="81" cm="1">
        <f t="array" ref="C127">IFERROR(INDEX(Núcleos!$F:$F,_xlfn.AGGREGATE(15,6,ROW(Núcleos!$D$5:$D$63)/(Núcleos!$D$5:$D$63="Optativa"),17)),"")</f>
        <v>60</v>
      </c>
      <c r="D127" s="81" cm="1">
        <f t="array" ref="D127">IFERROR(INDEX(Núcleos!$G:$G,_xlfn.AGGREGATE(15,6,ROW(Núcleos!$D$5:$D$63)/(Núcleos!$D$5:$D$63="Optativa"),17)),"")</f>
        <v>0</v>
      </c>
      <c r="E127" s="81" cm="1">
        <f t="array" ref="E127">IFERROR(INDEX(Núcleos!$H:$H,_xlfn.AGGREGATE(15,6,ROW(Núcleos!$D$5:$D$63)/(Núcleos!$D$5:$D$63="Optativa"),17)),"")</f>
        <v>60</v>
      </c>
    </row>
    <row r="128" spans="2:5" ht="25.5" x14ac:dyDescent="0.25">
      <c r="B128" s="80" t="str" cm="1">
        <f t="array" ref="B128">IFERROR(INDEX(Núcleos!$C:$C,_xlfn.AGGREGATE(15,6,ROW(Núcleos!$D$5:$D$63)/(Núcleos!$D$5:$D$63="Optativa"),18)),"")</f>
        <v>Tópicos Especiais em Engenharia de Controle e Automação II (***)</v>
      </c>
      <c r="C128" s="81" cm="1">
        <f t="array" ref="C128">IFERROR(INDEX(Núcleos!$F:$F,_xlfn.AGGREGATE(15,6,ROW(Núcleos!$D$5:$D$63)/(Núcleos!$D$5:$D$63="Optativa"),18)),"")</f>
        <v>60</v>
      </c>
      <c r="D128" s="81" cm="1">
        <f t="array" ref="D128">IFERROR(INDEX(Núcleos!$G:$G,_xlfn.AGGREGATE(15,6,ROW(Núcleos!$D$5:$D$63)/(Núcleos!$D$5:$D$63="Optativa"),18)),"")</f>
        <v>0</v>
      </c>
      <c r="E128" s="81" cm="1">
        <f t="array" ref="E128">IFERROR(INDEX(Núcleos!$H:$H,_xlfn.AGGREGATE(15,6,ROW(Núcleos!$D$5:$D$63)/(Núcleos!$D$5:$D$63="Optativa"),18)),"")</f>
        <v>60</v>
      </c>
    </row>
    <row r="129" spans="2:6" ht="26.25" thickBot="1" x14ac:dyDescent="0.3">
      <c r="B129" s="114" t="str" cm="1">
        <f t="array" ref="B129">IFERROR(INDEX(Núcleos!$C:$C,_xlfn.AGGREGATE(15,6,ROW(Núcleos!$D$5:$D$63)/(Núcleos!$D$5:$D$63="Optativa"),19)),"")</f>
        <v>Tópicos Especiais em Engenharia de Controle e Automação III (***)</v>
      </c>
      <c r="C129" s="116" cm="1">
        <f t="array" ref="C129">IFERROR(INDEX(Núcleos!$F:$F,_xlfn.AGGREGATE(15,6,ROW(Núcleos!$D$5:$D$63)/(Núcleos!$D$5:$D$63="Optativa"),19)),"")</f>
        <v>60</v>
      </c>
      <c r="D129" s="116" cm="1">
        <f t="array" ref="D129">IFERROR(INDEX(Núcleos!$G:$G,_xlfn.AGGREGATE(15,6,ROW(Núcleos!$D$5:$D$63)/(Núcleos!$D$5:$D$63="Optativa"),19)),"")</f>
        <v>0</v>
      </c>
      <c r="E129" s="116" cm="1">
        <f t="array" ref="E129">IFERROR(INDEX(Núcleos!$H:$H,_xlfn.AGGREGATE(15,6,ROW(Núcleos!$D$5:$D$63)/(Núcleos!$D$5:$D$63="Optativa"),19)),"")</f>
        <v>60</v>
      </c>
    </row>
    <row r="130" spans="2:6" ht="15.75" thickTop="1" x14ac:dyDescent="0.25"/>
    <row r="131" spans="2:6" x14ac:dyDescent="0.25">
      <c r="B131" s="335" t="s">
        <v>208</v>
      </c>
      <c r="C131" s="335"/>
      <c r="D131" s="335"/>
      <c r="E131" s="335"/>
      <c r="F131" s="335"/>
    </row>
    <row r="132" spans="2:6" x14ac:dyDescent="0.25">
      <c r="B132" t="s">
        <v>209</v>
      </c>
      <c r="D132">
        <v>30</v>
      </c>
      <c r="E132">
        <v>30</v>
      </c>
      <c r="F132">
        <f>SUM(D132:E132)</f>
        <v>60</v>
      </c>
    </row>
    <row r="133" spans="2:6" x14ac:dyDescent="0.25">
      <c r="B133" t="s">
        <v>210</v>
      </c>
      <c r="D133">
        <v>60</v>
      </c>
      <c r="E133">
        <v>30</v>
      </c>
      <c r="F133">
        <f t="shared" ref="F133:F150" si="4">SUM(D133:E133)</f>
        <v>90</v>
      </c>
    </row>
    <row r="134" spans="2:6" x14ac:dyDescent="0.25">
      <c r="B134" t="s">
        <v>211</v>
      </c>
      <c r="D134">
        <v>60</v>
      </c>
      <c r="E134">
        <v>30</v>
      </c>
      <c r="F134">
        <f t="shared" si="4"/>
        <v>90</v>
      </c>
    </row>
    <row r="135" spans="2:6" x14ac:dyDescent="0.25">
      <c r="B135" t="s">
        <v>206</v>
      </c>
      <c r="D135">
        <v>45</v>
      </c>
      <c r="E135">
        <v>15</v>
      </c>
      <c r="F135">
        <f t="shared" si="4"/>
        <v>60</v>
      </c>
    </row>
    <row r="136" spans="2:6" x14ac:dyDescent="0.25">
      <c r="B136" t="s">
        <v>212</v>
      </c>
      <c r="D136">
        <v>60</v>
      </c>
      <c r="E136">
        <v>30</v>
      </c>
      <c r="F136">
        <f t="shared" si="4"/>
        <v>90</v>
      </c>
    </row>
    <row r="137" spans="2:6" x14ac:dyDescent="0.25">
      <c r="B137" t="s">
        <v>133</v>
      </c>
      <c r="D137">
        <v>60</v>
      </c>
      <c r="E137">
        <v>0</v>
      </c>
      <c r="F137">
        <f t="shared" si="4"/>
        <v>60</v>
      </c>
    </row>
    <row r="138" spans="2:6" x14ac:dyDescent="0.25">
      <c r="B138" t="s">
        <v>150</v>
      </c>
      <c r="D138">
        <v>60</v>
      </c>
      <c r="E138">
        <v>0</v>
      </c>
      <c r="F138">
        <f t="shared" si="4"/>
        <v>60</v>
      </c>
    </row>
    <row r="139" spans="2:6" x14ac:dyDescent="0.25">
      <c r="B139" t="s">
        <v>213</v>
      </c>
      <c r="D139">
        <v>60</v>
      </c>
      <c r="E139">
        <v>0</v>
      </c>
      <c r="F139">
        <f t="shared" si="4"/>
        <v>60</v>
      </c>
    </row>
    <row r="141" spans="2:6" x14ac:dyDescent="0.25">
      <c r="F141">
        <f>SUM(F132:F140)</f>
        <v>570</v>
      </c>
    </row>
    <row r="143" spans="2:6" x14ac:dyDescent="0.25">
      <c r="B143" s="335" t="s">
        <v>214</v>
      </c>
      <c r="C143" s="335"/>
      <c r="D143" s="335"/>
      <c r="E143" s="335"/>
      <c r="F143" s="335"/>
    </row>
    <row r="144" spans="2:6" x14ac:dyDescent="0.25">
      <c r="B144" t="s">
        <v>163</v>
      </c>
      <c r="D144">
        <v>60</v>
      </c>
      <c r="E144">
        <v>15</v>
      </c>
      <c r="F144">
        <f t="shared" si="4"/>
        <v>75</v>
      </c>
    </row>
    <row r="145" spans="2:11" x14ac:dyDescent="0.25">
      <c r="B145" t="s">
        <v>177</v>
      </c>
      <c r="D145">
        <v>45</v>
      </c>
      <c r="E145">
        <v>15</v>
      </c>
      <c r="F145">
        <f t="shared" si="4"/>
        <v>60</v>
      </c>
    </row>
    <row r="146" spans="2:11" x14ac:dyDescent="0.25">
      <c r="B146" t="s">
        <v>215</v>
      </c>
      <c r="D146">
        <v>30</v>
      </c>
      <c r="E146">
        <v>30</v>
      </c>
      <c r="F146">
        <f t="shared" si="4"/>
        <v>60</v>
      </c>
    </row>
    <row r="147" spans="2:11" x14ac:dyDescent="0.25">
      <c r="B147" t="s">
        <v>175</v>
      </c>
      <c r="D147">
        <v>45</v>
      </c>
      <c r="E147">
        <v>15</v>
      </c>
      <c r="F147">
        <f t="shared" si="4"/>
        <v>60</v>
      </c>
    </row>
    <row r="148" spans="2:11" x14ac:dyDescent="0.25">
      <c r="B148" t="s">
        <v>133</v>
      </c>
      <c r="D148">
        <v>30</v>
      </c>
      <c r="E148">
        <v>0</v>
      </c>
      <c r="F148">
        <f t="shared" si="4"/>
        <v>30</v>
      </c>
      <c r="K148" s="164"/>
    </row>
    <row r="149" spans="2:11" x14ac:dyDescent="0.25">
      <c r="B149" t="s">
        <v>142</v>
      </c>
      <c r="D149">
        <v>30</v>
      </c>
      <c r="E149">
        <v>0</v>
      </c>
      <c r="F149">
        <f t="shared" si="4"/>
        <v>30</v>
      </c>
    </row>
    <row r="150" spans="2:11" x14ac:dyDescent="0.25">
      <c r="B150" t="s">
        <v>150</v>
      </c>
      <c r="D150">
        <v>30</v>
      </c>
      <c r="E150">
        <v>0</v>
      </c>
      <c r="F150">
        <f t="shared" si="4"/>
        <v>30</v>
      </c>
    </row>
    <row r="151" spans="2:11" x14ac:dyDescent="0.25">
      <c r="B151" t="s">
        <v>189</v>
      </c>
      <c r="D151">
        <v>0</v>
      </c>
      <c r="E151">
        <v>60</v>
      </c>
      <c r="F151">
        <f>SUM(E151:E151)</f>
        <v>60</v>
      </c>
    </row>
    <row r="152" spans="2:11" x14ac:dyDescent="0.25">
      <c r="B152" t="s">
        <v>191</v>
      </c>
      <c r="D152">
        <v>0</v>
      </c>
      <c r="E152">
        <v>75</v>
      </c>
      <c r="F152">
        <f>SUM(E152:E152)</f>
        <v>75</v>
      </c>
    </row>
    <row r="153" spans="2:11" x14ac:dyDescent="0.25">
      <c r="B153" t="s">
        <v>192</v>
      </c>
      <c r="D153">
        <v>0</v>
      </c>
      <c r="E153">
        <v>90</v>
      </c>
      <c r="F153">
        <f>SUM(E153:E153)</f>
        <v>90</v>
      </c>
    </row>
    <row r="154" spans="2:11" x14ac:dyDescent="0.25">
      <c r="B154" t="s">
        <v>193</v>
      </c>
      <c r="D154">
        <v>0</v>
      </c>
      <c r="E154">
        <v>90</v>
      </c>
      <c r="F154">
        <f>SUM(E154:E154)</f>
        <v>90</v>
      </c>
    </row>
    <row r="155" spans="2:11" x14ac:dyDescent="0.25">
      <c r="B155" t="s">
        <v>194</v>
      </c>
      <c r="D155">
        <v>0</v>
      </c>
      <c r="E155">
        <v>60</v>
      </c>
      <c r="F155">
        <f>SUM(E155:E155)</f>
        <v>60</v>
      </c>
    </row>
    <row r="157" spans="2:11" x14ac:dyDescent="0.25">
      <c r="F157">
        <f>SUM(F144:F156)</f>
        <v>720</v>
      </c>
    </row>
    <row r="160" spans="2:11" ht="15.75" thickBot="1" x14ac:dyDescent="0.3">
      <c r="B160" s="105" t="s">
        <v>216</v>
      </c>
    </row>
    <row r="161" spans="2:4" ht="31.5" thickTop="1" thickBot="1" x14ac:dyDescent="0.3">
      <c r="B161" s="122" t="s">
        <v>217</v>
      </c>
      <c r="C161" s="123" t="s">
        <v>218</v>
      </c>
      <c r="D161" s="123" t="s">
        <v>219</v>
      </c>
    </row>
    <row r="162" spans="2:4" ht="51.75" thickTop="1" x14ac:dyDescent="0.25">
      <c r="B162" s="344" t="s">
        <v>220</v>
      </c>
      <c r="C162" s="81" t="s">
        <v>221</v>
      </c>
      <c r="D162" s="80" t="s">
        <v>145</v>
      </c>
    </row>
    <row r="163" spans="2:4" ht="25.5" x14ac:dyDescent="0.25">
      <c r="B163" s="345"/>
      <c r="C163" s="81" t="s">
        <v>222</v>
      </c>
      <c r="D163" s="80" t="s">
        <v>170</v>
      </c>
    </row>
    <row r="164" spans="2:4" ht="38.25" x14ac:dyDescent="0.25">
      <c r="B164" s="345"/>
      <c r="C164" s="81" t="s">
        <v>223</v>
      </c>
      <c r="D164" s="80" t="s">
        <v>155</v>
      </c>
    </row>
    <row r="165" spans="2:4" ht="38.25" x14ac:dyDescent="0.25">
      <c r="B165" s="345"/>
      <c r="C165" s="81" t="s">
        <v>224</v>
      </c>
      <c r="D165" s="80" t="s">
        <v>168</v>
      </c>
    </row>
    <row r="166" spans="2:4" ht="76.5" x14ac:dyDescent="0.25">
      <c r="B166" s="345"/>
      <c r="C166" s="81" t="s">
        <v>225</v>
      </c>
      <c r="D166" s="80" t="s">
        <v>196</v>
      </c>
    </row>
    <row r="167" spans="2:4" ht="25.5" x14ac:dyDescent="0.25">
      <c r="B167" s="334" t="s">
        <v>226</v>
      </c>
      <c r="C167" s="118" t="s">
        <v>221</v>
      </c>
      <c r="D167" s="117" t="s">
        <v>144</v>
      </c>
    </row>
    <row r="168" spans="2:4" ht="25.5" x14ac:dyDescent="0.25">
      <c r="B168" s="334"/>
      <c r="C168" s="118" t="s">
        <v>227</v>
      </c>
      <c r="D168" s="117" t="s">
        <v>143</v>
      </c>
    </row>
    <row r="169" spans="2:4" ht="25.5" x14ac:dyDescent="0.25">
      <c r="B169" s="334"/>
      <c r="C169" s="118" t="s">
        <v>227</v>
      </c>
      <c r="D169" s="117" t="s">
        <v>170</v>
      </c>
    </row>
    <row r="170" spans="2:4" ht="25.5" x14ac:dyDescent="0.25">
      <c r="B170" s="334"/>
      <c r="C170" s="118" t="s">
        <v>228</v>
      </c>
      <c r="D170" s="117" t="s">
        <v>183</v>
      </c>
    </row>
    <row r="171" spans="2:4" ht="76.5" x14ac:dyDescent="0.25">
      <c r="B171" s="334"/>
      <c r="C171" s="118" t="s">
        <v>225</v>
      </c>
      <c r="D171" s="117" t="s">
        <v>196</v>
      </c>
    </row>
    <row r="172" spans="2:4" ht="63.75" x14ac:dyDescent="0.25">
      <c r="B172" s="334"/>
      <c r="C172" s="118" t="s">
        <v>229</v>
      </c>
      <c r="D172" s="117" t="s">
        <v>182</v>
      </c>
    </row>
    <row r="173" spans="2:4" ht="51" x14ac:dyDescent="0.25">
      <c r="B173" s="346" t="s">
        <v>230</v>
      </c>
      <c r="C173" s="81" t="s">
        <v>221</v>
      </c>
      <c r="D173" s="80" t="s">
        <v>145</v>
      </c>
    </row>
    <row r="174" spans="2:4" ht="25.5" x14ac:dyDescent="0.25">
      <c r="B174" s="346"/>
      <c r="C174" s="81" t="s">
        <v>222</v>
      </c>
      <c r="D174" s="80" t="s">
        <v>170</v>
      </c>
    </row>
    <row r="175" spans="2:4" ht="38.25" x14ac:dyDescent="0.25">
      <c r="B175" s="346"/>
      <c r="C175" s="81" t="s">
        <v>223</v>
      </c>
      <c r="D175" s="80" t="s">
        <v>155</v>
      </c>
    </row>
    <row r="176" spans="2:4" ht="38.25" x14ac:dyDescent="0.25">
      <c r="B176" s="346"/>
      <c r="C176" s="81" t="s">
        <v>224</v>
      </c>
      <c r="D176" s="80" t="s">
        <v>168</v>
      </c>
    </row>
    <row r="177" spans="2:4" ht="51" x14ac:dyDescent="0.25">
      <c r="B177" s="346"/>
      <c r="C177" s="81" t="s">
        <v>228</v>
      </c>
      <c r="D177" s="80" t="s">
        <v>210</v>
      </c>
    </row>
    <row r="178" spans="2:4" ht="25.5" x14ac:dyDescent="0.25">
      <c r="B178" s="346"/>
      <c r="C178" s="81" t="s">
        <v>228</v>
      </c>
      <c r="D178" s="80" t="s">
        <v>170</v>
      </c>
    </row>
    <row r="179" spans="2:4" ht="25.5" x14ac:dyDescent="0.25">
      <c r="B179" s="346"/>
      <c r="C179" s="81" t="s">
        <v>229</v>
      </c>
      <c r="D179" s="80" t="s">
        <v>231</v>
      </c>
    </row>
    <row r="180" spans="2:4" ht="51" x14ac:dyDescent="0.25">
      <c r="B180" s="333" t="s">
        <v>232</v>
      </c>
      <c r="C180" s="118" t="s">
        <v>221</v>
      </c>
      <c r="D180" s="117" t="s">
        <v>145</v>
      </c>
    </row>
    <row r="181" spans="2:4" ht="25.5" x14ac:dyDescent="0.25">
      <c r="B181" s="333"/>
      <c r="C181" s="118" t="s">
        <v>224</v>
      </c>
      <c r="D181" s="117" t="s">
        <v>165</v>
      </c>
    </row>
    <row r="182" spans="2:4" ht="38.25" x14ac:dyDescent="0.25">
      <c r="B182" s="333"/>
      <c r="C182" s="118" t="s">
        <v>229</v>
      </c>
      <c r="D182" s="117" t="s">
        <v>233</v>
      </c>
    </row>
    <row r="183" spans="2:4" ht="25.5" x14ac:dyDescent="0.25">
      <c r="B183" s="333"/>
      <c r="C183" s="118" t="s">
        <v>222</v>
      </c>
      <c r="D183" s="117" t="s">
        <v>170</v>
      </c>
    </row>
    <row r="184" spans="2:4" ht="25.5" x14ac:dyDescent="0.25">
      <c r="B184" s="333"/>
      <c r="C184" s="118" t="s">
        <v>229</v>
      </c>
      <c r="D184" s="117" t="s">
        <v>231</v>
      </c>
    </row>
    <row r="185" spans="2:4" ht="51" x14ac:dyDescent="0.25">
      <c r="B185" s="342" t="s">
        <v>234</v>
      </c>
      <c r="C185" s="81" t="s">
        <v>221</v>
      </c>
      <c r="D185" s="80" t="s">
        <v>145</v>
      </c>
    </row>
    <row r="186" spans="2:4" ht="25.5" x14ac:dyDescent="0.25">
      <c r="B186" s="342"/>
      <c r="C186" s="81" t="s">
        <v>222</v>
      </c>
      <c r="D186" s="80" t="s">
        <v>170</v>
      </c>
    </row>
    <row r="187" spans="2:4" ht="26.25" thickBot="1" x14ac:dyDescent="0.3">
      <c r="B187" s="343"/>
      <c r="C187" s="116" t="s">
        <v>235</v>
      </c>
      <c r="D187" s="114" t="s">
        <v>142</v>
      </c>
    </row>
    <row r="188" spans="2:4" ht="15.75" thickTop="1" x14ac:dyDescent="0.25"/>
    <row r="189" spans="2:4" ht="15.75" thickBot="1" x14ac:dyDescent="0.3">
      <c r="B189" s="347" t="s">
        <v>236</v>
      </c>
      <c r="C189" s="347"/>
      <c r="D189" s="347"/>
    </row>
    <row r="190" spans="2:4" ht="16.5" thickTop="1" thickBot="1" x14ac:dyDescent="0.3">
      <c r="B190" s="122" t="s">
        <v>237</v>
      </c>
      <c r="C190" s="98" t="s">
        <v>117</v>
      </c>
      <c r="D190" s="98" t="s">
        <v>118</v>
      </c>
    </row>
    <row r="191" spans="2:4" ht="15.75" thickTop="1" x14ac:dyDescent="0.25">
      <c r="B191" s="82" t="s">
        <v>238</v>
      </c>
      <c r="C191" s="99">
        <f>3750-720</f>
        <v>3030</v>
      </c>
      <c r="D191" s="100">
        <f>C191/$C$197</f>
        <v>0.80800000000000005</v>
      </c>
    </row>
    <row r="192" spans="2:4" x14ac:dyDescent="0.25">
      <c r="B192" s="80" t="s">
        <v>125</v>
      </c>
      <c r="C192" s="101">
        <v>75</v>
      </c>
      <c r="D192" s="100">
        <f t="shared" ref="D192:D196" si="5">C192/$C$197</f>
        <v>0.02</v>
      </c>
    </row>
    <row r="193" spans="2:4" x14ac:dyDescent="0.25">
      <c r="B193" s="80" t="s">
        <v>239</v>
      </c>
      <c r="C193" s="101">
        <v>30</v>
      </c>
      <c r="D193" s="100">
        <f t="shared" si="5"/>
        <v>8.0000000000000002E-3</v>
      </c>
    </row>
    <row r="194" spans="2:4" x14ac:dyDescent="0.25">
      <c r="B194" s="80" t="s">
        <v>202</v>
      </c>
      <c r="C194" s="101">
        <v>160</v>
      </c>
      <c r="D194" s="100">
        <f t="shared" si="5"/>
        <v>4.2666666666666665E-2</v>
      </c>
    </row>
    <row r="195" spans="2:4" x14ac:dyDescent="0.25">
      <c r="B195" s="80" t="s">
        <v>186</v>
      </c>
      <c r="C195" s="101">
        <v>80</v>
      </c>
      <c r="D195" s="100">
        <f t="shared" si="5"/>
        <v>2.1333333333333333E-2</v>
      </c>
    </row>
    <row r="196" spans="2:4" ht="15.75" thickBot="1" x14ac:dyDescent="0.3">
      <c r="B196" s="80" t="s">
        <v>123</v>
      </c>
      <c r="C196" s="115">
        <v>375</v>
      </c>
      <c r="D196" s="128">
        <f t="shared" si="5"/>
        <v>0.1</v>
      </c>
    </row>
    <row r="197" spans="2:4" ht="16.5" thickTop="1" thickBot="1" x14ac:dyDescent="0.3">
      <c r="B197" s="102" t="s">
        <v>126</v>
      </c>
      <c r="C197" s="126">
        <f>SUM(C191:C196)</f>
        <v>3750</v>
      </c>
      <c r="D197" s="127">
        <f>SUM(D191:D196)</f>
        <v>1</v>
      </c>
    </row>
    <row r="198" spans="2:4" ht="15.75" thickTop="1" x14ac:dyDescent="0.25"/>
  </sheetData>
  <mergeCells count="51">
    <mergeCell ref="B185:B187"/>
    <mergeCell ref="B162:B166"/>
    <mergeCell ref="B167:B172"/>
    <mergeCell ref="B173:B179"/>
    <mergeCell ref="B189:D189"/>
    <mergeCell ref="B78:C78"/>
    <mergeCell ref="B180:B184"/>
    <mergeCell ref="B84:C84"/>
    <mergeCell ref="B94:C94"/>
    <mergeCell ref="B131:F131"/>
    <mergeCell ref="B143:F143"/>
    <mergeCell ref="B87:B88"/>
    <mergeCell ref="C87:C88"/>
    <mergeCell ref="D87:F87"/>
    <mergeCell ref="B104:B105"/>
    <mergeCell ref="D104:D105"/>
    <mergeCell ref="E104:E105"/>
    <mergeCell ref="F104:F105"/>
    <mergeCell ref="B106:C106"/>
    <mergeCell ref="B100:B101"/>
    <mergeCell ref="B109:B110"/>
    <mergeCell ref="C109:E109"/>
    <mergeCell ref="B98:B99"/>
    <mergeCell ref="C98:C99"/>
    <mergeCell ref="D98:F98"/>
    <mergeCell ref="D100:D101"/>
    <mergeCell ref="E100:E101"/>
    <mergeCell ref="F100:F101"/>
    <mergeCell ref="B102:B103"/>
    <mergeCell ref="D102:D103"/>
    <mergeCell ref="E102:E103"/>
    <mergeCell ref="F102:F103"/>
    <mergeCell ref="B14:B15"/>
    <mergeCell ref="C14:C15"/>
    <mergeCell ref="D14:F14"/>
    <mergeCell ref="B41:B42"/>
    <mergeCell ref="C41:C42"/>
    <mergeCell ref="D41:F41"/>
    <mergeCell ref="C17:C18"/>
    <mergeCell ref="C21:C24"/>
    <mergeCell ref="C26:C27"/>
    <mergeCell ref="C30:C35"/>
    <mergeCell ref="B38:C38"/>
    <mergeCell ref="C47:C48"/>
    <mergeCell ref="B61:B62"/>
    <mergeCell ref="C61:C62"/>
    <mergeCell ref="D61:F61"/>
    <mergeCell ref="C49:C50"/>
    <mergeCell ref="C52:C55"/>
    <mergeCell ref="C43:C46"/>
    <mergeCell ref="B58:C58"/>
  </mergeCells>
  <pageMargins left="0.511811024" right="0.511811024" top="0.78740157499999996" bottom="0.78740157499999996" header="0.31496062000000002" footer="0.31496062000000002"/>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B408F6-FF93-463B-8991-E1E079003F7C}">
  <sheetPr codeName="Fluxograma"/>
  <dimension ref="A1:K84"/>
  <sheetViews>
    <sheetView topLeftCell="A43" zoomScale="160" zoomScaleNormal="160" workbookViewId="0">
      <selection activeCell="P61" sqref="P61"/>
    </sheetView>
  </sheetViews>
  <sheetFormatPr defaultRowHeight="15" x14ac:dyDescent="0.25"/>
  <cols>
    <col min="3" max="3" width="5.42578125" customWidth="1"/>
    <col min="4" max="4" width="29.28515625" style="136" customWidth="1"/>
    <col min="5" max="5" width="10.5703125" customWidth="1"/>
    <col min="6" max="6" width="4.7109375" customWidth="1"/>
    <col min="7" max="7" width="4.140625" customWidth="1"/>
    <col min="8" max="8" width="4.5703125" customWidth="1"/>
    <col min="9" max="9" width="14.85546875" customWidth="1"/>
    <col min="10" max="10" width="13.5703125" customWidth="1"/>
    <col min="11" max="11" width="6.85546875" customWidth="1"/>
  </cols>
  <sheetData>
    <row r="1" spans="1:11" ht="23.25" x14ac:dyDescent="0.25">
      <c r="F1" s="129" t="s">
        <v>240</v>
      </c>
    </row>
    <row r="2" spans="1:11" ht="15.75" thickBot="1" x14ac:dyDescent="0.3">
      <c r="F2" s="138"/>
      <c r="G2" s="138"/>
      <c r="H2" s="138"/>
    </row>
    <row r="3" spans="1:11" ht="21.75" customHeight="1" thickTop="1" thickBot="1" x14ac:dyDescent="0.3">
      <c r="C3" s="349" t="s">
        <v>241</v>
      </c>
      <c r="D3" s="348" t="s">
        <v>242</v>
      </c>
      <c r="E3" s="348" t="s">
        <v>243</v>
      </c>
      <c r="F3" s="348" t="s">
        <v>244</v>
      </c>
      <c r="G3" s="348"/>
      <c r="H3" s="348"/>
      <c r="I3" s="348" t="s">
        <v>245</v>
      </c>
      <c r="J3" s="348"/>
      <c r="K3" s="348" t="s">
        <v>246</v>
      </c>
    </row>
    <row r="4" spans="1:11" ht="24" customHeight="1" thickTop="1" thickBot="1" x14ac:dyDescent="0.3">
      <c r="C4" s="349"/>
      <c r="D4" s="348"/>
      <c r="E4" s="348"/>
      <c r="F4" s="141" t="s">
        <v>247</v>
      </c>
      <c r="G4" s="141" t="s">
        <v>13</v>
      </c>
      <c r="H4" s="141" t="s">
        <v>11</v>
      </c>
      <c r="I4" s="141" t="s">
        <v>248</v>
      </c>
      <c r="J4" s="141" t="s">
        <v>249</v>
      </c>
      <c r="K4" s="348"/>
    </row>
    <row r="5" spans="1:11" ht="16.5" thickTop="1" thickBot="1" x14ac:dyDescent="0.3">
      <c r="A5">
        <v>1</v>
      </c>
      <c r="B5" s="79" t="str">
        <f>LEFT('Diagrama Tecnólogo'!C8,FIND(" ",'Diagrama Tecnólogo'!C8)-1)</f>
        <v>1</v>
      </c>
      <c r="C5" s="354" t="s">
        <v>250</v>
      </c>
      <c r="D5" s="137" t="str">
        <f>IFERROR(TRIM(MID('Diagrama Tecnólogo'!C8,FIND("-",'Diagrama Tecnólogo'!C8)+1,200)),"")</f>
        <v>Cálculo Diferencial e Integral I</v>
      </c>
      <c r="E5" s="130" t="s">
        <v>251</v>
      </c>
      <c r="F5" s="130">
        <f>'Diagrama Tecnólogo'!C11</f>
        <v>60</v>
      </c>
      <c r="G5" s="130">
        <f>'Diagrama Tecnólogo'!D11</f>
        <v>0</v>
      </c>
      <c r="H5" s="130">
        <f>'Diagrama Tecnólogo'!E11</f>
        <v>60</v>
      </c>
      <c r="I5" s="132" t="s">
        <v>252</v>
      </c>
      <c r="J5" s="132" t="s">
        <v>252</v>
      </c>
      <c r="K5" s="130" t="s">
        <v>253</v>
      </c>
    </row>
    <row r="6" spans="1:11" ht="16.5" thickTop="1" thickBot="1" x14ac:dyDescent="0.3">
      <c r="A6">
        <v>2</v>
      </c>
      <c r="B6" s="79" t="str">
        <f>LEFT('Diagrama Tecnólogo'!C13,FIND(" ",'Diagrama Tecnólogo'!C13)-1)</f>
        <v>2</v>
      </c>
      <c r="C6" s="354"/>
      <c r="D6" s="137" t="str">
        <f>IFERROR(TRIM(MID('Diagrama Tecnólogo'!C13,FIND("-",'Diagrama Tecnólogo'!C13)+1,200)),"")</f>
        <v>Ciência de dados aplicada a Metrologia</v>
      </c>
      <c r="E6" s="130" t="s">
        <v>251</v>
      </c>
      <c r="F6" s="130">
        <f>'Diagrama Tecnólogo'!C16</f>
        <v>30</v>
      </c>
      <c r="G6" s="130">
        <f>'Diagrama Tecnólogo'!D16</f>
        <v>30</v>
      </c>
      <c r="H6" s="130">
        <f>'Diagrama Tecnólogo'!E16</f>
        <v>60</v>
      </c>
      <c r="I6" s="132" t="s">
        <v>252</v>
      </c>
      <c r="J6" s="132" t="s">
        <v>252</v>
      </c>
      <c r="K6" s="130" t="s">
        <v>254</v>
      </c>
    </row>
    <row r="7" spans="1:11" ht="16.5" thickTop="1" thickBot="1" x14ac:dyDescent="0.3">
      <c r="A7">
        <v>3</v>
      </c>
      <c r="B7" s="79" t="str">
        <f>LEFT('Diagrama Tecnólogo'!C18,FIND(" ",'Diagrama Tecnólogo'!C18)-1)</f>
        <v>3</v>
      </c>
      <c r="C7" s="354"/>
      <c r="D7" s="137" t="str">
        <f>IFERROR(TRIM(MID('Diagrama Tecnólogo'!C18,FIND("-",'Diagrama Tecnólogo'!C18)+1,200)),"")</f>
        <v>Expressão Gráfica</v>
      </c>
      <c r="E7" s="130" t="s">
        <v>251</v>
      </c>
      <c r="F7" s="130">
        <f>'Diagrama Tecnólogo'!C21</f>
        <v>60</v>
      </c>
      <c r="G7" s="130">
        <f>'Diagrama Tecnólogo'!D21</f>
        <v>0</v>
      </c>
      <c r="H7" s="130">
        <f>'Diagrama Tecnólogo'!E21</f>
        <v>60</v>
      </c>
      <c r="I7" s="132" t="s">
        <v>252</v>
      </c>
      <c r="J7" s="132" t="s">
        <v>252</v>
      </c>
      <c r="K7" s="130" t="s">
        <v>254</v>
      </c>
    </row>
    <row r="8" spans="1:11" ht="16.5" thickTop="1" thickBot="1" x14ac:dyDescent="0.3">
      <c r="A8">
        <v>4</v>
      </c>
      <c r="B8" s="79" t="e">
        <f>LEFT('Diagrama Tecnólogo'!#REF!,FIND(" ",'Diagrama Tecnólogo'!#REF!)-1)</f>
        <v>#REF!</v>
      </c>
      <c r="C8" s="354"/>
      <c r="D8" s="137" t="str">
        <f>IFERROR(TRIM(MID('Diagrama Tecnólogo'!#REF!,FIND("-",'Diagrama Tecnólogo'!#REF!)+1,200)),"")</f>
        <v/>
      </c>
      <c r="E8" s="130" t="s">
        <v>251</v>
      </c>
      <c r="F8" s="130" t="e">
        <f>'Diagrama Tecnólogo'!#REF!</f>
        <v>#REF!</v>
      </c>
      <c r="G8" s="130" t="e">
        <f>'Diagrama Tecnólogo'!#REF!</f>
        <v>#REF!</v>
      </c>
      <c r="H8" s="130" t="e">
        <f>'Diagrama Tecnólogo'!#REF!</f>
        <v>#REF!</v>
      </c>
      <c r="I8" s="132" t="s">
        <v>252</v>
      </c>
      <c r="J8" s="132" t="s">
        <v>252</v>
      </c>
      <c r="K8" s="130" t="s">
        <v>255</v>
      </c>
    </row>
    <row r="9" spans="1:11" ht="16.5" thickTop="1" thickBot="1" x14ac:dyDescent="0.3">
      <c r="A9">
        <v>5</v>
      </c>
      <c r="B9" s="79" t="str">
        <f>LEFT('Diagrama Tecnólogo'!C23,FIND(" ",'Diagrama Tecnólogo'!C23)-1)</f>
        <v>4</v>
      </c>
      <c r="C9" s="354"/>
      <c r="D9" s="137" t="str">
        <f>IFERROR(TRIM(MID('Diagrama Tecnólogo'!C23,FIND("-",'Diagrama Tecnólogo'!C23)+1,200)),"")</f>
        <v>Introdução à Engenharia de Controle e Automação</v>
      </c>
      <c r="E9" s="130" t="s">
        <v>251</v>
      </c>
      <c r="F9" s="130">
        <f>'Diagrama Tecnólogo'!C26</f>
        <v>30</v>
      </c>
      <c r="G9" s="130">
        <f>'Diagrama Tecnólogo'!D26</f>
        <v>0</v>
      </c>
      <c r="H9" s="130">
        <f>'Diagrama Tecnólogo'!E26</f>
        <v>30</v>
      </c>
      <c r="I9" s="132" t="s">
        <v>252</v>
      </c>
      <c r="J9" s="132" t="s">
        <v>252</v>
      </c>
      <c r="K9" s="130" t="s">
        <v>254</v>
      </c>
    </row>
    <row r="10" spans="1:11" ht="16.5" thickTop="1" thickBot="1" x14ac:dyDescent="0.3">
      <c r="A10">
        <v>6</v>
      </c>
      <c r="B10" s="79" t="str">
        <f>LEFT('Diagrama Tecnólogo'!C28,FIND(" ",'Diagrama Tecnólogo'!C28)-1)</f>
        <v>5</v>
      </c>
      <c r="C10" s="354"/>
      <c r="D10" s="137" t="str">
        <f>IFERROR(TRIM(MID('Diagrama Tecnólogo'!C28,FIND("-",'Diagrama Tecnólogo'!C28)+1,200)),"")</f>
        <v>Programação Embarcada com IA</v>
      </c>
      <c r="E10" s="130" t="s">
        <v>251</v>
      </c>
      <c r="F10" s="130">
        <f>'Diagrama Tecnólogo'!C31</f>
        <v>45</v>
      </c>
      <c r="G10" s="130">
        <f>'Diagrama Tecnólogo'!D31</f>
        <v>30</v>
      </c>
      <c r="H10" s="130">
        <f>'Diagrama Tecnólogo'!E31</f>
        <v>75</v>
      </c>
      <c r="I10" s="132" t="s">
        <v>252</v>
      </c>
      <c r="J10" s="132" t="s">
        <v>252</v>
      </c>
      <c r="K10" s="130" t="s">
        <v>254</v>
      </c>
    </row>
    <row r="11" spans="1:11" ht="16.5" thickTop="1" thickBot="1" x14ac:dyDescent="0.3">
      <c r="A11">
        <v>7</v>
      </c>
      <c r="B11" s="79" t="str">
        <f>LEFT('Diagrama Tecnólogo'!C33,FIND(" ",'Diagrama Tecnólogo'!C33)-1)</f>
        <v>6</v>
      </c>
      <c r="C11" s="354"/>
      <c r="D11" s="137" t="str">
        <f>IFERROR(TRIM(MID('Diagrama Tecnólogo'!C33,FIND("-",'Diagrama Tecnólogo'!C33)+1,200)),"")</f>
        <v>Sistemas Digitais</v>
      </c>
      <c r="E11" s="130" t="s">
        <v>251</v>
      </c>
      <c r="F11" s="130">
        <f>'Diagrama Tecnólogo'!C36</f>
        <v>30</v>
      </c>
      <c r="G11" s="130">
        <f>'Diagrama Tecnólogo'!D36</f>
        <v>30</v>
      </c>
      <c r="H11" s="130">
        <f>'Diagrama Tecnólogo'!E36</f>
        <v>60</v>
      </c>
      <c r="I11" s="132" t="s">
        <v>252</v>
      </c>
      <c r="J11" s="132" t="s">
        <v>252</v>
      </c>
      <c r="K11" s="130" t="s">
        <v>253</v>
      </c>
    </row>
    <row r="12" spans="1:11" ht="16.5" thickTop="1" thickBot="1" x14ac:dyDescent="0.3">
      <c r="A12" s="79"/>
      <c r="B12" s="79">
        <v>8</v>
      </c>
      <c r="C12" s="354"/>
      <c r="D12" s="135" t="str">
        <f>IFERROR(TRIM(MID('Diagrama Tecnólogo'!C43,FIND("-",'Diagrama Tecnólogo'!C43)+1,200)),"")</f>
        <v/>
      </c>
      <c r="E12" s="130" t="s">
        <v>251</v>
      </c>
      <c r="F12" s="130">
        <f>'Diagrama Tecnólogo'!C46</f>
        <v>0</v>
      </c>
      <c r="G12" s="130">
        <f>'Diagrama Tecnólogo'!D46</f>
        <v>0</v>
      </c>
      <c r="H12" s="130">
        <f>'Diagrama Tecnólogo'!E46</f>
        <v>0</v>
      </c>
      <c r="I12" s="132" t="s">
        <v>252</v>
      </c>
      <c r="J12" s="132" t="s">
        <v>252</v>
      </c>
      <c r="K12" s="130" t="s">
        <v>256</v>
      </c>
    </row>
    <row r="13" spans="1:11" ht="16.5" thickTop="1" thickBot="1" x14ac:dyDescent="0.3"/>
    <row r="14" spans="1:11" ht="24" customHeight="1" thickTop="1" thickBot="1" x14ac:dyDescent="0.3">
      <c r="C14" s="349" t="s">
        <v>241</v>
      </c>
      <c r="D14" s="348" t="s">
        <v>242</v>
      </c>
      <c r="E14" s="348" t="s">
        <v>243</v>
      </c>
      <c r="F14" s="348" t="s">
        <v>244</v>
      </c>
      <c r="G14" s="348"/>
      <c r="H14" s="348"/>
      <c r="I14" s="357" t="s">
        <v>245</v>
      </c>
      <c r="J14" s="358"/>
      <c r="K14" s="348" t="s">
        <v>246</v>
      </c>
    </row>
    <row r="15" spans="1:11" ht="23.25" customHeight="1" thickTop="1" thickBot="1" x14ac:dyDescent="0.3">
      <c r="C15" s="349"/>
      <c r="D15" s="348"/>
      <c r="E15" s="348"/>
      <c r="F15" s="141" t="s">
        <v>247</v>
      </c>
      <c r="G15" s="141" t="s">
        <v>13</v>
      </c>
      <c r="H15" s="141" t="s">
        <v>11</v>
      </c>
      <c r="I15" s="141" t="s">
        <v>248</v>
      </c>
      <c r="J15" s="141" t="s">
        <v>249</v>
      </c>
      <c r="K15" s="348"/>
    </row>
    <row r="16" spans="1:11" ht="24" thickTop="1" thickBot="1" x14ac:dyDescent="0.3">
      <c r="A16">
        <v>1</v>
      </c>
      <c r="B16" s="79" t="str">
        <f>LEFT('Diagrama Tecnólogo'!H8,FIND(" ",'Diagrama Tecnólogo'!H8)-1)</f>
        <v>7</v>
      </c>
      <c r="C16" s="354" t="s">
        <v>257</v>
      </c>
      <c r="D16" s="137" t="str">
        <f>TRIM(MID('Diagrama Tecnólogo'!H8,FIND("-",'Diagrama Tecnólogo'!H8)+1,200))</f>
        <v>Cálculo Diferencial e Integral II</v>
      </c>
      <c r="E16" s="130" t="s">
        <v>251</v>
      </c>
      <c r="F16" s="130">
        <f>'Diagrama Tecnólogo'!H11</f>
        <v>90</v>
      </c>
      <c r="G16" s="130">
        <f>'Diagrama Tecnólogo'!I11</f>
        <v>0</v>
      </c>
      <c r="H16" s="130">
        <f>'Diagrama Tecnólogo'!J11</f>
        <v>90</v>
      </c>
      <c r="I16" s="130" t="s">
        <v>146</v>
      </c>
      <c r="J16" s="132" t="s">
        <v>252</v>
      </c>
      <c r="K16" s="130" t="s">
        <v>254</v>
      </c>
    </row>
    <row r="17" spans="1:11" ht="24" thickTop="1" thickBot="1" x14ac:dyDescent="0.3">
      <c r="A17">
        <v>2</v>
      </c>
      <c r="B17" s="79" t="str">
        <f>LEFT('Diagrama Tecnólogo'!H13,FIND(" ",'Diagrama Tecnólogo'!H13)-1)</f>
        <v>8</v>
      </c>
      <c r="C17" s="354"/>
      <c r="D17" s="137" t="str">
        <f>TRIM(MID('Diagrama Tecnólogo'!H13,FIND("-",'Diagrama Tecnólogo'!H13)+1,200))</f>
        <v>Circuitos Elétricos I</v>
      </c>
      <c r="E17" s="130" t="s">
        <v>251</v>
      </c>
      <c r="F17" s="130">
        <f>'Diagrama Tecnólogo'!H16</f>
        <v>75</v>
      </c>
      <c r="G17" s="130">
        <f>'Diagrama Tecnólogo'!I16</f>
        <v>0</v>
      </c>
      <c r="H17" s="130">
        <f>'Diagrama Tecnólogo'!J16</f>
        <v>75</v>
      </c>
      <c r="I17" s="132" t="s">
        <v>252</v>
      </c>
      <c r="J17" s="130" t="s">
        <v>140</v>
      </c>
      <c r="K17" s="130" t="s">
        <v>258</v>
      </c>
    </row>
    <row r="18" spans="1:11" ht="16.5" thickTop="1" thickBot="1" x14ac:dyDescent="0.3">
      <c r="A18">
        <v>3</v>
      </c>
      <c r="B18" s="79" t="str">
        <f>LEFT('Diagrama Tecnólogo'!H18,FIND(" ",'Diagrama Tecnólogo'!H18)-1)</f>
        <v>9</v>
      </c>
      <c r="C18" s="354"/>
      <c r="D18" s="137" t="str">
        <f>TRIM(MID('Diagrama Tecnólogo'!H18,FIND("-",'Diagrama Tecnólogo'!H18)+1,200))</f>
        <v>Experimental de Circuitos Elétricos I</v>
      </c>
      <c r="E18" s="130" t="s">
        <v>251</v>
      </c>
      <c r="F18" s="130">
        <f>'Diagrama Tecnólogo'!H21</f>
        <v>0</v>
      </c>
      <c r="G18" s="130">
        <f>'Diagrama Tecnólogo'!I21</f>
        <v>15</v>
      </c>
      <c r="H18" s="130">
        <f>'Diagrama Tecnólogo'!J21</f>
        <v>15</v>
      </c>
      <c r="I18" s="132" t="s">
        <v>252</v>
      </c>
      <c r="J18" s="130" t="s">
        <v>157</v>
      </c>
      <c r="K18" s="130" t="s">
        <v>258</v>
      </c>
    </row>
    <row r="19" spans="1:11" ht="24" thickTop="1" thickBot="1" x14ac:dyDescent="0.3">
      <c r="A19">
        <v>4</v>
      </c>
      <c r="B19" s="79" t="str">
        <f>LEFT('Diagrama Tecnólogo'!H23,FIND(" ",'Diagrama Tecnólogo'!H23)-1)</f>
        <v>10</v>
      </c>
      <c r="C19" s="354"/>
      <c r="D19" s="137" t="str">
        <f>TRIM(MID('Diagrama Tecnólogo'!H23,FIND("-",'Diagrama Tecnólogo'!H23)+1,200))</f>
        <v>Experimental de Física Básica: Mecânica</v>
      </c>
      <c r="E19" s="130" t="s">
        <v>251</v>
      </c>
      <c r="F19" s="130">
        <f>'Diagrama Tecnólogo'!H26</f>
        <v>0</v>
      </c>
      <c r="G19" s="130">
        <f>'Diagrama Tecnólogo'!I26</f>
        <v>30</v>
      </c>
      <c r="H19" s="130">
        <f>'Diagrama Tecnólogo'!J26</f>
        <v>30</v>
      </c>
      <c r="I19" s="130" t="s">
        <v>146</v>
      </c>
      <c r="J19" s="132" t="s">
        <v>252</v>
      </c>
      <c r="K19" s="130" t="s">
        <v>253</v>
      </c>
    </row>
    <row r="20" spans="1:11" ht="35.25" thickTop="1" thickBot="1" x14ac:dyDescent="0.3">
      <c r="A20">
        <v>5</v>
      </c>
      <c r="B20" s="79" t="str">
        <f>LEFT('Diagrama Tecnólogo'!M28,FIND(" ",'Diagrama Tecnólogo'!M28)-1)</f>
        <v>11</v>
      </c>
      <c r="C20" s="354"/>
      <c r="D20" s="137" t="str">
        <f>TRIM(MID('Diagrama Tecnólogo'!M28,FIND("-",'Diagrama Tecnólogo'!M28)+1,200))</f>
        <v>Fenômenos de Transporte</v>
      </c>
      <c r="E20" s="130" t="s">
        <v>251</v>
      </c>
      <c r="F20" s="130">
        <f>'Diagrama Tecnólogo'!M31</f>
        <v>60</v>
      </c>
      <c r="G20" s="130">
        <f>'Diagrama Tecnólogo'!N31</f>
        <v>0</v>
      </c>
      <c r="H20" s="130">
        <f>'Diagrama Tecnólogo'!O31</f>
        <v>60</v>
      </c>
      <c r="I20" s="132" t="s">
        <v>252</v>
      </c>
      <c r="J20" s="130" t="s">
        <v>137</v>
      </c>
      <c r="K20" s="130" t="s">
        <v>258</v>
      </c>
    </row>
    <row r="21" spans="1:11" ht="16.5" thickTop="1" thickBot="1" x14ac:dyDescent="0.3">
      <c r="A21">
        <v>6</v>
      </c>
      <c r="B21" s="79" t="str">
        <f>LEFT('Diagrama Tecnólogo'!H28,FIND(" ",'Diagrama Tecnólogo'!H28)-1)</f>
        <v>12</v>
      </c>
      <c r="C21" s="354"/>
      <c r="D21" s="137" t="str">
        <f>TRIM(MID('Diagrama Tecnólogo'!H28,FIND("-",'Diagrama Tecnólogo'!H28)+1,200))</f>
        <v>Física Básica: Mecânica</v>
      </c>
      <c r="E21" s="130" t="s">
        <v>251</v>
      </c>
      <c r="F21" s="130">
        <f>'Diagrama Tecnólogo'!H31</f>
        <v>60</v>
      </c>
      <c r="G21" s="130">
        <f>'Diagrama Tecnólogo'!I31</f>
        <v>0</v>
      </c>
      <c r="H21" s="130">
        <f>'Diagrama Tecnólogo'!J31</f>
        <v>60</v>
      </c>
      <c r="I21" s="132" t="s">
        <v>252</v>
      </c>
      <c r="J21" s="132" t="s">
        <v>252</v>
      </c>
      <c r="K21" s="130" t="s">
        <v>253</v>
      </c>
    </row>
    <row r="22" spans="1:11" ht="16.5" thickTop="1" thickBot="1" x14ac:dyDescent="0.3">
      <c r="A22">
        <v>7</v>
      </c>
      <c r="B22" s="79" t="str">
        <f>LEFT('Diagrama Tecnólogo'!H33,FIND(" ",'Diagrama Tecnólogo'!H33)-1)</f>
        <v>13</v>
      </c>
      <c r="C22" s="354"/>
      <c r="D22" s="137" t="str">
        <f>TRIM(MID('Diagrama Tecnólogo'!H33,FIND("-",'Diagrama Tecnólogo'!H33)+1,200))</f>
        <v>Arquitetura de software em Sistemas Embarcados</v>
      </c>
      <c r="E22" s="130" t="s">
        <v>251</v>
      </c>
      <c r="F22" s="130">
        <f>'Diagrama Tecnólogo'!H36</f>
        <v>45</v>
      </c>
      <c r="G22" s="130">
        <f>'Diagrama Tecnólogo'!I36</f>
        <v>30</v>
      </c>
      <c r="H22" s="130">
        <f>'Diagrama Tecnólogo'!J36</f>
        <v>75</v>
      </c>
      <c r="I22" s="130" t="s">
        <v>144</v>
      </c>
      <c r="J22" s="132" t="s">
        <v>252</v>
      </c>
      <c r="K22" s="130" t="s">
        <v>253</v>
      </c>
    </row>
    <row r="23" spans="1:11" ht="24" thickTop="1" thickBot="1" x14ac:dyDescent="0.3">
      <c r="A23">
        <v>8</v>
      </c>
      <c r="B23" s="79"/>
      <c r="C23" s="354"/>
      <c r="D23" s="137"/>
      <c r="E23" s="130" t="s">
        <v>251</v>
      </c>
      <c r="F23" s="130"/>
      <c r="G23" s="130"/>
      <c r="H23" s="130"/>
      <c r="I23" s="132" t="s">
        <v>252</v>
      </c>
      <c r="J23" s="130" t="s">
        <v>159</v>
      </c>
      <c r="K23" s="130" t="s">
        <v>253</v>
      </c>
    </row>
    <row r="24" spans="1:11" ht="24" thickTop="1" thickBot="1" x14ac:dyDescent="0.3">
      <c r="A24">
        <v>1</v>
      </c>
      <c r="B24" s="79" t="str">
        <f>LEFT('Diagrama Tecnólogo'!M8,FIND(" ",'Diagrama Tecnólogo'!M8)-1)</f>
        <v>14</v>
      </c>
      <c r="C24" s="355" t="s">
        <v>259</v>
      </c>
      <c r="D24" s="139" t="str">
        <f>TRIM(MID('Diagrama Tecnólogo'!M8,FIND("-",'Diagrama Tecnólogo'!M8)+1,200))</f>
        <v>Sinais e Sistemas I</v>
      </c>
      <c r="E24" s="140" t="s">
        <v>251</v>
      </c>
      <c r="F24" s="140">
        <f>'Diagrama Tecnólogo'!M11</f>
        <v>90</v>
      </c>
      <c r="G24" s="140">
        <f>'Diagrama Tecnólogo'!N11</f>
        <v>0</v>
      </c>
      <c r="H24" s="140">
        <f>'Diagrama Tecnólogo'!O11</f>
        <v>90</v>
      </c>
      <c r="I24" s="140" t="s">
        <v>147</v>
      </c>
      <c r="J24" s="140" t="s">
        <v>252</v>
      </c>
      <c r="K24" s="140" t="s">
        <v>254</v>
      </c>
    </row>
    <row r="25" spans="1:11" ht="35.25" thickTop="1" thickBot="1" x14ac:dyDescent="0.3">
      <c r="A25">
        <v>2</v>
      </c>
      <c r="B25" s="79" t="str">
        <f>LEFT('Diagrama Tecnólogo'!M13,FIND(" ",'Diagrama Tecnólogo'!M13)-1)</f>
        <v>15</v>
      </c>
      <c r="C25" s="355"/>
      <c r="D25" s="139" t="str">
        <f>TRIM(MID('Diagrama Tecnólogo'!M13,FIND("-",'Diagrama Tecnólogo'!M13)+1,200))</f>
        <v>Eletrônica Analógica I</v>
      </c>
      <c r="E25" s="140" t="s">
        <v>251</v>
      </c>
      <c r="F25" s="140">
        <f>'Diagrama Tecnólogo'!M16</f>
        <v>60</v>
      </c>
      <c r="G25" s="140">
        <f>'Diagrama Tecnólogo'!N16</f>
        <v>0</v>
      </c>
      <c r="H25" s="140">
        <f>'Diagrama Tecnólogo'!O16</f>
        <v>60</v>
      </c>
      <c r="I25" s="140" t="s">
        <v>147</v>
      </c>
      <c r="J25" s="140" t="s">
        <v>260</v>
      </c>
      <c r="K25" s="140" t="s">
        <v>253</v>
      </c>
    </row>
    <row r="26" spans="1:11" ht="46.5" thickTop="1" thickBot="1" x14ac:dyDescent="0.3">
      <c r="A26">
        <v>3</v>
      </c>
      <c r="B26" s="79" t="str">
        <f>LEFT('Diagrama Tecnólogo'!M18,FIND(" ",'Diagrama Tecnólogo'!M18)-1)</f>
        <v>16</v>
      </c>
      <c r="C26" s="355"/>
      <c r="D26" s="139" t="str">
        <f>TRIM(MID('Diagrama Tecnólogo'!M18,FIND("-",'Diagrama Tecnólogo'!M18)+1,200))</f>
        <v>Experimental de Eletrônica Analógica I</v>
      </c>
      <c r="E26" s="140" t="s">
        <v>251</v>
      </c>
      <c r="F26" s="140">
        <f>'Diagrama Tecnólogo'!M21</f>
        <v>0</v>
      </c>
      <c r="G26" s="140">
        <f>'Diagrama Tecnólogo'!N21</f>
        <v>30</v>
      </c>
      <c r="H26" s="140">
        <f>'Diagrama Tecnólogo'!O21</f>
        <v>30</v>
      </c>
      <c r="I26" s="140" t="s">
        <v>261</v>
      </c>
      <c r="J26" s="140" t="s">
        <v>152</v>
      </c>
      <c r="K26" s="140" t="s">
        <v>253</v>
      </c>
    </row>
    <row r="27" spans="1:11" ht="35.25" thickTop="1" thickBot="1" x14ac:dyDescent="0.3">
      <c r="A27">
        <v>4</v>
      </c>
      <c r="B27" s="79" t="str">
        <f>LEFT('Diagrama Tecnólogo'!M23,FIND(" ",'Diagrama Tecnólogo'!M23)-1)</f>
        <v>17</v>
      </c>
      <c r="C27" s="355"/>
      <c r="D27" s="139" t="str">
        <f>TRIM(MID('Diagrama Tecnólogo'!M23,FIND("-",'Diagrama Tecnólogo'!M23)+1,200))</f>
        <v>Eletromagnetismo e Circuitos Trifasicos</v>
      </c>
      <c r="E27" s="140" t="s">
        <v>251</v>
      </c>
      <c r="F27" s="140">
        <f>'Diagrama Tecnólogo'!M26</f>
        <v>75</v>
      </c>
      <c r="G27" s="140">
        <f>'Diagrama Tecnólogo'!N26</f>
        <v>15</v>
      </c>
      <c r="H27" s="140">
        <f>'Diagrama Tecnólogo'!O26</f>
        <v>90</v>
      </c>
      <c r="I27" s="140" t="s">
        <v>262</v>
      </c>
      <c r="J27" s="140" t="s">
        <v>139</v>
      </c>
      <c r="K27" s="140" t="s">
        <v>258</v>
      </c>
    </row>
    <row r="28" spans="1:11" ht="46.5" thickTop="1" thickBot="1" x14ac:dyDescent="0.3">
      <c r="A28">
        <v>5</v>
      </c>
      <c r="B28" s="79" t="str">
        <f>LEFT('Diagrama Tecnólogo'!M33,FIND(" ",'Diagrama Tecnólogo'!M33)-1)</f>
        <v>18</v>
      </c>
      <c r="C28" s="355"/>
      <c r="D28" s="139" t="str">
        <f>TRIM(MID('Diagrama Tecnólogo'!M33,FIND("-",'Diagrama Tecnólogo'!M33)+1,200))</f>
        <v>Informática Industrial I</v>
      </c>
      <c r="E28" s="140" t="s">
        <v>251</v>
      </c>
      <c r="F28" s="140">
        <f>'Diagrama Tecnólogo'!M36</f>
        <v>30</v>
      </c>
      <c r="G28" s="140">
        <f>'Diagrama Tecnólogo'!N36</f>
        <v>30</v>
      </c>
      <c r="H28" s="140">
        <f>'Diagrama Tecnólogo'!O36</f>
        <v>60</v>
      </c>
      <c r="I28" s="140" t="s">
        <v>262</v>
      </c>
      <c r="J28" s="140" t="s">
        <v>136</v>
      </c>
      <c r="K28" s="140" t="s">
        <v>258</v>
      </c>
    </row>
    <row r="29" spans="1:11" ht="24" thickTop="1" thickBot="1" x14ac:dyDescent="0.3">
      <c r="A29">
        <v>6</v>
      </c>
      <c r="B29" s="79" t="e">
        <f>LEFT('Diagrama Tecnólogo'!M38,FIND(" ",'Diagrama Tecnólogo'!M38)-1)</f>
        <v>#VALUE!</v>
      </c>
      <c r="C29" s="355"/>
      <c r="D29" s="139" t="e">
        <f>TRIM(MID('Diagrama Tecnólogo'!M38,FIND("-",'Diagrama Tecnólogo'!M38)+1,200))</f>
        <v>#VALUE!</v>
      </c>
      <c r="E29" s="140" t="s">
        <v>251</v>
      </c>
      <c r="F29" s="140">
        <f>'Diagrama Tecnólogo'!M41</f>
        <v>0</v>
      </c>
      <c r="G29" s="140">
        <f>'Diagrama Tecnólogo'!N41</f>
        <v>0</v>
      </c>
      <c r="H29" s="140">
        <f>'Diagrama Tecnólogo'!O41</f>
        <v>0</v>
      </c>
      <c r="I29" s="140" t="s">
        <v>263</v>
      </c>
      <c r="J29" s="140" t="s">
        <v>252</v>
      </c>
      <c r="K29" s="140" t="s">
        <v>253</v>
      </c>
    </row>
    <row r="30" spans="1:11" ht="46.5" thickTop="1" thickBot="1" x14ac:dyDescent="0.3">
      <c r="A30">
        <v>7</v>
      </c>
      <c r="B30" s="79"/>
      <c r="C30" s="355"/>
      <c r="D30" s="139"/>
      <c r="E30" s="140"/>
      <c r="F30" s="140"/>
      <c r="G30" s="140"/>
      <c r="H30" s="140"/>
      <c r="I30" s="140" t="s">
        <v>264</v>
      </c>
      <c r="J30" s="140" t="s">
        <v>252</v>
      </c>
      <c r="K30" s="140" t="s">
        <v>253</v>
      </c>
    </row>
    <row r="31" spans="1:11" ht="24" thickTop="1" thickBot="1" x14ac:dyDescent="0.3">
      <c r="A31">
        <v>8</v>
      </c>
      <c r="B31" s="79"/>
      <c r="C31" s="355"/>
      <c r="D31" s="139"/>
      <c r="E31" s="140" t="s">
        <v>251</v>
      </c>
      <c r="F31" s="140"/>
      <c r="G31" s="140"/>
      <c r="H31" s="140"/>
      <c r="I31" s="140" t="s">
        <v>140</v>
      </c>
      <c r="J31" s="140" t="s">
        <v>252</v>
      </c>
      <c r="K31" s="140" t="s">
        <v>255</v>
      </c>
    </row>
    <row r="32" spans="1:11" ht="16.5" thickTop="1" thickBot="1" x14ac:dyDescent="0.3"/>
    <row r="33" spans="1:11" ht="26.25" customHeight="1" thickTop="1" thickBot="1" x14ac:dyDescent="0.3">
      <c r="C33" s="349" t="s">
        <v>241</v>
      </c>
      <c r="D33" s="348" t="s">
        <v>242</v>
      </c>
      <c r="E33" s="348" t="s">
        <v>243</v>
      </c>
      <c r="F33" s="348" t="s">
        <v>244</v>
      </c>
      <c r="G33" s="348"/>
      <c r="H33" s="348"/>
      <c r="I33" s="348" t="s">
        <v>245</v>
      </c>
      <c r="J33" s="348"/>
      <c r="K33" s="348" t="s">
        <v>246</v>
      </c>
    </row>
    <row r="34" spans="1:11" ht="24" customHeight="1" thickTop="1" thickBot="1" x14ac:dyDescent="0.3">
      <c r="C34" s="349"/>
      <c r="D34" s="348"/>
      <c r="E34" s="348"/>
      <c r="F34" s="141" t="s">
        <v>247</v>
      </c>
      <c r="G34" s="141" t="s">
        <v>13</v>
      </c>
      <c r="H34" s="141" t="s">
        <v>11</v>
      </c>
      <c r="I34" s="141" t="s">
        <v>248</v>
      </c>
      <c r="J34" s="141" t="s">
        <v>249</v>
      </c>
      <c r="K34" s="348"/>
    </row>
    <row r="35" spans="1:11" ht="35.25" thickTop="1" thickBot="1" x14ac:dyDescent="0.3">
      <c r="A35">
        <v>1</v>
      </c>
      <c r="B35" s="79" t="str">
        <f>LEFT('Diagrama Tecnólogo'!R8,FIND(" ",'Diagrama Tecnólogo'!R8)-1)</f>
        <v>19</v>
      </c>
      <c r="C35" s="354" t="s">
        <v>265</v>
      </c>
      <c r="D35" s="137" t="str">
        <f>TRIM(MID('Diagrama Tecnólogo'!R8,FIND("-",'Diagrama Tecnólogo'!R8)+1,200))</f>
        <v>Atividades Curriculares de Extensão I</v>
      </c>
      <c r="E35" s="130" t="s">
        <v>251</v>
      </c>
      <c r="F35" s="130">
        <f>'Diagrama Tecnólogo'!R11</f>
        <v>0</v>
      </c>
      <c r="G35" s="130">
        <f>'Diagrama Tecnólogo'!S11</f>
        <v>90</v>
      </c>
      <c r="H35" s="130">
        <f>'Diagrama Tecnólogo'!T11</f>
        <v>90</v>
      </c>
      <c r="I35" s="130" t="s">
        <v>152</v>
      </c>
      <c r="J35" s="130" t="s">
        <v>156</v>
      </c>
      <c r="K35" s="130" t="s">
        <v>253</v>
      </c>
    </row>
    <row r="36" spans="1:11" ht="35.25" thickTop="1" thickBot="1" x14ac:dyDescent="0.3">
      <c r="A36">
        <v>2</v>
      </c>
      <c r="B36" s="79" t="str">
        <f>LEFT('Diagrama Tecnólogo'!R13,FIND(" ",'Diagrama Tecnólogo'!R13)-1)</f>
        <v>20</v>
      </c>
      <c r="C36" s="354"/>
      <c r="D36" s="137" t="str">
        <f>TRIM(MID('Diagrama Tecnólogo'!R13,FIND("-",'Diagrama Tecnólogo'!R13)+1,200))</f>
        <v>Eletrônica Analógica II</v>
      </c>
      <c r="E36" s="130" t="s">
        <v>251</v>
      </c>
      <c r="F36" s="130">
        <f>'Diagrama Tecnólogo'!R16</f>
        <v>60</v>
      </c>
      <c r="G36" s="130">
        <f>'Diagrama Tecnólogo'!S16</f>
        <v>0</v>
      </c>
      <c r="H36" s="130">
        <f>'Diagrama Tecnólogo'!T16</f>
        <v>60</v>
      </c>
      <c r="I36" s="130" t="s">
        <v>152</v>
      </c>
      <c r="J36" s="130" t="s">
        <v>168</v>
      </c>
      <c r="K36" s="130" t="s">
        <v>253</v>
      </c>
    </row>
    <row r="37" spans="1:11" ht="24" thickTop="1" thickBot="1" x14ac:dyDescent="0.3">
      <c r="A37">
        <v>3</v>
      </c>
      <c r="B37" s="79" t="str">
        <f>LEFT('Diagrama Tecnólogo'!R18,FIND(" ",'Diagrama Tecnólogo'!R18)-1)</f>
        <v>21</v>
      </c>
      <c r="C37" s="354"/>
      <c r="D37" s="137" t="str">
        <f>TRIM(MID('Diagrama Tecnólogo'!R18,FIND("-",'Diagrama Tecnólogo'!R18)+1,200))</f>
        <v>Experimental de Eletrônica Analógica II</v>
      </c>
      <c r="E37" s="130" t="s">
        <v>251</v>
      </c>
      <c r="F37" s="130">
        <f>'Diagrama Tecnólogo'!R21</f>
        <v>0</v>
      </c>
      <c r="G37" s="130">
        <f>'Diagrama Tecnólogo'!S21</f>
        <v>30</v>
      </c>
      <c r="H37" s="130">
        <f>'Diagrama Tecnólogo'!T21</f>
        <v>30</v>
      </c>
      <c r="I37" s="130" t="s">
        <v>152</v>
      </c>
      <c r="J37" s="130" t="s">
        <v>154</v>
      </c>
      <c r="K37" s="130" t="s">
        <v>253</v>
      </c>
    </row>
    <row r="38" spans="1:11" ht="24" thickTop="1" thickBot="1" x14ac:dyDescent="0.3">
      <c r="A38">
        <v>4</v>
      </c>
      <c r="B38" s="79" t="str">
        <f>LEFT('Diagrama Tecnólogo'!R23,FIND(" ",'Diagrama Tecnólogo'!R23)-1)</f>
        <v>22</v>
      </c>
      <c r="C38" s="354"/>
      <c r="D38" s="137" t="str">
        <f>TRIM(MID('Diagrama Tecnólogo'!R23,FIND("-",'Diagrama Tecnólogo'!R23)+1,200))</f>
        <v>Instrumentação e Dispositivos Inteligentes</v>
      </c>
      <c r="E38" s="130" t="s">
        <v>251</v>
      </c>
      <c r="F38" s="130">
        <f>'Diagrama Tecnólogo'!R26</f>
        <v>30</v>
      </c>
      <c r="G38" s="130">
        <f>'Diagrama Tecnólogo'!S26</f>
        <v>30</v>
      </c>
      <c r="H38" s="130">
        <f>'Diagrama Tecnólogo'!T26</f>
        <v>60</v>
      </c>
      <c r="I38" s="130" t="s">
        <v>152</v>
      </c>
      <c r="J38" s="130" t="s">
        <v>165</v>
      </c>
      <c r="K38" s="130" t="s">
        <v>253</v>
      </c>
    </row>
    <row r="39" spans="1:11" ht="46.5" thickTop="1" thickBot="1" x14ac:dyDescent="0.3">
      <c r="A39">
        <v>5</v>
      </c>
      <c r="B39" s="79" t="str">
        <f>LEFT('Diagrama Tecnólogo'!R28,FIND(" ",'Diagrama Tecnólogo'!R28)-1)</f>
        <v>23</v>
      </c>
      <c r="C39" s="354"/>
      <c r="D39" s="137" t="str">
        <f>TRIM(MID('Diagrama Tecnólogo'!R28,FIND("-",'Diagrama Tecnólogo'!R28)+1,200))</f>
        <v>Informática Industrial II</v>
      </c>
      <c r="E39" s="130" t="s">
        <v>251</v>
      </c>
      <c r="F39" s="130">
        <f>'Diagrama Tecnólogo'!R31</f>
        <v>30</v>
      </c>
      <c r="G39" s="130">
        <f>'Diagrama Tecnólogo'!S31</f>
        <v>30</v>
      </c>
      <c r="H39" s="130">
        <f>'Diagrama Tecnólogo'!T31</f>
        <v>60</v>
      </c>
      <c r="I39" s="130" t="s">
        <v>266</v>
      </c>
      <c r="J39" s="130" t="s">
        <v>141</v>
      </c>
      <c r="K39" s="130" t="s">
        <v>258</v>
      </c>
    </row>
    <row r="40" spans="1:11" ht="46.5" thickTop="1" thickBot="1" x14ac:dyDescent="0.3">
      <c r="A40">
        <v>6</v>
      </c>
      <c r="B40" s="79" t="str">
        <f>LEFT('Diagrama Tecnólogo'!R33,FIND(" ",'Diagrama Tecnólogo'!R33)-1)</f>
        <v>24</v>
      </c>
      <c r="C40" s="354"/>
      <c r="D40" s="137" t="str">
        <f>TRIM(MID('Diagrama Tecnólogo'!R33,FIND("-",'Diagrama Tecnólogo'!R33)+1,200))</f>
        <v>Redes Industriais para Controle e Automação I</v>
      </c>
      <c r="E40" s="130" t="s">
        <v>251</v>
      </c>
      <c r="F40" s="130">
        <f>'Diagrama Tecnólogo'!R36</f>
        <v>60</v>
      </c>
      <c r="G40" s="130">
        <f>'Diagrama Tecnólogo'!S36</f>
        <v>30</v>
      </c>
      <c r="H40" s="130">
        <f>'Diagrama Tecnólogo'!T36</f>
        <v>90</v>
      </c>
      <c r="I40" s="130" t="s">
        <v>266</v>
      </c>
      <c r="J40" s="130" t="s">
        <v>138</v>
      </c>
      <c r="K40" s="130" t="s">
        <v>258</v>
      </c>
    </row>
    <row r="41" spans="1:11" ht="24" thickTop="1" thickBot="1" x14ac:dyDescent="0.3">
      <c r="A41">
        <v>7</v>
      </c>
      <c r="B41" s="79" t="str">
        <f>LEFT('Diagrama Tecnólogo'!R38,FIND(" ",'Diagrama Tecnólogo'!R38)-1)</f>
        <v>25</v>
      </c>
      <c r="C41" s="354"/>
      <c r="D41" s="137" t="str">
        <f>TRIM(MID('Diagrama Tecnólogo'!R38,FIND("-",'Diagrama Tecnólogo'!R38)+1,200))</f>
        <v>Sinais e Sistemas II</v>
      </c>
      <c r="E41" s="130" t="s">
        <v>251</v>
      </c>
      <c r="F41" s="130">
        <f>'Diagrama Tecnólogo'!R41</f>
        <v>60</v>
      </c>
      <c r="G41" s="130">
        <f>'Diagrama Tecnólogo'!S41</f>
        <v>0</v>
      </c>
      <c r="H41" s="130">
        <f>'Diagrama Tecnólogo'!T41</f>
        <v>60</v>
      </c>
      <c r="I41" s="130" t="s">
        <v>178</v>
      </c>
      <c r="J41" s="130" t="s">
        <v>252</v>
      </c>
      <c r="K41" s="130" t="s">
        <v>253</v>
      </c>
    </row>
    <row r="42" spans="1:11" ht="24" thickTop="1" thickBot="1" x14ac:dyDescent="0.3">
      <c r="A42">
        <v>8</v>
      </c>
      <c r="B42" s="79"/>
      <c r="C42" s="354"/>
      <c r="D42" s="137"/>
      <c r="E42" s="130" t="s">
        <v>251</v>
      </c>
      <c r="F42" s="130"/>
      <c r="G42" s="130"/>
      <c r="H42" s="130"/>
      <c r="I42" s="130" t="s">
        <v>148</v>
      </c>
      <c r="J42" s="130" t="s">
        <v>252</v>
      </c>
      <c r="K42" s="130" t="s">
        <v>254</v>
      </c>
    </row>
    <row r="43" spans="1:11" ht="16.5" thickTop="1" thickBot="1" x14ac:dyDescent="0.3">
      <c r="A43">
        <v>1</v>
      </c>
      <c r="B43" s="79" t="str">
        <f>LEFT('Diagrama Tecnólogo'!W8,FIND(" ",'Diagrama Tecnólogo'!W8)-1)</f>
        <v>26</v>
      </c>
      <c r="C43" s="355" t="s">
        <v>267</v>
      </c>
      <c r="D43" s="139" t="str">
        <f>TRIM(MID('Diagrama Tecnólogo'!W8,FIND("-",'Diagrama Tecnólogo'!W8)+1,200))</f>
        <v>Atividades Curriculares de Extensão II</v>
      </c>
      <c r="E43" s="140" t="s">
        <v>251</v>
      </c>
      <c r="F43" s="140">
        <f>'Diagrama Tecnólogo'!W11</f>
        <v>0</v>
      </c>
      <c r="G43" s="140">
        <f>'Diagrama Tecnólogo'!X11</f>
        <v>90</v>
      </c>
      <c r="H43" s="140">
        <f>'Diagrama Tecnólogo'!Y11</f>
        <v>90</v>
      </c>
      <c r="I43" s="140" t="s">
        <v>252</v>
      </c>
      <c r="J43" s="140" t="s">
        <v>252</v>
      </c>
      <c r="K43" s="140" t="s">
        <v>254</v>
      </c>
    </row>
    <row r="44" spans="1:11" ht="16.5" thickTop="1" thickBot="1" x14ac:dyDescent="0.3">
      <c r="A44">
        <v>2</v>
      </c>
      <c r="B44" s="79" t="str">
        <f>LEFT('Diagrama Tecnólogo'!W13,FIND(" ",'Diagrama Tecnólogo'!W13)-1)</f>
        <v>27</v>
      </c>
      <c r="C44" s="355"/>
      <c r="D44" s="139" t="str">
        <f>TRIM(MID('Diagrama Tecnólogo'!W13,FIND("-",'Diagrama Tecnólogo'!W13)+1,200))</f>
        <v>Conversão de Energia e Maquinas</v>
      </c>
      <c r="E44" s="140" t="s">
        <v>251</v>
      </c>
      <c r="F44" s="140">
        <f>'Diagrama Tecnólogo'!W16</f>
        <v>45</v>
      </c>
      <c r="G44" s="140">
        <f>'Diagrama Tecnólogo'!X16</f>
        <v>15</v>
      </c>
      <c r="H44" s="140">
        <f>'Diagrama Tecnólogo'!Y16</f>
        <v>60</v>
      </c>
      <c r="I44" s="140" t="s">
        <v>252</v>
      </c>
      <c r="J44" s="140" t="s">
        <v>252</v>
      </c>
      <c r="K44" s="140" t="s">
        <v>253</v>
      </c>
    </row>
    <row r="45" spans="1:11" ht="46.5" thickTop="1" thickBot="1" x14ac:dyDescent="0.3">
      <c r="A45">
        <v>3</v>
      </c>
      <c r="B45" s="79" t="str">
        <f>LEFT('Diagrama Tecnólogo'!W18,FIND(" ",'Diagrama Tecnólogo'!W18)-1)</f>
        <v>28</v>
      </c>
      <c r="C45" s="355"/>
      <c r="D45" s="139" t="str">
        <f>TRIM(MID('Diagrama Tecnólogo'!W18,FIND("-",'Diagrama Tecnólogo'!W18)+1,200))</f>
        <v>Experimental de Sistemas de Controle Realimentado</v>
      </c>
      <c r="E45" s="140" t="s">
        <v>251</v>
      </c>
      <c r="F45" s="140">
        <f>'Diagrama Tecnólogo'!W21</f>
        <v>0</v>
      </c>
      <c r="G45" s="140">
        <f>'Diagrama Tecnólogo'!X21</f>
        <v>30</v>
      </c>
      <c r="H45" s="140">
        <f>'Diagrama Tecnólogo'!Y21</f>
        <v>30</v>
      </c>
      <c r="I45" s="140" t="s">
        <v>268</v>
      </c>
      <c r="J45" s="140" t="s">
        <v>169</v>
      </c>
      <c r="K45" s="140" t="s">
        <v>253</v>
      </c>
    </row>
    <row r="46" spans="1:11" ht="46.5" thickTop="1" thickBot="1" x14ac:dyDescent="0.3">
      <c r="A46">
        <v>4</v>
      </c>
      <c r="B46" s="79" t="str">
        <f>LEFT('Diagrama Tecnólogo'!W23,FIND(" ",'Diagrama Tecnólogo'!W23)-1)</f>
        <v>29</v>
      </c>
      <c r="C46" s="355"/>
      <c r="D46" s="139" t="str">
        <f>TRIM(MID('Diagrama Tecnólogo'!W23,FIND("-",'Diagrama Tecnólogo'!W23)+1,200))</f>
        <v>Manipuladores Robóticos Industriais e Inteligentes</v>
      </c>
      <c r="E46" s="140" t="s">
        <v>251</v>
      </c>
      <c r="F46" s="140">
        <f>'Diagrama Tecnólogo'!W26</f>
        <v>45</v>
      </c>
      <c r="G46" s="140">
        <f>'Diagrama Tecnólogo'!X26</f>
        <v>15</v>
      </c>
      <c r="H46" s="140">
        <f>'Diagrama Tecnólogo'!Y26</f>
        <v>60</v>
      </c>
      <c r="I46" s="140" t="s">
        <v>268</v>
      </c>
      <c r="J46" s="140" t="s">
        <v>167</v>
      </c>
      <c r="K46" s="140" t="s">
        <v>253</v>
      </c>
    </row>
    <row r="47" spans="1:11" ht="35.25" thickTop="1" thickBot="1" x14ac:dyDescent="0.3">
      <c r="A47">
        <v>5</v>
      </c>
      <c r="B47" s="79" t="str">
        <f>LEFT('Diagrama Tecnólogo'!W28,FIND(" ",'Diagrama Tecnólogo'!W28)-1)</f>
        <v>30</v>
      </c>
      <c r="C47" s="355"/>
      <c r="D47" s="139" t="str">
        <f>TRIM(MID('Diagrama Tecnólogo'!W28,FIND("-",'Diagrama Tecnólogo'!W28)+1,200))</f>
        <v>Redes Industriais para Controle e Automação II</v>
      </c>
      <c r="E47" s="140" t="s">
        <v>251</v>
      </c>
      <c r="F47" s="140">
        <f>'Diagrama Tecnólogo'!W31</f>
        <v>45</v>
      </c>
      <c r="G47" s="140">
        <f>'Diagrama Tecnólogo'!X31</f>
        <v>30</v>
      </c>
      <c r="H47" s="140">
        <f>'Diagrama Tecnólogo'!Y31</f>
        <v>75</v>
      </c>
      <c r="I47" s="140" t="s">
        <v>269</v>
      </c>
      <c r="J47" s="140" t="s">
        <v>252</v>
      </c>
      <c r="K47" s="140" t="s">
        <v>253</v>
      </c>
    </row>
    <row r="48" spans="1:11" ht="24" thickTop="1" thickBot="1" x14ac:dyDescent="0.3">
      <c r="A48">
        <v>6</v>
      </c>
      <c r="B48" s="79" t="str">
        <f>LEFT('Diagrama Tecnólogo'!W33,FIND(" ",'Diagrama Tecnólogo'!W33)-1)</f>
        <v>31</v>
      </c>
      <c r="C48" s="355"/>
      <c r="D48" s="139" t="str">
        <f>TRIM(MID('Diagrama Tecnólogo'!W33,FIND("-",'Diagrama Tecnólogo'!W33)+1,200))</f>
        <v>Sistemas de Controle Realimentado</v>
      </c>
      <c r="E48" s="140"/>
      <c r="F48" s="140">
        <f>'Diagrama Tecnólogo'!W36</f>
        <v>60</v>
      </c>
      <c r="G48" s="140">
        <f>'Diagrama Tecnólogo'!X36</f>
        <v>30</v>
      </c>
      <c r="H48" s="140">
        <f>'Diagrama Tecnólogo'!Y36</f>
        <v>90</v>
      </c>
      <c r="I48" s="140" t="s">
        <v>149</v>
      </c>
      <c r="J48" s="140" t="s">
        <v>252</v>
      </c>
      <c r="K48" s="140" t="s">
        <v>253</v>
      </c>
    </row>
    <row r="49" spans="1:11" ht="35.25" thickTop="1" thickBot="1" x14ac:dyDescent="0.3">
      <c r="A49">
        <v>7</v>
      </c>
      <c r="B49" s="79" t="str">
        <f>LEFT('Diagrama Tecnólogo'!W38,FIND(" ",'Diagrama Tecnólogo'!W38)-1)</f>
        <v>32</v>
      </c>
      <c r="C49" s="355"/>
      <c r="D49" s="139" t="str">
        <f>TRIM(MID('Diagrama Tecnólogo'!W38,FIND("-",'Diagrama Tecnólogo'!W38)+1,200))</f>
        <v>Optativa</v>
      </c>
      <c r="E49" s="140" t="s">
        <v>251</v>
      </c>
      <c r="F49" s="140">
        <f>'Diagrama Tecnólogo'!W41</f>
        <v>45</v>
      </c>
      <c r="G49" s="140">
        <f>'Diagrama Tecnólogo'!X41</f>
        <v>30</v>
      </c>
      <c r="H49" s="140">
        <f>'Diagrama Tecnólogo'!Y41</f>
        <v>75</v>
      </c>
      <c r="I49" s="140" t="s">
        <v>269</v>
      </c>
      <c r="J49" s="140" t="s">
        <v>252</v>
      </c>
      <c r="K49" s="140" t="s">
        <v>253</v>
      </c>
    </row>
    <row r="50" spans="1:11" ht="16.5" thickTop="1" thickBot="1" x14ac:dyDescent="0.3"/>
    <row r="51" spans="1:11" ht="25.5" customHeight="1" thickTop="1" thickBot="1" x14ac:dyDescent="0.3">
      <c r="C51" s="349" t="s">
        <v>241</v>
      </c>
      <c r="D51" s="348" t="s">
        <v>242</v>
      </c>
      <c r="E51" s="348" t="s">
        <v>243</v>
      </c>
      <c r="F51" s="348" t="s">
        <v>244</v>
      </c>
      <c r="G51" s="348"/>
      <c r="H51" s="348"/>
      <c r="I51" s="348" t="s">
        <v>245</v>
      </c>
      <c r="J51" s="348"/>
      <c r="K51" s="348" t="s">
        <v>246</v>
      </c>
    </row>
    <row r="52" spans="1:11" ht="24" customHeight="1" thickTop="1" thickBot="1" x14ac:dyDescent="0.3">
      <c r="C52" s="349"/>
      <c r="D52" s="348"/>
      <c r="E52" s="348"/>
      <c r="F52" s="141" t="s">
        <v>247</v>
      </c>
      <c r="G52" s="141" t="s">
        <v>13</v>
      </c>
      <c r="H52" s="141" t="s">
        <v>11</v>
      </c>
      <c r="I52" s="141" t="s">
        <v>248</v>
      </c>
      <c r="J52" s="141" t="s">
        <v>249</v>
      </c>
      <c r="K52" s="348"/>
    </row>
    <row r="53" spans="1:11" ht="35.25" thickTop="1" thickBot="1" x14ac:dyDescent="0.3">
      <c r="A53">
        <v>1</v>
      </c>
      <c r="B53" s="79" t="str">
        <f>LEFT('Diagrama Tecnólogo'!AB8,FIND(" ",'Diagrama Tecnólogo'!AB8)-1)</f>
        <v>33</v>
      </c>
      <c r="C53" s="354" t="s">
        <v>270</v>
      </c>
      <c r="D53" s="137" t="str">
        <f>TRIM(MID('Diagrama Tecnólogo'!AB8,FIND("-",'Diagrama Tecnólogo'!AB8)+1,200))</f>
        <v>Atividades Curriculares de Extensão III</v>
      </c>
      <c r="E53" s="130" t="s">
        <v>251</v>
      </c>
      <c r="F53" s="130">
        <f>'Diagrama Tecnólogo'!AB11</f>
        <v>0</v>
      </c>
      <c r="G53" s="130">
        <f>'Diagrama Tecnólogo'!AC11</f>
        <v>60</v>
      </c>
      <c r="H53" s="130">
        <f>'Diagrama Tecnólogo'!AD11</f>
        <v>60</v>
      </c>
      <c r="I53" s="130" t="s">
        <v>139</v>
      </c>
      <c r="J53" s="130" t="s">
        <v>252</v>
      </c>
      <c r="K53" s="130" t="s">
        <v>253</v>
      </c>
    </row>
    <row r="54" spans="1:11" ht="24" thickTop="1" thickBot="1" x14ac:dyDescent="0.3">
      <c r="A54">
        <v>2</v>
      </c>
      <c r="B54" s="79" t="str">
        <f>LEFT('Diagrama Tecnólogo'!AB13,FIND(" ",'Diagrama Tecnólogo'!AB13)-1)</f>
        <v>34</v>
      </c>
      <c r="C54" s="354"/>
      <c r="D54" s="137" t="str">
        <f>TRIM(MID('Diagrama Tecnólogo'!AB13,FIND("-",'Diagrama Tecnólogo'!AB13)+1,200))</f>
        <v>Instalação, Proteção e Especificação de Sistemas Industriais</v>
      </c>
      <c r="E54" s="130" t="s">
        <v>251</v>
      </c>
      <c r="F54" s="130">
        <f>'Diagrama Tecnólogo'!AB16</f>
        <v>30</v>
      </c>
      <c r="G54" s="130">
        <f>'Diagrama Tecnólogo'!AC16</f>
        <v>30</v>
      </c>
      <c r="H54" s="130">
        <f>'Diagrama Tecnólogo'!AD16</f>
        <v>60</v>
      </c>
      <c r="I54" s="130" t="s">
        <v>154</v>
      </c>
      <c r="J54" s="130" t="s">
        <v>134</v>
      </c>
      <c r="K54" s="130" t="s">
        <v>253</v>
      </c>
    </row>
    <row r="55" spans="1:11" ht="35.25" thickTop="1" thickBot="1" x14ac:dyDescent="0.3">
      <c r="A55">
        <v>3</v>
      </c>
      <c r="B55" s="79" t="str">
        <f>LEFT('Diagrama Tecnólogo'!AB18,FIND(" ",'Diagrama Tecnólogo'!AB18)-1)</f>
        <v>35</v>
      </c>
      <c r="C55" s="354"/>
      <c r="D55" s="137" t="str">
        <f>TRIM(MID('Diagrama Tecnólogo'!AB18,FIND("-",'Diagrama Tecnólogo'!AB18)+1,200))</f>
        <v>Experimental de Instalações Elétricas</v>
      </c>
      <c r="E55" s="130" t="s">
        <v>251</v>
      </c>
      <c r="F55" s="130">
        <f>'Diagrama Tecnólogo'!AB21</f>
        <v>0</v>
      </c>
      <c r="G55" s="130">
        <f>'Diagrama Tecnólogo'!AC21</f>
        <v>30</v>
      </c>
      <c r="H55" s="130">
        <f>'Diagrama Tecnólogo'!AD21</f>
        <v>30</v>
      </c>
      <c r="I55" s="130" t="s">
        <v>172</v>
      </c>
      <c r="J55" s="130" t="s">
        <v>162</v>
      </c>
      <c r="K55" s="130" t="s">
        <v>253</v>
      </c>
    </row>
    <row r="56" spans="1:11" ht="35.25" thickTop="1" thickBot="1" x14ac:dyDescent="0.3">
      <c r="A56">
        <v>4</v>
      </c>
      <c r="B56" s="79" t="str">
        <f>LEFT('Diagrama Tecnólogo'!AB23,FIND(" ",'Diagrama Tecnólogo'!AB23)-1)</f>
        <v>36</v>
      </c>
      <c r="C56" s="354"/>
      <c r="D56" s="137" t="str">
        <f>TRIM(MID('Diagrama Tecnólogo'!AB23,FIND("-",'Diagrama Tecnólogo'!AB23)+1,200))</f>
        <v>Instalações Elétricas</v>
      </c>
      <c r="E56" s="130" t="s">
        <v>251</v>
      </c>
      <c r="F56" s="130">
        <f>'Diagrama Tecnólogo'!AB26</f>
        <v>30</v>
      </c>
      <c r="G56" s="130">
        <f>'Diagrama Tecnólogo'!AC26</f>
        <v>0</v>
      </c>
      <c r="H56" s="130">
        <f>'Diagrama Tecnólogo'!AD26</f>
        <v>30</v>
      </c>
      <c r="I56" s="130" t="s">
        <v>154</v>
      </c>
      <c r="J56" s="130" t="s">
        <v>135</v>
      </c>
      <c r="K56" s="130" t="s">
        <v>253</v>
      </c>
    </row>
    <row r="57" spans="1:11" ht="57.75" thickTop="1" thickBot="1" x14ac:dyDescent="0.3">
      <c r="A57">
        <v>5</v>
      </c>
      <c r="B57" s="79" t="str">
        <f>LEFT('Diagrama Tecnólogo'!AB28,FIND(" ",'Diagrama Tecnólogo'!AB28)-1)</f>
        <v>37</v>
      </c>
      <c r="C57" s="354"/>
      <c r="D57" s="137" t="str">
        <f>TRIM(MID('Diagrama Tecnólogo'!AB28,FIND("-",'Diagrama Tecnólogo'!AB28)+1,200))</f>
        <v>Estágio Supervisionado Obrigatório (**)</v>
      </c>
      <c r="E57" s="130" t="s">
        <v>251</v>
      </c>
      <c r="F57" s="130">
        <f>'Diagrama Tecnólogo'!AB31</f>
        <v>0</v>
      </c>
      <c r="G57" s="130">
        <f>'Diagrama Tecnólogo'!AC31</f>
        <v>160</v>
      </c>
      <c r="H57" s="130">
        <f>'Diagrama Tecnólogo'!AD31</f>
        <v>160</v>
      </c>
      <c r="I57" s="130" t="s">
        <v>271</v>
      </c>
      <c r="J57" s="130" t="s">
        <v>252</v>
      </c>
      <c r="K57" s="130" t="s">
        <v>253</v>
      </c>
    </row>
    <row r="58" spans="1:11" ht="46.5" thickTop="1" thickBot="1" x14ac:dyDescent="0.3">
      <c r="A58">
        <v>6</v>
      </c>
      <c r="B58" s="79" t="str">
        <f>LEFT('Diagrama Tecnólogo'!AB33,FIND(" ",'Diagrama Tecnólogo'!AB33)-1)</f>
        <v>38</v>
      </c>
      <c r="C58" s="354"/>
      <c r="D58" s="137" t="str">
        <f>TRIM(MID('Diagrama Tecnólogo'!AB33,FIND("-",'Diagrama Tecnólogo'!AB33)+1,200))</f>
        <v>Atividades Complementares</v>
      </c>
      <c r="E58" s="130" t="s">
        <v>251</v>
      </c>
      <c r="F58" s="130">
        <f>'Diagrama Tecnólogo'!AB36</f>
        <v>0</v>
      </c>
      <c r="G58" s="130">
        <f>'Diagrama Tecnólogo'!AC36</f>
        <v>80</v>
      </c>
      <c r="H58" s="130">
        <f>'Diagrama Tecnólogo'!AD36</f>
        <v>80</v>
      </c>
      <c r="I58" s="130" t="s">
        <v>172</v>
      </c>
      <c r="J58" s="130" t="s">
        <v>160</v>
      </c>
      <c r="K58" s="130" t="s">
        <v>253</v>
      </c>
    </row>
    <row r="59" spans="1:11" ht="22.5" customHeight="1" thickTop="1" thickBot="1" x14ac:dyDescent="0.3">
      <c r="C59" s="217"/>
      <c r="D59" s="135" t="s">
        <v>272</v>
      </c>
      <c r="E59" s="130" t="s">
        <v>251</v>
      </c>
      <c r="F59" s="131" t="s">
        <v>256</v>
      </c>
      <c r="G59" s="131" t="s">
        <v>256</v>
      </c>
      <c r="H59" s="131" t="s">
        <v>256</v>
      </c>
      <c r="I59" s="130" t="s">
        <v>252</v>
      </c>
      <c r="J59" s="130" t="s">
        <v>252</v>
      </c>
      <c r="K59" s="131" t="s">
        <v>256</v>
      </c>
    </row>
    <row r="60" spans="1:11" ht="16.5" customHeight="1" thickTop="1" thickBot="1" x14ac:dyDescent="0.3">
      <c r="C60" s="356" t="s">
        <v>273</v>
      </c>
      <c r="D60" s="356"/>
      <c r="E60" s="133" t="s">
        <v>251</v>
      </c>
      <c r="F60" s="134" t="s">
        <v>256</v>
      </c>
      <c r="G60" s="134" t="s">
        <v>256</v>
      </c>
      <c r="H60" s="133">
        <v>80</v>
      </c>
      <c r="I60" s="140" t="s">
        <v>252</v>
      </c>
      <c r="J60" s="140" t="s">
        <v>252</v>
      </c>
      <c r="K60" s="134" t="s">
        <v>256</v>
      </c>
    </row>
    <row r="61" spans="1:11" ht="16.5" thickTop="1" thickBot="1" x14ac:dyDescent="0.3">
      <c r="C61" s="353" t="s">
        <v>274</v>
      </c>
      <c r="D61" s="353"/>
      <c r="E61" s="133" t="s">
        <v>251</v>
      </c>
      <c r="F61" s="134" t="s">
        <v>256</v>
      </c>
      <c r="G61" s="134" t="s">
        <v>256</v>
      </c>
      <c r="H61" s="133">
        <v>75</v>
      </c>
      <c r="I61" s="140" t="s">
        <v>252</v>
      </c>
      <c r="J61" s="140" t="s">
        <v>252</v>
      </c>
      <c r="K61" s="134" t="s">
        <v>256</v>
      </c>
    </row>
    <row r="62" spans="1:11" ht="16.5" thickTop="1" thickBot="1" x14ac:dyDescent="0.3"/>
    <row r="63" spans="1:11" ht="21.75" customHeight="1" thickTop="1" thickBot="1" x14ac:dyDescent="0.3">
      <c r="C63" s="349" t="s">
        <v>241</v>
      </c>
      <c r="D63" s="348" t="s">
        <v>242</v>
      </c>
      <c r="E63" s="348" t="s">
        <v>243</v>
      </c>
      <c r="F63" s="348" t="s">
        <v>244</v>
      </c>
      <c r="G63" s="348"/>
      <c r="H63" s="348"/>
      <c r="I63" s="348" t="s">
        <v>245</v>
      </c>
      <c r="J63" s="348"/>
      <c r="K63" s="348" t="s">
        <v>246</v>
      </c>
    </row>
    <row r="64" spans="1:11" ht="27.75" customHeight="1" thickTop="1" thickBot="1" x14ac:dyDescent="0.3">
      <c r="C64" s="349"/>
      <c r="D64" s="348"/>
      <c r="E64" s="348"/>
      <c r="F64" s="141" t="s">
        <v>247</v>
      </c>
      <c r="G64" s="141" t="s">
        <v>13</v>
      </c>
      <c r="H64" s="141" t="s">
        <v>11</v>
      </c>
      <c r="I64" s="141" t="s">
        <v>248</v>
      </c>
      <c r="J64" s="141" t="s">
        <v>249</v>
      </c>
      <c r="K64" s="348"/>
    </row>
    <row r="65" spans="1:11" ht="24" thickTop="1" thickBot="1" x14ac:dyDescent="0.3">
      <c r="A65">
        <v>1</v>
      </c>
      <c r="B65" t="str">
        <f>LEFT('Diagrama Tecnólogo'!C52,FIND(" ",'Diagrama Tecnólogo'!C52)-1)</f>
        <v>1</v>
      </c>
      <c r="C65" s="350" t="s">
        <v>275</v>
      </c>
      <c r="D65" s="142" t="str">
        <f>TRIM(MID('Diagrama Tecnólogo'!C52,FIND("-",'Diagrama Tecnólogo'!C52)+1,200))</f>
        <v>Dispositivos Ciberfísicos Inteligentes para Automação</v>
      </c>
      <c r="E65" s="143" t="s">
        <v>276</v>
      </c>
      <c r="F65" s="143">
        <f>'Diagrama Tecnólogo'!C55</f>
        <v>45</v>
      </c>
      <c r="G65" s="143">
        <f>'Diagrama Tecnólogo'!D55</f>
        <v>30</v>
      </c>
      <c r="H65" s="143">
        <f>'Diagrama Tecnólogo'!E55</f>
        <v>75</v>
      </c>
      <c r="I65" s="130" t="s">
        <v>277</v>
      </c>
      <c r="J65" s="130" t="s">
        <v>252</v>
      </c>
      <c r="K65" s="143" t="s">
        <v>253</v>
      </c>
    </row>
    <row r="66" spans="1:11" ht="80.25" thickTop="1" thickBot="1" x14ac:dyDescent="0.3">
      <c r="A66">
        <v>2</v>
      </c>
      <c r="B66" t="str">
        <f>LEFT('Diagrama Tecnólogo'!H52,FIND(" ",'Diagrama Tecnólogo'!H52)-1)</f>
        <v>2</v>
      </c>
      <c r="C66" s="351"/>
      <c r="D66" s="142" t="str">
        <f>TRIM(MID('Diagrama Tecnólogo'!H52,FIND("-",'Diagrama Tecnólogo'!H52)+1,200))</f>
        <v>Automação Residencial e Predial</v>
      </c>
      <c r="E66" s="143" t="s">
        <v>276</v>
      </c>
      <c r="F66" s="143">
        <f>'Diagrama Tecnólogo'!H55</f>
        <v>45</v>
      </c>
      <c r="G66" s="143">
        <f>'Diagrama Tecnólogo'!I55</f>
        <v>15</v>
      </c>
      <c r="H66" s="143">
        <f>'Diagrama Tecnólogo'!J55</f>
        <v>60</v>
      </c>
      <c r="I66" s="130" t="s">
        <v>278</v>
      </c>
      <c r="J66" s="130" t="s">
        <v>252</v>
      </c>
      <c r="K66" s="143" t="s">
        <v>253</v>
      </c>
    </row>
    <row r="67" spans="1:11" ht="57.75" thickTop="1" thickBot="1" x14ac:dyDescent="0.3">
      <c r="A67">
        <v>3</v>
      </c>
      <c r="B67" t="str">
        <f>LEFT('Diagrama Tecnólogo'!M52,FIND(" ",'Diagrama Tecnólogo'!M52)-1)</f>
        <v>3</v>
      </c>
      <c r="C67" s="351"/>
      <c r="D67" s="142" t="str">
        <f>TRIM(MID('Diagrama Tecnólogo'!M52,FIND("-",'Diagrama Tecnólogo'!M52)+1,200))</f>
        <v>Eficiência em Sistemas de Energia</v>
      </c>
      <c r="E67" s="143" t="s">
        <v>276</v>
      </c>
      <c r="F67" s="143">
        <f>'Diagrama Tecnólogo'!M55</f>
        <v>45</v>
      </c>
      <c r="G67" s="143">
        <f>'Diagrama Tecnólogo'!N55</f>
        <v>15</v>
      </c>
      <c r="H67" s="143">
        <f>'Diagrama Tecnólogo'!O55</f>
        <v>60</v>
      </c>
      <c r="I67" s="130" t="s">
        <v>279</v>
      </c>
      <c r="J67" s="130" t="s">
        <v>252</v>
      </c>
      <c r="K67" s="143" t="s">
        <v>253</v>
      </c>
    </row>
    <row r="68" spans="1:11" ht="35.25" thickTop="1" thickBot="1" x14ac:dyDescent="0.3">
      <c r="A68">
        <v>4</v>
      </c>
      <c r="B68" t="str">
        <f>LEFT('Diagrama Tecnólogo'!R52,FIND(" ",'Diagrama Tecnólogo'!R52)-1)</f>
        <v>4</v>
      </c>
      <c r="C68" s="351"/>
      <c r="D68" s="142" t="str">
        <f>TRIM(MID('Diagrama Tecnólogo'!R52,FIND("-",'Diagrama Tecnólogo'!R52)+1,200))</f>
        <v>Fabricação Assistida por Computador</v>
      </c>
      <c r="E68" s="143" t="s">
        <v>276</v>
      </c>
      <c r="F68" s="143">
        <f>'Diagrama Tecnólogo'!R55</f>
        <v>30</v>
      </c>
      <c r="G68" s="144">
        <f>'Diagrama Tecnólogo'!S55</f>
        <v>0</v>
      </c>
      <c r="H68" s="143">
        <f>'Diagrama Tecnólogo'!T55</f>
        <v>30</v>
      </c>
      <c r="I68" s="130" t="s">
        <v>180</v>
      </c>
      <c r="J68" s="130" t="s">
        <v>252</v>
      </c>
      <c r="K68" s="143" t="s">
        <v>255</v>
      </c>
    </row>
    <row r="69" spans="1:11" ht="24" thickTop="1" thickBot="1" x14ac:dyDescent="0.3">
      <c r="A69">
        <v>5</v>
      </c>
      <c r="B69" t="str">
        <f>LEFT('Diagrama Tecnólogo'!W52,FIND(" ",'Diagrama Tecnólogo'!W52)-1)</f>
        <v>5</v>
      </c>
      <c r="C69" s="351"/>
      <c r="D69" s="142" t="str">
        <f>TRIM(MID('Diagrama Tecnólogo'!W52,FIND("-",'Diagrama Tecnólogo'!W52)+1,200))</f>
        <v>Fontes Renováveis não Convencionais - Técnicas e Aplicações</v>
      </c>
      <c r="E69" s="143" t="s">
        <v>276</v>
      </c>
      <c r="F69" s="143">
        <f>'Diagrama Tecnólogo'!W55</f>
        <v>45</v>
      </c>
      <c r="G69" s="143">
        <f>'Diagrama Tecnólogo'!X55</f>
        <v>15</v>
      </c>
      <c r="H69" s="143">
        <f>'Diagrama Tecnólogo'!Y55</f>
        <v>60</v>
      </c>
      <c r="I69" s="130" t="s">
        <v>280</v>
      </c>
      <c r="J69" s="130" t="s">
        <v>252</v>
      </c>
      <c r="K69" s="143" t="s">
        <v>253</v>
      </c>
    </row>
    <row r="70" spans="1:11" ht="24" thickTop="1" thickBot="1" x14ac:dyDescent="0.3">
      <c r="A70">
        <v>6</v>
      </c>
      <c r="B70" t="str">
        <f>LEFT('Diagrama Tecnólogo'!AB52,FIND(" ",'Diagrama Tecnólogo'!AB52)-1)</f>
        <v>6</v>
      </c>
      <c r="C70" s="351"/>
      <c r="D70" s="142" t="str">
        <f>TRIM(MID('Diagrama Tecnólogo'!AB52,FIND("-",'Diagrama Tecnólogo'!AB52)+1,200))</f>
        <v>Gestão dos Sistemas de Produção</v>
      </c>
      <c r="E70" s="143" t="s">
        <v>276</v>
      </c>
      <c r="F70" s="143">
        <f>'Diagrama Tecnólogo'!AB55</f>
        <v>45</v>
      </c>
      <c r="G70" s="144">
        <f>'Diagrama Tecnólogo'!AC55</f>
        <v>0</v>
      </c>
      <c r="H70" s="143">
        <f>'Diagrama Tecnólogo'!AD55</f>
        <v>45</v>
      </c>
      <c r="I70" s="130" t="s">
        <v>170</v>
      </c>
      <c r="J70" s="130" t="s">
        <v>252</v>
      </c>
      <c r="K70" s="143" t="s">
        <v>255</v>
      </c>
    </row>
    <row r="71" spans="1:11" ht="35.25" thickTop="1" thickBot="1" x14ac:dyDescent="0.3">
      <c r="A71">
        <v>7</v>
      </c>
      <c r="B71" t="str">
        <f>LEFT('Diagrama Tecnólogo'!AG52,FIND(" ",'Diagrama Tecnólogo'!AG52)-1)</f>
        <v>7</v>
      </c>
      <c r="C71" s="351"/>
      <c r="D71" s="142" t="str">
        <f>TRIM(MID('Diagrama Tecnólogo'!AG52,FIND("-",'Diagrama Tecnólogo'!AG52)+1,200))</f>
        <v>Língua 
Brasileira de
Sinais - LIBRAS I</v>
      </c>
      <c r="E71" s="143" t="s">
        <v>276</v>
      </c>
      <c r="F71" s="143">
        <f>'Diagrama Tecnólogo'!AG55</f>
        <v>30</v>
      </c>
      <c r="G71" s="143">
        <f>'Diagrama Tecnólogo'!AH55</f>
        <v>30</v>
      </c>
      <c r="H71" s="143">
        <f>'Diagrama Tecnólogo'!AI55</f>
        <v>60</v>
      </c>
      <c r="I71" s="130" t="s">
        <v>252</v>
      </c>
      <c r="J71" s="130" t="s">
        <v>252</v>
      </c>
      <c r="K71" s="143" t="s">
        <v>281</v>
      </c>
    </row>
    <row r="72" spans="1:11" ht="35.25" thickTop="1" thickBot="1" x14ac:dyDescent="0.3">
      <c r="A72">
        <v>8</v>
      </c>
      <c r="B72" t="str">
        <f>LEFT('Diagrama Tecnólogo'!AL52,FIND(" ",'Diagrama Tecnólogo'!AL52)-1)</f>
        <v>8</v>
      </c>
      <c r="C72" s="351"/>
      <c r="D72" s="142" t="str">
        <f>TRIM(MID('Diagrama Tecnólogo'!AL52,FIND("-",'Diagrama Tecnólogo'!AL52)+1,200))</f>
        <v>Materiais e Equip. Elétricos e Eletrônicos</v>
      </c>
      <c r="E72" s="143" t="s">
        <v>276</v>
      </c>
      <c r="F72" s="143">
        <f>'Diagrama Tecnólogo'!AL55</f>
        <v>45</v>
      </c>
      <c r="G72" s="143">
        <f>'Diagrama Tecnólogo'!AM55</f>
        <v>15</v>
      </c>
      <c r="H72" s="143">
        <f>'Diagrama Tecnólogo'!AN55</f>
        <v>60</v>
      </c>
      <c r="I72" s="130" t="s">
        <v>282</v>
      </c>
      <c r="J72" s="130" t="s">
        <v>252</v>
      </c>
      <c r="K72" s="143" t="s">
        <v>253</v>
      </c>
    </row>
    <row r="73" spans="1:11" ht="24" thickTop="1" thickBot="1" x14ac:dyDescent="0.3">
      <c r="A73">
        <v>9</v>
      </c>
      <c r="B73" t="str">
        <f>LEFT('Diagrama Tecnólogo'!AQ52,FIND(" ",'Diagrama Tecnólogo'!AQ52)-1)</f>
        <v>9</v>
      </c>
      <c r="C73" s="351"/>
      <c r="D73" s="142" t="str">
        <f>TRIM(MID('Diagrama Tecnólogo'!AQ52,FIND("-",'Diagrama Tecnólogo'!AQ52)+1,200))</f>
        <v>Metodologia da Pesquisa e Escrita Científica</v>
      </c>
      <c r="E73" s="143" t="s">
        <v>276</v>
      </c>
      <c r="F73" s="143">
        <f>'Diagrama Tecnólogo'!AQ55</f>
        <v>60</v>
      </c>
      <c r="G73" s="144">
        <f>'Diagrama Tecnólogo'!AR55</f>
        <v>0</v>
      </c>
      <c r="H73" s="143">
        <f>'Diagrama Tecnólogo'!AS55</f>
        <v>60</v>
      </c>
      <c r="I73" s="130" t="s">
        <v>283</v>
      </c>
      <c r="J73" s="130" t="s">
        <v>252</v>
      </c>
      <c r="K73" s="143" t="s">
        <v>253</v>
      </c>
    </row>
    <row r="74" spans="1:11" ht="24" thickTop="1" thickBot="1" x14ac:dyDescent="0.3">
      <c r="A74">
        <v>10</v>
      </c>
      <c r="B74" t="str">
        <f>LEFT('Diagrama Tecnólogo'!AV52,FIND(" ",'Diagrama Tecnólogo'!AV52)-1)</f>
        <v>10</v>
      </c>
      <c r="C74" s="351"/>
      <c r="D74" s="142" t="str">
        <f>TRIM(MID('Diagrama Tecnólogo'!AV52,FIND("-",'Diagrama Tecnólogo'!AV52)+1,200))</f>
        <v>Processamento Digital de Sinais</v>
      </c>
      <c r="E74" s="143" t="s">
        <v>276</v>
      </c>
      <c r="F74" s="143">
        <f>'Diagrama Tecnólogo'!AV55</f>
        <v>45</v>
      </c>
      <c r="G74" s="143">
        <f>'Diagrama Tecnólogo'!AW55</f>
        <v>15</v>
      </c>
      <c r="H74" s="143">
        <f>'Diagrama Tecnólogo'!AX55</f>
        <v>60</v>
      </c>
      <c r="I74" s="130" t="s">
        <v>277</v>
      </c>
      <c r="J74" s="130" t="s">
        <v>252</v>
      </c>
      <c r="K74" s="143" t="s">
        <v>253</v>
      </c>
    </row>
    <row r="75" spans="1:11" ht="24" thickTop="1" thickBot="1" x14ac:dyDescent="0.3">
      <c r="A75">
        <v>11</v>
      </c>
      <c r="B75" t="str">
        <f>LEFT('Diagrama Tecnólogo'!C57,FIND(" ",'Diagrama Tecnólogo'!C57)-1)</f>
        <v>11</v>
      </c>
      <c r="C75" s="351"/>
      <c r="D75" s="142" t="str">
        <f>TRIM(MID('Diagrama Tecnólogo'!C57,FIND("-",'Diagrama Tecnólogo'!C57)+1,200))</f>
        <v>Programação Orientada a Objetos</v>
      </c>
      <c r="E75" s="143" t="s">
        <v>276</v>
      </c>
      <c r="F75" s="143">
        <f>'Diagrama Tecnólogo'!C60</f>
        <v>30</v>
      </c>
      <c r="G75" s="143">
        <f>'Diagrama Tecnólogo'!D60</f>
        <v>30</v>
      </c>
      <c r="H75" s="143">
        <f>'Diagrama Tecnólogo'!E60</f>
        <v>60</v>
      </c>
      <c r="I75" s="130" t="s">
        <v>143</v>
      </c>
      <c r="J75" s="130" t="s">
        <v>252</v>
      </c>
      <c r="K75" s="143" t="s">
        <v>253</v>
      </c>
    </row>
    <row r="76" spans="1:11" ht="24" thickTop="1" thickBot="1" x14ac:dyDescent="0.3">
      <c r="A76">
        <v>12</v>
      </c>
      <c r="B76" t="str">
        <f>LEFT('Diagrama Tecnólogo'!H57,FIND(" ",'Diagrama Tecnólogo'!H57)-1)</f>
        <v>12</v>
      </c>
      <c r="C76" s="351"/>
      <c r="D76" s="142" t="str">
        <f>TRIM(MID('Diagrama Tecnólogo'!H57,FIND("-",'Diagrama Tecnólogo'!H57)+1,200))</f>
        <v>Sistemas Computacionais em Tempo Real</v>
      </c>
      <c r="E76" s="143" t="s">
        <v>276</v>
      </c>
      <c r="F76" s="143">
        <f>'Diagrama Tecnólogo'!H60</f>
        <v>30</v>
      </c>
      <c r="G76" s="143">
        <f>'Diagrama Tecnólogo'!I60</f>
        <v>15</v>
      </c>
      <c r="H76" s="143">
        <f>'Diagrama Tecnólogo'!J60</f>
        <v>45</v>
      </c>
      <c r="I76" s="130" t="s">
        <v>277</v>
      </c>
      <c r="J76" s="130" t="s">
        <v>252</v>
      </c>
      <c r="K76" s="143" t="s">
        <v>253</v>
      </c>
    </row>
    <row r="77" spans="1:11" ht="24" thickTop="1" thickBot="1" x14ac:dyDescent="0.3">
      <c r="A77">
        <v>13</v>
      </c>
      <c r="B77" t="str">
        <f>LEFT('Diagrama Tecnólogo'!M57,FIND(" ",'Diagrama Tecnólogo'!M57)-1)</f>
        <v>13</v>
      </c>
      <c r="C77" s="351"/>
      <c r="D77" s="142" t="str">
        <f>TRIM(MID('Diagrama Tecnólogo'!M57,FIND("-",'Diagrama Tecnólogo'!M57)+1,200))</f>
        <v>Sistemas de Gestão e Manutenção na Automação</v>
      </c>
      <c r="E77" s="143" t="s">
        <v>276</v>
      </c>
      <c r="F77" s="143">
        <f>'Diagrama Tecnólogo'!M60</f>
        <v>60</v>
      </c>
      <c r="G77" s="143">
        <f>'Diagrama Tecnólogo'!N60</f>
        <v>0</v>
      </c>
      <c r="H77" s="143">
        <f>'Diagrama Tecnólogo'!O60</f>
        <v>60</v>
      </c>
      <c r="I77" s="130" t="s">
        <v>170</v>
      </c>
      <c r="J77" s="130" t="s">
        <v>252</v>
      </c>
      <c r="K77" s="143" t="s">
        <v>253</v>
      </c>
    </row>
    <row r="78" spans="1:11" ht="35.25" thickTop="1" thickBot="1" x14ac:dyDescent="0.3">
      <c r="A78">
        <v>14</v>
      </c>
      <c r="B78" t="str">
        <f>LEFT('Diagrama Tecnólogo'!R57,FIND(" ",'Diagrama Tecnólogo'!R57)-1)</f>
        <v>14</v>
      </c>
      <c r="C78" s="351"/>
      <c r="D78" s="142" t="str">
        <f>TRIM(MID('Diagrama Tecnólogo'!R57,FIND("-",'Diagrama Tecnólogo'!R57)+1,200))</f>
        <v>Sistemas Distribuídos</v>
      </c>
      <c r="E78" s="143" t="s">
        <v>276</v>
      </c>
      <c r="F78" s="143">
        <f>'Diagrama Tecnólogo'!R60</f>
        <v>30</v>
      </c>
      <c r="G78" s="143">
        <f>'Diagrama Tecnólogo'!S60</f>
        <v>15</v>
      </c>
      <c r="H78" s="143">
        <f>'Diagrama Tecnólogo'!T60</f>
        <v>45</v>
      </c>
      <c r="I78" s="130" t="s">
        <v>181</v>
      </c>
      <c r="J78" s="130" t="s">
        <v>252</v>
      </c>
      <c r="K78" s="143" t="s">
        <v>253</v>
      </c>
    </row>
    <row r="79" spans="1:11" ht="24" thickTop="1" thickBot="1" x14ac:dyDescent="0.3">
      <c r="B79" t="str">
        <f>LEFT('Diagrama Tecnólogo'!W57,FIND(" ",'Diagrama Tecnólogo'!W57)-1)</f>
        <v>15</v>
      </c>
      <c r="C79" s="351"/>
      <c r="D79" s="142" t="str">
        <f>TRIM(MID('Diagrama Tecnólogo'!W57,FIND("-",'Diagrama Tecnólogo'!W57)+1,200))</f>
        <v>Instalações Industriais</v>
      </c>
      <c r="E79" s="143" t="s">
        <v>276</v>
      </c>
      <c r="F79" s="143">
        <f>'Diagrama Tecnólogo'!W60</f>
        <v>45</v>
      </c>
      <c r="G79" s="143">
        <f>'Diagrama Tecnólogo'!X60</f>
        <v>15</v>
      </c>
      <c r="H79" s="143">
        <f>'Diagrama Tecnólogo'!Y60</f>
        <v>60</v>
      </c>
      <c r="I79" s="130" t="s">
        <v>284</v>
      </c>
      <c r="J79" s="130" t="s">
        <v>252</v>
      </c>
      <c r="K79" s="143" t="s">
        <v>253</v>
      </c>
    </row>
    <row r="80" spans="1:11" ht="24" thickTop="1" thickBot="1" x14ac:dyDescent="0.3">
      <c r="A80">
        <v>15</v>
      </c>
      <c r="B80" t="str">
        <f>LEFT('Diagrama Tecnólogo'!AB57,FIND(" ",'Diagrama Tecnólogo'!AB57)-1)</f>
        <v>16</v>
      </c>
      <c r="C80" s="351"/>
      <c r="D80" s="142" t="str">
        <f>TRIM(MID('Diagrama Tecnólogo'!AB57,FIND("-",'Diagrama Tecnólogo'!AB57)+1,200))</f>
        <v>Tópicos Especiais em Engenharia de Controle e Automação I (***)</v>
      </c>
      <c r="E80" s="143" t="s">
        <v>276</v>
      </c>
      <c r="F80" s="143">
        <f>'Diagrama Tecnólogo'!AB60</f>
        <v>60</v>
      </c>
      <c r="G80" s="144">
        <f>'Diagrama Tecnólogo'!AC60</f>
        <v>0</v>
      </c>
      <c r="H80" s="143">
        <f>'Diagrama Tecnólogo'!AD60</f>
        <v>60</v>
      </c>
      <c r="I80" s="130" t="s">
        <v>283</v>
      </c>
      <c r="J80" s="130" t="s">
        <v>252</v>
      </c>
      <c r="K80" s="143" t="s">
        <v>253</v>
      </c>
    </row>
    <row r="81" spans="1:11" ht="24" thickTop="1" thickBot="1" x14ac:dyDescent="0.3">
      <c r="A81">
        <v>16</v>
      </c>
      <c r="B81" t="str">
        <f>LEFT('Diagrama Tecnólogo'!AG57,FIND(" ",'Diagrama Tecnólogo'!AG57)-1)</f>
        <v>17</v>
      </c>
      <c r="C81" s="351"/>
      <c r="D81" s="142" t="str">
        <f>TRIM(MID('Diagrama Tecnólogo'!AG57,FIND("-",'Diagrama Tecnólogo'!AG57)+1,200))</f>
        <v>Tópicos Especiais em Engenharia de Controle e Automação II (***)</v>
      </c>
      <c r="E81" s="143" t="s">
        <v>276</v>
      </c>
      <c r="F81" s="143">
        <f>'Diagrama Tecnólogo'!AG60</f>
        <v>60</v>
      </c>
      <c r="G81" s="144">
        <f>'Diagrama Tecnólogo'!AH60</f>
        <v>0</v>
      </c>
      <c r="H81" s="143">
        <f>'Diagrama Tecnólogo'!AI60</f>
        <v>60</v>
      </c>
      <c r="I81" s="130" t="s">
        <v>283</v>
      </c>
      <c r="J81" s="130" t="s">
        <v>252</v>
      </c>
      <c r="K81" s="143" t="s">
        <v>253</v>
      </c>
    </row>
    <row r="82" spans="1:11" ht="24" thickTop="1" thickBot="1" x14ac:dyDescent="0.3">
      <c r="A82">
        <v>17</v>
      </c>
      <c r="B82" t="str">
        <f>LEFT('Diagrama Tecnólogo'!AL57,FIND(" ",'Diagrama Tecnólogo'!AL57)-1)</f>
        <v>18</v>
      </c>
      <c r="C82" s="351"/>
      <c r="D82" s="142" t="str">
        <f>TRIM(MID('Diagrama Tecnólogo'!AL57,FIND("-",'Diagrama Tecnólogo'!AL57)+1,200))</f>
        <v>Tópicos Especiais em Engenharia de Controle e Automação III (***)</v>
      </c>
      <c r="E82" s="143" t="s">
        <v>276</v>
      </c>
      <c r="F82" s="143">
        <f>'Diagrama Tecnólogo'!AL60</f>
        <v>60</v>
      </c>
      <c r="G82" s="144">
        <f>'Diagrama Tecnólogo'!AM60</f>
        <v>0</v>
      </c>
      <c r="H82" s="143">
        <f>'Diagrama Tecnólogo'!AN60</f>
        <v>60</v>
      </c>
      <c r="I82" s="130" t="s">
        <v>283</v>
      </c>
      <c r="J82" s="130" t="s">
        <v>252</v>
      </c>
      <c r="K82" s="143" t="s">
        <v>253</v>
      </c>
    </row>
    <row r="83" spans="1:11" ht="24" thickTop="1" thickBot="1" x14ac:dyDescent="0.3">
      <c r="A83">
        <v>18</v>
      </c>
      <c r="B83" t="str">
        <f>LEFT('Diagrama Tecnólogo'!AQ57,FIND(" ",'Diagrama Tecnólogo'!AQ57)-1)</f>
        <v>19</v>
      </c>
      <c r="C83" s="352"/>
      <c r="D83" s="145" t="str">
        <f>TRIM(MID('Diagrama Tecnólogo'!AQ57,FIND("-",'Diagrama Tecnólogo'!AQ57)+1,200))</f>
        <v>Tópicos Especiais em Engenharia de Controle e Automação IV (***)</v>
      </c>
      <c r="E83" s="146" t="s">
        <v>276</v>
      </c>
      <c r="F83" s="146">
        <f>'Diagrama Tecnólogo'!AQ60</f>
        <v>60</v>
      </c>
      <c r="G83" s="147">
        <f>'Diagrama Tecnólogo'!AR60</f>
        <v>0</v>
      </c>
      <c r="H83" s="146">
        <f>'Diagrama Tecnólogo'!AS60</f>
        <v>60</v>
      </c>
      <c r="I83" s="130" t="s">
        <v>283</v>
      </c>
      <c r="J83" s="130" t="s">
        <v>252</v>
      </c>
      <c r="K83" s="146" t="s">
        <v>253</v>
      </c>
    </row>
    <row r="84" spans="1:11" ht="15.75" thickTop="1" x14ac:dyDescent="0.25">
      <c r="I84" s="94"/>
    </row>
  </sheetData>
  <mergeCells count="39">
    <mergeCell ref="K51:K52"/>
    <mergeCell ref="K3:K4"/>
    <mergeCell ref="F3:H3"/>
    <mergeCell ref="K14:K15"/>
    <mergeCell ref="K33:K34"/>
    <mergeCell ref="E33:E34"/>
    <mergeCell ref="F33:H33"/>
    <mergeCell ref="I33:J33"/>
    <mergeCell ref="C51:C52"/>
    <mergeCell ref="F51:H51"/>
    <mergeCell ref="I51:J51"/>
    <mergeCell ref="I3:J3"/>
    <mergeCell ref="F14:H14"/>
    <mergeCell ref="I14:J14"/>
    <mergeCell ref="C16:C23"/>
    <mergeCell ref="C24:C31"/>
    <mergeCell ref="C61:D61"/>
    <mergeCell ref="E3:E4"/>
    <mergeCell ref="D3:D4"/>
    <mergeCell ref="C14:C15"/>
    <mergeCell ref="D14:D15"/>
    <mergeCell ref="E14:E15"/>
    <mergeCell ref="C53:C58"/>
    <mergeCell ref="C35:C42"/>
    <mergeCell ref="C43:C49"/>
    <mergeCell ref="C5:C12"/>
    <mergeCell ref="C3:C4"/>
    <mergeCell ref="D51:D52"/>
    <mergeCell ref="E51:E52"/>
    <mergeCell ref="C60:D60"/>
    <mergeCell ref="C33:C34"/>
    <mergeCell ref="D33:D34"/>
    <mergeCell ref="K63:K64"/>
    <mergeCell ref="C63:C64"/>
    <mergeCell ref="F63:H63"/>
    <mergeCell ref="I63:J63"/>
    <mergeCell ref="C65:C83"/>
    <mergeCell ref="D63:D64"/>
    <mergeCell ref="E63:E64"/>
  </mergeCell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3073" r:id="rId4" name="Requisitos">
          <controlPr defaultSize="0" autoLine="0" r:id="rId5">
            <anchor moveWithCells="1">
              <from>
                <xdr:col>0</xdr:col>
                <xdr:colOff>438150</xdr:colOff>
                <xdr:row>0</xdr:row>
                <xdr:rowOff>57150</xdr:rowOff>
              </from>
              <to>
                <xdr:col>2</xdr:col>
                <xdr:colOff>66675</xdr:colOff>
                <xdr:row>1</xdr:row>
                <xdr:rowOff>28575</xdr:rowOff>
              </to>
            </anchor>
          </controlPr>
        </control>
      </mc:Choice>
      <mc:Fallback>
        <control shapeId="3073" r:id="rId4" name="Requisito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DD5F4-E6A3-43C2-A59F-B19A748C65D1}">
  <sheetPr codeName="Planilha1"/>
  <dimension ref="B1:N13"/>
  <sheetViews>
    <sheetView topLeftCell="A2" zoomScale="130" zoomScaleNormal="130" workbookViewId="0">
      <selection activeCell="O22" sqref="O22"/>
    </sheetView>
  </sheetViews>
  <sheetFormatPr defaultRowHeight="15" x14ac:dyDescent="0.25"/>
  <cols>
    <col min="2" max="2" width="4.5703125" bestFit="1" customWidth="1"/>
    <col min="3" max="3" width="21.5703125" customWidth="1"/>
    <col min="4" max="5" width="2.7109375" bestFit="1" customWidth="1"/>
    <col min="6" max="6" width="5.42578125" bestFit="1" customWidth="1"/>
    <col min="7" max="7" width="5.85546875" bestFit="1" customWidth="1"/>
    <col min="8" max="8" width="10.42578125" bestFit="1" customWidth="1"/>
    <col min="9" max="9" width="19.42578125" customWidth="1"/>
    <col min="10" max="11" width="2.7109375" bestFit="1" customWidth="1"/>
    <col min="12" max="12" width="5.42578125" bestFit="1" customWidth="1"/>
  </cols>
  <sheetData>
    <row r="1" spans="2:14" ht="15" hidden="1" customHeight="1" x14ac:dyDescent="0.25"/>
    <row r="2" spans="2:14" ht="15" customHeight="1" thickTop="1" x14ac:dyDescent="0.25">
      <c r="B2" s="361" t="s">
        <v>285</v>
      </c>
      <c r="C2" s="361"/>
      <c r="D2" s="361"/>
      <c r="E2" s="361"/>
      <c r="F2" s="361"/>
      <c r="G2" s="367" t="s">
        <v>286</v>
      </c>
      <c r="H2" s="361" t="s">
        <v>287</v>
      </c>
      <c r="I2" s="361"/>
      <c r="J2" s="182"/>
      <c r="K2" s="182"/>
      <c r="L2" s="182"/>
    </row>
    <row r="3" spans="2:14" ht="15.75" customHeight="1" thickBot="1" x14ac:dyDescent="0.3">
      <c r="B3" s="359" t="s">
        <v>241</v>
      </c>
      <c r="C3" s="359" t="s">
        <v>219</v>
      </c>
      <c r="D3" s="360" t="s">
        <v>244</v>
      </c>
      <c r="E3" s="360"/>
      <c r="F3" s="360"/>
      <c r="G3" s="368"/>
      <c r="H3" s="359" t="s">
        <v>288</v>
      </c>
      <c r="I3" s="359" t="s">
        <v>219</v>
      </c>
      <c r="J3" s="360" t="s">
        <v>244</v>
      </c>
      <c r="K3" s="360"/>
      <c r="L3" s="360"/>
    </row>
    <row r="4" spans="2:14" ht="16.5" thickTop="1" thickBot="1" x14ac:dyDescent="0.3">
      <c r="B4" s="359"/>
      <c r="C4" s="359"/>
      <c r="D4" s="163" t="s">
        <v>289</v>
      </c>
      <c r="E4" s="163" t="s">
        <v>290</v>
      </c>
      <c r="F4" s="163" t="s">
        <v>11</v>
      </c>
      <c r="G4" s="369"/>
      <c r="H4" s="360"/>
      <c r="I4" s="360"/>
      <c r="J4" s="163" t="s">
        <v>289</v>
      </c>
      <c r="K4" s="163" t="s">
        <v>290</v>
      </c>
      <c r="L4" s="163" t="s">
        <v>11</v>
      </c>
    </row>
    <row r="5" spans="2:14" ht="24.75" thickTop="1" x14ac:dyDescent="0.25">
      <c r="B5" s="180" t="s">
        <v>291</v>
      </c>
      <c r="C5" s="159" t="s">
        <v>177</v>
      </c>
      <c r="D5" s="362">
        <v>45</v>
      </c>
      <c r="E5" s="363">
        <v>15</v>
      </c>
      <c r="F5" s="363">
        <v>60</v>
      </c>
      <c r="G5" s="364">
        <v>60</v>
      </c>
      <c r="H5" s="185" t="s">
        <v>292</v>
      </c>
      <c r="I5" s="159" t="s">
        <v>212</v>
      </c>
      <c r="J5" s="180">
        <v>60</v>
      </c>
      <c r="K5" s="180">
        <v>30</v>
      </c>
      <c r="L5" s="180">
        <v>90</v>
      </c>
    </row>
    <row r="6" spans="2:14" x14ac:dyDescent="0.25">
      <c r="B6" s="157"/>
      <c r="C6" s="157" t="s">
        <v>293</v>
      </c>
      <c r="D6" s="363"/>
      <c r="E6" s="363"/>
      <c r="F6" s="363"/>
      <c r="G6" s="365"/>
      <c r="H6" s="184"/>
      <c r="I6" s="157" t="s">
        <v>293</v>
      </c>
      <c r="J6" s="181"/>
      <c r="K6" s="181"/>
      <c r="L6" s="181"/>
    </row>
    <row r="7" spans="2:14" ht="24.75" thickBot="1" x14ac:dyDescent="0.3">
      <c r="B7" s="155" t="s">
        <v>294</v>
      </c>
      <c r="C7" s="156" t="s">
        <v>295</v>
      </c>
      <c r="D7" s="155">
        <v>45</v>
      </c>
      <c r="E7" s="155">
        <v>15</v>
      </c>
      <c r="F7" s="155">
        <v>60</v>
      </c>
      <c r="G7" s="366"/>
      <c r="H7" s="161" t="s">
        <v>296</v>
      </c>
      <c r="I7" s="156" t="s">
        <v>297</v>
      </c>
      <c r="J7" s="155">
        <v>60</v>
      </c>
      <c r="K7" s="155">
        <v>30</v>
      </c>
      <c r="L7" s="155">
        <v>90</v>
      </c>
    </row>
    <row r="8" spans="2:14" ht="16.5" thickTop="1" thickBot="1" x14ac:dyDescent="0.3">
      <c r="B8" s="158" t="s">
        <v>294</v>
      </c>
      <c r="C8" s="154" t="s">
        <v>179</v>
      </c>
      <c r="D8" s="183">
        <v>30</v>
      </c>
      <c r="E8" s="183">
        <v>30</v>
      </c>
      <c r="F8" s="183">
        <v>60</v>
      </c>
      <c r="G8" s="183">
        <v>0</v>
      </c>
      <c r="H8" s="183" t="s">
        <v>298</v>
      </c>
      <c r="I8" s="154" t="s">
        <v>206</v>
      </c>
      <c r="J8" s="158">
        <v>45</v>
      </c>
      <c r="K8" s="158">
        <v>15</v>
      </c>
      <c r="L8" s="160">
        <v>60</v>
      </c>
      <c r="N8" s="164"/>
    </row>
    <row r="9" spans="2:14" ht="16.5" thickTop="1" thickBot="1" x14ac:dyDescent="0.3">
      <c r="B9" s="155" t="s">
        <v>299</v>
      </c>
      <c r="C9" s="156" t="s">
        <v>133</v>
      </c>
      <c r="D9" s="155">
        <v>30</v>
      </c>
      <c r="E9" s="155">
        <v>0</v>
      </c>
      <c r="F9" s="155">
        <v>30</v>
      </c>
      <c r="G9" s="153">
        <v>30</v>
      </c>
      <c r="H9" s="162" t="s">
        <v>300</v>
      </c>
      <c r="I9" s="156" t="s">
        <v>133</v>
      </c>
      <c r="J9" s="155">
        <v>60</v>
      </c>
      <c r="K9" s="155">
        <v>0</v>
      </c>
      <c r="L9" s="155">
        <v>60</v>
      </c>
    </row>
    <row r="10" spans="2:14" ht="16.5" thickTop="1" thickBot="1" x14ac:dyDescent="0.3">
      <c r="B10" s="158" t="s">
        <v>299</v>
      </c>
      <c r="C10" s="154" t="s">
        <v>301</v>
      </c>
      <c r="D10" s="183">
        <v>30</v>
      </c>
      <c r="E10" s="183">
        <v>0</v>
      </c>
      <c r="F10" s="183">
        <v>30</v>
      </c>
      <c r="G10" s="183">
        <v>30</v>
      </c>
      <c r="H10" s="183" t="s">
        <v>302</v>
      </c>
      <c r="I10" s="154" t="s">
        <v>301</v>
      </c>
      <c r="J10" s="158">
        <v>60</v>
      </c>
      <c r="K10" s="158">
        <v>0</v>
      </c>
      <c r="L10" s="160">
        <v>60</v>
      </c>
    </row>
    <row r="11" spans="2:14" ht="25.5" thickTop="1" thickBot="1" x14ac:dyDescent="0.3">
      <c r="B11" s="155" t="s">
        <v>299</v>
      </c>
      <c r="C11" s="156" t="s">
        <v>142</v>
      </c>
      <c r="D11" s="155">
        <v>30</v>
      </c>
      <c r="E11" s="155">
        <v>0</v>
      </c>
      <c r="F11" s="155">
        <v>30</v>
      </c>
      <c r="G11" s="153">
        <v>30</v>
      </c>
      <c r="H11" s="162" t="s">
        <v>303</v>
      </c>
      <c r="I11" s="156" t="s">
        <v>213</v>
      </c>
      <c r="J11" s="155">
        <v>60</v>
      </c>
      <c r="K11" s="155">
        <v>0</v>
      </c>
      <c r="L11" s="155">
        <v>60</v>
      </c>
    </row>
    <row r="12" spans="2:14" ht="25.5" thickTop="1" thickBot="1" x14ac:dyDescent="0.3">
      <c r="B12" s="158" t="s">
        <v>299</v>
      </c>
      <c r="C12" s="154" t="s">
        <v>199</v>
      </c>
      <c r="D12" s="183">
        <v>0</v>
      </c>
      <c r="E12" s="183">
        <v>30</v>
      </c>
      <c r="F12" s="183">
        <v>30</v>
      </c>
      <c r="G12" s="153">
        <v>0</v>
      </c>
      <c r="H12" s="183" t="s">
        <v>304</v>
      </c>
      <c r="I12" s="154" t="s">
        <v>239</v>
      </c>
      <c r="J12" s="158">
        <v>0</v>
      </c>
      <c r="K12" s="158">
        <v>30</v>
      </c>
      <c r="L12" s="160">
        <v>30</v>
      </c>
    </row>
    <row r="13" spans="2:14" ht="15.75" thickTop="1" x14ac:dyDescent="0.25"/>
  </sheetData>
  <mergeCells count="13">
    <mergeCell ref="H3:H4"/>
    <mergeCell ref="I3:I4"/>
    <mergeCell ref="J3:L3"/>
    <mergeCell ref="H2:I2"/>
    <mergeCell ref="D5:D6"/>
    <mergeCell ref="E5:E6"/>
    <mergeCell ref="F5:F6"/>
    <mergeCell ref="G5:G7"/>
    <mergeCell ref="B2:F2"/>
    <mergeCell ref="G2:G4"/>
    <mergeCell ref="B3:B4"/>
    <mergeCell ref="C3:C4"/>
    <mergeCell ref="D3:F3"/>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B5E27-84F0-4AA9-8A72-ADEDE2E90CBA}">
  <sheetPr codeName="Planilha3"/>
  <dimension ref="B1:L24"/>
  <sheetViews>
    <sheetView zoomScaleNormal="100" workbookViewId="0">
      <selection activeCell="O11" sqref="O11"/>
    </sheetView>
  </sheetViews>
  <sheetFormatPr defaultRowHeight="15" x14ac:dyDescent="0.25"/>
  <cols>
    <col min="2" max="2" width="4.5703125" style="79" bestFit="1" customWidth="1"/>
    <col min="3" max="3" width="10.28515625" bestFit="1" customWidth="1"/>
    <col min="4" max="4" width="20.5703125" customWidth="1"/>
    <col min="5" max="6" width="2.7109375" bestFit="1" customWidth="1"/>
    <col min="7" max="7" width="5.42578125" bestFit="1" customWidth="1"/>
    <col min="9" max="9" width="25.7109375" customWidth="1"/>
    <col min="10" max="11" width="2.7109375" style="79" bestFit="1" customWidth="1"/>
    <col min="12" max="12" width="5.42578125" style="79" bestFit="1" customWidth="1"/>
  </cols>
  <sheetData>
    <row r="1" spans="2:12" ht="15.75" thickBot="1" x14ac:dyDescent="0.3">
      <c r="I1" s="178"/>
      <c r="J1" s="197"/>
      <c r="K1" s="197"/>
      <c r="L1" s="197"/>
    </row>
    <row r="2" spans="2:12" ht="15" customHeight="1" thickTop="1" thickBot="1" x14ac:dyDescent="0.3">
      <c r="B2" s="387" t="s">
        <v>287</v>
      </c>
      <c r="C2" s="387"/>
      <c r="D2" s="387"/>
      <c r="E2" s="387"/>
      <c r="F2" s="387"/>
      <c r="G2" s="387"/>
      <c r="H2" s="388" t="s">
        <v>286</v>
      </c>
      <c r="I2" s="390" t="s">
        <v>285</v>
      </c>
      <c r="J2" s="390"/>
      <c r="K2" s="390"/>
      <c r="L2" s="390"/>
    </row>
    <row r="3" spans="2:12" ht="35.25" customHeight="1" thickTop="1" thickBot="1" x14ac:dyDescent="0.3">
      <c r="B3" s="359" t="s">
        <v>241</v>
      </c>
      <c r="C3" s="392" t="s">
        <v>288</v>
      </c>
      <c r="D3" s="359" t="s">
        <v>219</v>
      </c>
      <c r="E3" s="394" t="s">
        <v>244</v>
      </c>
      <c r="F3" s="394"/>
      <c r="G3" s="394"/>
      <c r="H3" s="388"/>
      <c r="I3" s="359" t="s">
        <v>219</v>
      </c>
      <c r="J3" s="391" t="s">
        <v>244</v>
      </c>
      <c r="K3" s="391"/>
      <c r="L3" s="391"/>
    </row>
    <row r="4" spans="2:12" ht="16.5" thickTop="1" thickBot="1" x14ac:dyDescent="0.3">
      <c r="B4" s="391"/>
      <c r="C4" s="393"/>
      <c r="D4" s="391"/>
      <c r="E4" s="152" t="s">
        <v>289</v>
      </c>
      <c r="F4" s="152" t="s">
        <v>290</v>
      </c>
      <c r="G4" s="152" t="s">
        <v>11</v>
      </c>
      <c r="H4" s="389"/>
      <c r="I4" s="391"/>
      <c r="J4" s="152" t="s">
        <v>289</v>
      </c>
      <c r="K4" s="152" t="s">
        <v>290</v>
      </c>
      <c r="L4" s="152" t="s">
        <v>11</v>
      </c>
    </row>
    <row r="5" spans="2:12" ht="24.75" thickTop="1" x14ac:dyDescent="0.25">
      <c r="B5" s="370" t="s">
        <v>305</v>
      </c>
      <c r="C5" s="370" t="s">
        <v>306</v>
      </c>
      <c r="D5" s="382" t="s">
        <v>210</v>
      </c>
      <c r="E5" s="370">
        <v>60</v>
      </c>
      <c r="F5" s="370">
        <v>30</v>
      </c>
      <c r="G5" s="370">
        <v>90</v>
      </c>
      <c r="H5" s="373">
        <v>0</v>
      </c>
      <c r="I5" s="166" t="s">
        <v>233</v>
      </c>
      <c r="J5" s="386">
        <v>60</v>
      </c>
      <c r="K5" s="385">
        <v>15</v>
      </c>
      <c r="L5" s="371">
        <v>75</v>
      </c>
    </row>
    <row r="6" spans="2:12" x14ac:dyDescent="0.25">
      <c r="B6" s="371"/>
      <c r="C6" s="371"/>
      <c r="D6" s="383"/>
      <c r="E6" s="371"/>
      <c r="F6" s="371"/>
      <c r="G6" s="371"/>
      <c r="H6" s="374"/>
      <c r="I6" s="166" t="s">
        <v>293</v>
      </c>
      <c r="J6" s="386"/>
      <c r="K6" s="386"/>
      <c r="L6" s="371"/>
    </row>
    <row r="7" spans="2:12" ht="36.75" thickBot="1" x14ac:dyDescent="0.3">
      <c r="B7" s="372"/>
      <c r="C7" s="372"/>
      <c r="D7" s="384"/>
      <c r="E7" s="372"/>
      <c r="F7" s="372"/>
      <c r="G7" s="372"/>
      <c r="H7" s="375"/>
      <c r="I7" s="193" t="s">
        <v>307</v>
      </c>
      <c r="J7" s="192">
        <v>15</v>
      </c>
      <c r="K7" s="189">
        <v>0</v>
      </c>
      <c r="L7" s="165">
        <v>15</v>
      </c>
    </row>
    <row r="8" spans="2:12" ht="16.5" thickTop="1" thickBot="1" x14ac:dyDescent="0.3">
      <c r="B8" s="173" t="s">
        <v>291</v>
      </c>
      <c r="C8" s="173"/>
      <c r="D8" s="174" t="s">
        <v>206</v>
      </c>
      <c r="E8" s="175">
        <v>45</v>
      </c>
      <c r="F8" s="175">
        <v>15</v>
      </c>
      <c r="G8" s="175">
        <v>60</v>
      </c>
      <c r="H8" s="179">
        <v>0</v>
      </c>
      <c r="I8" s="176" t="s">
        <v>179</v>
      </c>
      <c r="J8" s="175">
        <v>30</v>
      </c>
      <c r="K8" s="171">
        <v>30</v>
      </c>
      <c r="L8" s="173">
        <v>60</v>
      </c>
    </row>
    <row r="9" spans="2:12" ht="24.75" thickTop="1" x14ac:dyDescent="0.25">
      <c r="B9" s="186" t="s">
        <v>294</v>
      </c>
      <c r="C9" s="190" t="s">
        <v>308</v>
      </c>
      <c r="D9" s="190" t="s">
        <v>212</v>
      </c>
      <c r="E9" s="190">
        <v>60</v>
      </c>
      <c r="F9" s="190">
        <v>30</v>
      </c>
      <c r="G9" s="186">
        <v>90</v>
      </c>
      <c r="H9" s="373">
        <v>0</v>
      </c>
      <c r="I9" s="187" t="s">
        <v>177</v>
      </c>
      <c r="J9" s="385">
        <v>45</v>
      </c>
      <c r="K9" s="385">
        <v>15</v>
      </c>
      <c r="L9" s="370">
        <v>60</v>
      </c>
    </row>
    <row r="10" spans="2:12" x14ac:dyDescent="0.25">
      <c r="B10" s="165"/>
      <c r="C10" s="166"/>
      <c r="D10" s="166" t="s">
        <v>293</v>
      </c>
      <c r="E10" s="166"/>
      <c r="F10" s="166"/>
      <c r="G10" s="165"/>
      <c r="H10" s="374"/>
      <c r="I10" s="166" t="s">
        <v>293</v>
      </c>
      <c r="J10" s="386"/>
      <c r="K10" s="386"/>
      <c r="L10" s="371"/>
    </row>
    <row r="11" spans="2:12" ht="24" x14ac:dyDescent="0.25">
      <c r="B11" s="165" t="s">
        <v>309</v>
      </c>
      <c r="C11" s="166" t="s">
        <v>296</v>
      </c>
      <c r="D11" s="166" t="s">
        <v>231</v>
      </c>
      <c r="E11" s="166">
        <v>60</v>
      </c>
      <c r="F11" s="166">
        <v>30</v>
      </c>
      <c r="G11" s="165">
        <v>90</v>
      </c>
      <c r="H11" s="374"/>
      <c r="I11" s="166" t="s">
        <v>295</v>
      </c>
      <c r="J11" s="192">
        <v>45</v>
      </c>
      <c r="K11" s="192">
        <v>15</v>
      </c>
      <c r="L11" s="165">
        <v>60</v>
      </c>
    </row>
    <row r="12" spans="2:12" x14ac:dyDescent="0.25">
      <c r="B12" s="165"/>
      <c r="C12" s="166"/>
      <c r="D12" s="166" t="s">
        <v>293</v>
      </c>
      <c r="E12" s="166"/>
      <c r="F12" s="166"/>
      <c r="G12" s="165"/>
      <c r="H12" s="374"/>
      <c r="I12" s="166" t="s">
        <v>293</v>
      </c>
      <c r="J12" s="192"/>
      <c r="K12" s="192"/>
      <c r="L12" s="165"/>
    </row>
    <row r="13" spans="2:12" ht="48.75" thickBot="1" x14ac:dyDescent="0.3">
      <c r="B13" s="165" t="s">
        <v>310</v>
      </c>
      <c r="C13" s="193" t="s">
        <v>311</v>
      </c>
      <c r="D13" s="193" t="s">
        <v>209</v>
      </c>
      <c r="E13" s="189">
        <v>30</v>
      </c>
      <c r="F13" s="189">
        <v>30</v>
      </c>
      <c r="G13" s="189">
        <v>60</v>
      </c>
      <c r="H13" s="375"/>
      <c r="I13" s="188" t="s">
        <v>312</v>
      </c>
      <c r="J13" s="189">
        <v>60</v>
      </c>
      <c r="K13" s="189">
        <v>60</v>
      </c>
      <c r="L13" s="167">
        <v>120</v>
      </c>
    </row>
    <row r="14" spans="2:12" ht="15.75" thickTop="1" x14ac:dyDescent="0.25">
      <c r="B14" s="376" t="s">
        <v>299</v>
      </c>
      <c r="C14" s="376" t="s">
        <v>300</v>
      </c>
      <c r="D14" s="379" t="s">
        <v>133</v>
      </c>
      <c r="E14" s="376">
        <v>60</v>
      </c>
      <c r="F14" s="376">
        <v>0</v>
      </c>
      <c r="G14" s="376">
        <v>60</v>
      </c>
      <c r="H14" s="373">
        <v>0</v>
      </c>
      <c r="I14" s="169" t="s">
        <v>133</v>
      </c>
      <c r="J14" s="198">
        <v>30</v>
      </c>
      <c r="K14" s="199">
        <v>0</v>
      </c>
      <c r="L14" s="172">
        <v>30</v>
      </c>
    </row>
    <row r="15" spans="2:12" x14ac:dyDescent="0.25">
      <c r="B15" s="377"/>
      <c r="C15" s="377"/>
      <c r="D15" s="380"/>
      <c r="E15" s="377"/>
      <c r="F15" s="377"/>
      <c r="G15" s="377"/>
      <c r="H15" s="374"/>
      <c r="I15" s="169" t="s">
        <v>293</v>
      </c>
      <c r="J15" s="199"/>
      <c r="K15" s="199"/>
      <c r="L15" s="172"/>
    </row>
    <row r="16" spans="2:12" ht="24.75" thickBot="1" x14ac:dyDescent="0.3">
      <c r="B16" s="378"/>
      <c r="C16" s="378"/>
      <c r="D16" s="381"/>
      <c r="E16" s="378"/>
      <c r="F16" s="378"/>
      <c r="G16" s="378"/>
      <c r="H16" s="375"/>
      <c r="I16" s="170" t="s">
        <v>313</v>
      </c>
      <c r="J16" s="171">
        <v>30</v>
      </c>
      <c r="K16" s="171">
        <v>0</v>
      </c>
      <c r="L16" s="177">
        <v>30</v>
      </c>
    </row>
    <row r="17" spans="2:12" ht="15.75" thickTop="1" x14ac:dyDescent="0.25">
      <c r="B17" s="370" t="s">
        <v>299</v>
      </c>
      <c r="C17" s="370" t="s">
        <v>314</v>
      </c>
      <c r="D17" s="382" t="s">
        <v>301</v>
      </c>
      <c r="E17" s="370">
        <v>60</v>
      </c>
      <c r="F17" s="370">
        <v>0</v>
      </c>
      <c r="G17" s="370">
        <v>60</v>
      </c>
      <c r="H17" s="373">
        <v>0</v>
      </c>
      <c r="I17" s="166" t="s">
        <v>301</v>
      </c>
      <c r="J17" s="191">
        <v>30</v>
      </c>
      <c r="K17" s="192">
        <v>0</v>
      </c>
      <c r="L17" s="165">
        <v>30</v>
      </c>
    </row>
    <row r="18" spans="2:12" x14ac:dyDescent="0.25">
      <c r="B18" s="371"/>
      <c r="C18" s="371"/>
      <c r="D18" s="383"/>
      <c r="E18" s="371"/>
      <c r="F18" s="371"/>
      <c r="G18" s="371"/>
      <c r="H18" s="374"/>
      <c r="I18" s="166" t="s">
        <v>293</v>
      </c>
      <c r="J18" s="192"/>
      <c r="K18" s="192"/>
      <c r="L18" s="165"/>
    </row>
    <row r="19" spans="2:12" ht="24.75" thickBot="1" x14ac:dyDescent="0.3">
      <c r="B19" s="372"/>
      <c r="C19" s="372"/>
      <c r="D19" s="384"/>
      <c r="E19" s="372"/>
      <c r="F19" s="372"/>
      <c r="G19" s="372"/>
      <c r="H19" s="375"/>
      <c r="I19" s="188" t="s">
        <v>315</v>
      </c>
      <c r="J19" s="189">
        <v>30</v>
      </c>
      <c r="K19" s="189">
        <v>0</v>
      </c>
      <c r="L19" s="167">
        <v>30</v>
      </c>
    </row>
    <row r="20" spans="2:12" ht="15.75" thickTop="1" x14ac:dyDescent="0.25">
      <c r="B20" s="376" t="s">
        <v>299</v>
      </c>
      <c r="C20" s="376" t="s">
        <v>303</v>
      </c>
      <c r="D20" s="379" t="s">
        <v>213</v>
      </c>
      <c r="E20" s="376">
        <v>60</v>
      </c>
      <c r="F20" s="376">
        <v>0</v>
      </c>
      <c r="G20" s="376">
        <v>60</v>
      </c>
      <c r="H20" s="373">
        <v>0</v>
      </c>
      <c r="I20" s="169" t="s">
        <v>142</v>
      </c>
      <c r="J20" s="198">
        <v>30</v>
      </c>
      <c r="K20" s="199">
        <v>0</v>
      </c>
      <c r="L20" s="172">
        <v>30</v>
      </c>
    </row>
    <row r="21" spans="2:12" x14ac:dyDescent="0.25">
      <c r="B21" s="377"/>
      <c r="C21" s="377"/>
      <c r="D21" s="380"/>
      <c r="E21" s="377"/>
      <c r="F21" s="377"/>
      <c r="G21" s="377"/>
      <c r="H21" s="374"/>
      <c r="I21" s="169" t="s">
        <v>293</v>
      </c>
      <c r="J21" s="199"/>
      <c r="K21" s="199"/>
      <c r="L21" s="172"/>
    </row>
    <row r="22" spans="2:12" ht="24.75" thickBot="1" x14ac:dyDescent="0.3">
      <c r="B22" s="378"/>
      <c r="C22" s="378"/>
      <c r="D22" s="381"/>
      <c r="E22" s="378"/>
      <c r="F22" s="378"/>
      <c r="G22" s="378"/>
      <c r="H22" s="375"/>
      <c r="I22" s="170" t="s">
        <v>316</v>
      </c>
      <c r="J22" s="171">
        <v>30</v>
      </c>
      <c r="K22" s="171">
        <v>0</v>
      </c>
      <c r="L22" s="177">
        <v>30</v>
      </c>
    </row>
    <row r="23" spans="2:12" ht="25.5" thickTop="1" thickBot="1" x14ac:dyDescent="0.3">
      <c r="B23" s="194" t="s">
        <v>299</v>
      </c>
      <c r="C23" s="194" t="s">
        <v>304</v>
      </c>
      <c r="D23" s="168" t="s">
        <v>239</v>
      </c>
      <c r="E23" s="195">
        <v>0</v>
      </c>
      <c r="F23" s="195">
        <v>30</v>
      </c>
      <c r="G23" s="195">
        <v>30</v>
      </c>
      <c r="H23" s="179">
        <v>0</v>
      </c>
      <c r="I23" s="196" t="s">
        <v>199</v>
      </c>
      <c r="J23" s="195">
        <v>0</v>
      </c>
      <c r="K23" s="189">
        <v>30</v>
      </c>
      <c r="L23" s="194">
        <v>30</v>
      </c>
    </row>
    <row r="24" spans="2:12" ht="15.75" thickTop="1" x14ac:dyDescent="0.25"/>
  </sheetData>
  <mergeCells count="45">
    <mergeCell ref="C5:C7"/>
    <mergeCell ref="B5:B7"/>
    <mergeCell ref="H2:H4"/>
    <mergeCell ref="I2:L2"/>
    <mergeCell ref="B3:B4"/>
    <mergeCell ref="C3:C4"/>
    <mergeCell ref="D3:D4"/>
    <mergeCell ref="E3:G3"/>
    <mergeCell ref="I3:I4"/>
    <mergeCell ref="J3:L3"/>
    <mergeCell ref="B2:E2"/>
    <mergeCell ref="D5:D7"/>
    <mergeCell ref="E5:E7"/>
    <mergeCell ref="F5:F7"/>
    <mergeCell ref="G5:G7"/>
    <mergeCell ref="J5:J6"/>
    <mergeCell ref="K5:K6"/>
    <mergeCell ref="L5:L6"/>
    <mergeCell ref="H5:H7"/>
    <mergeCell ref="F2:G2"/>
    <mergeCell ref="H9:H13"/>
    <mergeCell ref="J9:J10"/>
    <mergeCell ref="K9:K10"/>
    <mergeCell ref="L9:L10"/>
    <mergeCell ref="H14:H16"/>
    <mergeCell ref="D14:D16"/>
    <mergeCell ref="B14:B16"/>
    <mergeCell ref="C14:C16"/>
    <mergeCell ref="E14:E16"/>
    <mergeCell ref="F14:F16"/>
    <mergeCell ref="G14:G16"/>
    <mergeCell ref="G17:G19"/>
    <mergeCell ref="H17:H19"/>
    <mergeCell ref="B20:B22"/>
    <mergeCell ref="C20:C22"/>
    <mergeCell ref="D20:D22"/>
    <mergeCell ref="E20:E22"/>
    <mergeCell ref="F20:F22"/>
    <mergeCell ref="G20:G22"/>
    <mergeCell ref="H20:H22"/>
    <mergeCell ref="B17:B19"/>
    <mergeCell ref="C17:C19"/>
    <mergeCell ref="D17:D19"/>
    <mergeCell ref="E17:E19"/>
    <mergeCell ref="F17:F19"/>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F27ED-8F2A-4E6E-890D-41690DF8FE63}">
  <dimension ref="A1:H64"/>
  <sheetViews>
    <sheetView topLeftCell="A9" workbookViewId="0"/>
  </sheetViews>
  <sheetFormatPr defaultRowHeight="15" x14ac:dyDescent="0.25"/>
  <cols>
    <col min="1" max="8" width="22.28515625" customWidth="1"/>
  </cols>
  <sheetData>
    <row r="1" spans="1:8" ht="15.75" x14ac:dyDescent="0.25">
      <c r="A1" s="218" t="s">
        <v>388</v>
      </c>
    </row>
    <row r="2" spans="1:8" x14ac:dyDescent="0.25">
      <c r="A2" s="219" t="s">
        <v>389</v>
      </c>
    </row>
    <row r="4" spans="1:8" x14ac:dyDescent="0.25">
      <c r="A4" s="220" t="s">
        <v>390</v>
      </c>
      <c r="B4" s="220" t="s">
        <v>288</v>
      </c>
      <c r="C4" s="220" t="s">
        <v>391</v>
      </c>
      <c r="D4" s="221" t="s">
        <v>392</v>
      </c>
      <c r="E4" s="220" t="s">
        <v>218</v>
      </c>
      <c r="F4" s="220" t="s">
        <v>12</v>
      </c>
      <c r="G4" s="220" t="s">
        <v>13</v>
      </c>
      <c r="H4" s="220" t="s">
        <v>11</v>
      </c>
    </row>
    <row r="5" spans="1:8" x14ac:dyDescent="0.25">
      <c r="A5" s="222" t="s">
        <v>251</v>
      </c>
      <c r="B5" s="222" t="str">
        <f>LEFT('Diagrama Tecnólogo'!C8,FIND(" ",'Diagrama Tecnólogo'!C8)-1)</f>
        <v>1</v>
      </c>
      <c r="C5" s="222" t="str">
        <f>TRIM(MID('Diagrama Tecnólogo'!C8,FIND("-",'Diagrama Tecnólogo'!C8)+1,200))</f>
        <v>Cálculo Diferencial e Integral I</v>
      </c>
      <c r="D5" s="224" t="s">
        <v>394</v>
      </c>
      <c r="E5" s="222">
        <v>1</v>
      </c>
      <c r="F5" s="222">
        <f>'Diagrama Tecnólogo'!C11</f>
        <v>60</v>
      </c>
      <c r="G5" s="222">
        <f>'Diagrama Tecnólogo'!D11</f>
        <v>0</v>
      </c>
      <c r="H5" s="222">
        <f>'Diagrama Tecnólogo'!E11</f>
        <v>60</v>
      </c>
    </row>
    <row r="6" spans="1:8" x14ac:dyDescent="0.25">
      <c r="A6" s="223" t="s">
        <v>251</v>
      </c>
      <c r="B6" s="223" t="str">
        <f>LEFT('Diagrama Tecnólogo'!C13,FIND(" ",'Diagrama Tecnólogo'!C13)-1)</f>
        <v>2</v>
      </c>
      <c r="C6" s="223" t="str">
        <f>TRIM(MID('Diagrama Tecnólogo'!C13,FIND("-",'Diagrama Tecnólogo'!C13)+1,200))</f>
        <v>Ciência de dados aplicada a Metrologia</v>
      </c>
      <c r="D6" s="224" t="s">
        <v>394</v>
      </c>
      <c r="E6" s="223">
        <v>1</v>
      </c>
      <c r="F6" s="223">
        <f>'Diagrama Tecnólogo'!C16</f>
        <v>30</v>
      </c>
      <c r="G6" s="223">
        <f>'Diagrama Tecnólogo'!D16</f>
        <v>30</v>
      </c>
      <c r="H6" s="223">
        <f>'Diagrama Tecnólogo'!E16</f>
        <v>60</v>
      </c>
    </row>
    <row r="7" spans="1:8" x14ac:dyDescent="0.25">
      <c r="A7" s="222" t="s">
        <v>251</v>
      </c>
      <c r="B7" s="222" t="str">
        <f>LEFT('Diagrama Tecnólogo'!C18,FIND(" ",'Diagrama Tecnólogo'!C18)-1)</f>
        <v>3</v>
      </c>
      <c r="C7" s="222" t="str">
        <f>TRIM(MID('Diagrama Tecnólogo'!C18,FIND("-",'Diagrama Tecnólogo'!C18)+1,200))</f>
        <v>Expressão Gráfica</v>
      </c>
      <c r="D7" s="224" t="s">
        <v>394</v>
      </c>
      <c r="E7" s="222">
        <v>1</v>
      </c>
      <c r="F7" s="222">
        <f>'Diagrama Tecnólogo'!C21</f>
        <v>60</v>
      </c>
      <c r="G7" s="222">
        <f>'Diagrama Tecnólogo'!D21</f>
        <v>0</v>
      </c>
      <c r="H7" s="222">
        <f>'Diagrama Tecnólogo'!E21</f>
        <v>60</v>
      </c>
    </row>
    <row r="8" spans="1:8" x14ac:dyDescent="0.25">
      <c r="A8" s="223" t="s">
        <v>251</v>
      </c>
      <c r="B8" s="223" t="e">
        <f>LEFT('Diagrama Tecnólogo'!#REF!,FIND(" ",'Diagrama Tecnólogo'!#REF!)-1)</f>
        <v>#REF!</v>
      </c>
      <c r="C8" s="223" t="e">
        <f>TRIM(MID('Diagrama Tecnólogo'!#REF!,FIND("-",'Diagrama Tecnólogo'!#REF!)+1,200))</f>
        <v>#REF!</v>
      </c>
      <c r="D8" s="224" t="s">
        <v>394</v>
      </c>
      <c r="E8" s="223">
        <v>1</v>
      </c>
      <c r="F8" s="223" t="e">
        <f>'Diagrama Tecnólogo'!#REF!</f>
        <v>#REF!</v>
      </c>
      <c r="G8" s="223" t="e">
        <f>'Diagrama Tecnólogo'!#REF!</f>
        <v>#REF!</v>
      </c>
      <c r="H8" s="223" t="e">
        <f>'Diagrama Tecnólogo'!#REF!</f>
        <v>#REF!</v>
      </c>
    </row>
    <row r="9" spans="1:8" x14ac:dyDescent="0.25">
      <c r="A9" s="222" t="s">
        <v>251</v>
      </c>
      <c r="B9" s="222" t="str">
        <f>LEFT('Diagrama Tecnólogo'!C23,FIND(" ",'Diagrama Tecnólogo'!C23)-1)</f>
        <v>4</v>
      </c>
      <c r="C9" s="222" t="str">
        <f>TRIM(MID('Diagrama Tecnólogo'!C23,FIND("-",'Diagrama Tecnólogo'!C23)+1,200))</f>
        <v>Introdução à Engenharia de Controle e Automação</v>
      </c>
      <c r="D9" s="224" t="s">
        <v>394</v>
      </c>
      <c r="E9" s="222">
        <v>1</v>
      </c>
      <c r="F9" s="222">
        <f>'Diagrama Tecnólogo'!C26</f>
        <v>30</v>
      </c>
      <c r="G9" s="222">
        <f>'Diagrama Tecnólogo'!D26</f>
        <v>0</v>
      </c>
      <c r="H9" s="222">
        <f>'Diagrama Tecnólogo'!E26</f>
        <v>30</v>
      </c>
    </row>
    <row r="10" spans="1:8" x14ac:dyDescent="0.25">
      <c r="A10" s="223" t="s">
        <v>251</v>
      </c>
      <c r="B10" s="223" t="str">
        <f>LEFT('Diagrama Tecnólogo'!C28,FIND(" ",'Diagrama Tecnólogo'!C28)-1)</f>
        <v>5</v>
      </c>
      <c r="C10" s="223" t="str">
        <f>TRIM(MID('Diagrama Tecnólogo'!C28,FIND("-",'Diagrama Tecnólogo'!C28)+1,200))</f>
        <v>Programação Embarcada com IA</v>
      </c>
      <c r="D10" s="224" t="s">
        <v>394</v>
      </c>
      <c r="E10" s="223">
        <v>1</v>
      </c>
      <c r="F10" s="223">
        <f>'Diagrama Tecnólogo'!C31</f>
        <v>45</v>
      </c>
      <c r="G10" s="223">
        <f>'Diagrama Tecnólogo'!D31</f>
        <v>30</v>
      </c>
      <c r="H10" s="223">
        <f>'Diagrama Tecnólogo'!E31</f>
        <v>75</v>
      </c>
    </row>
    <row r="11" spans="1:8" x14ac:dyDescent="0.25">
      <c r="A11" s="222" t="s">
        <v>251</v>
      </c>
      <c r="B11" s="222" t="str">
        <f>LEFT('Diagrama Tecnólogo'!C33,FIND(" ",'Diagrama Tecnólogo'!C33)-1)</f>
        <v>6</v>
      </c>
      <c r="C11" s="222" t="str">
        <f>TRIM(MID('Diagrama Tecnólogo'!C33,FIND("-",'Diagrama Tecnólogo'!C33)+1,200))</f>
        <v>Sistemas Digitais</v>
      </c>
      <c r="D11" s="224" t="s">
        <v>394</v>
      </c>
      <c r="E11" s="222">
        <v>1</v>
      </c>
      <c r="F11" s="222">
        <f>'Diagrama Tecnólogo'!C36</f>
        <v>30</v>
      </c>
      <c r="G11" s="222">
        <f>'Diagrama Tecnólogo'!D36</f>
        <v>30</v>
      </c>
      <c r="H11" s="222">
        <f>'Diagrama Tecnólogo'!E36</f>
        <v>60</v>
      </c>
    </row>
    <row r="12" spans="1:8" x14ac:dyDescent="0.25">
      <c r="A12" s="223" t="s">
        <v>251</v>
      </c>
      <c r="B12" s="223" t="e">
        <f>LEFT('Diagrama Tecnólogo'!C43,FIND(" ",'Diagrama Tecnólogo'!C43)-1)</f>
        <v>#VALUE!</v>
      </c>
      <c r="C12" s="223" t="e">
        <f>TRIM(MID('Diagrama Tecnólogo'!C43,FIND("-",'Diagrama Tecnólogo'!C43)+1,200))</f>
        <v>#VALUE!</v>
      </c>
      <c r="D12" s="224" t="s">
        <v>394</v>
      </c>
      <c r="E12" s="223">
        <v>1</v>
      </c>
      <c r="F12" s="223">
        <f>'Diagrama Tecnólogo'!C46</f>
        <v>0</v>
      </c>
      <c r="G12" s="223">
        <f>'Diagrama Tecnólogo'!D46</f>
        <v>0</v>
      </c>
      <c r="H12" s="223">
        <f>'Diagrama Tecnólogo'!E46</f>
        <v>0</v>
      </c>
    </row>
    <row r="13" spans="1:8" x14ac:dyDescent="0.25">
      <c r="A13" s="222" t="s">
        <v>251</v>
      </c>
      <c r="B13" s="222" t="str">
        <f>LEFT('Diagrama Tecnólogo'!H8,FIND(" ",'Diagrama Tecnólogo'!H8)-1)</f>
        <v>7</v>
      </c>
      <c r="C13" s="222" t="str">
        <f>TRIM(MID('Diagrama Tecnólogo'!H8,FIND("-",'Diagrama Tecnólogo'!H8)+1,200))</f>
        <v>Cálculo Diferencial e Integral II</v>
      </c>
      <c r="D13" s="224" t="s">
        <v>394</v>
      </c>
      <c r="E13" s="222">
        <v>2</v>
      </c>
      <c r="F13" s="222">
        <f>'Diagrama Tecnólogo'!H11</f>
        <v>90</v>
      </c>
      <c r="G13" s="222">
        <f>'Diagrama Tecnólogo'!I11</f>
        <v>0</v>
      </c>
      <c r="H13" s="222">
        <f>'Diagrama Tecnólogo'!J11</f>
        <v>90</v>
      </c>
    </row>
    <row r="14" spans="1:8" x14ac:dyDescent="0.25">
      <c r="A14" s="223" t="s">
        <v>251</v>
      </c>
      <c r="B14" s="223" t="str">
        <f>LEFT('Diagrama Tecnólogo'!H13,FIND(" ",'Diagrama Tecnólogo'!H13)-1)</f>
        <v>8</v>
      </c>
      <c r="C14" s="223" t="str">
        <f>TRIM(MID('Diagrama Tecnólogo'!H13,FIND("-",'Diagrama Tecnólogo'!H13)+1,200))</f>
        <v>Circuitos Elétricos I</v>
      </c>
      <c r="D14" s="224" t="s">
        <v>395</v>
      </c>
      <c r="E14" s="223">
        <v>2</v>
      </c>
      <c r="F14" s="223">
        <f>'Diagrama Tecnólogo'!H16</f>
        <v>75</v>
      </c>
      <c r="G14" s="223">
        <f>'Diagrama Tecnólogo'!I16</f>
        <v>0</v>
      </c>
      <c r="H14" s="223">
        <f>'Diagrama Tecnólogo'!J16</f>
        <v>75</v>
      </c>
    </row>
    <row r="15" spans="1:8" x14ac:dyDescent="0.25">
      <c r="A15" s="222" t="s">
        <v>251</v>
      </c>
      <c r="B15" s="222" t="str">
        <f>LEFT('Diagrama Tecnólogo'!H18,FIND(" ",'Diagrama Tecnólogo'!H18)-1)</f>
        <v>9</v>
      </c>
      <c r="C15" s="222" t="str">
        <f>TRIM(MID('Diagrama Tecnólogo'!H18,FIND("-",'Diagrama Tecnólogo'!H18)+1,200))</f>
        <v>Experimental de Circuitos Elétricos I</v>
      </c>
      <c r="D15" s="224" t="s">
        <v>395</v>
      </c>
      <c r="E15" s="222">
        <v>2</v>
      </c>
      <c r="F15" s="222">
        <f>'Diagrama Tecnólogo'!H21</f>
        <v>0</v>
      </c>
      <c r="G15" s="222">
        <f>'Diagrama Tecnólogo'!I21</f>
        <v>15</v>
      </c>
      <c r="H15" s="222">
        <f>'Diagrama Tecnólogo'!J21</f>
        <v>15</v>
      </c>
    </row>
    <row r="16" spans="1:8" x14ac:dyDescent="0.25">
      <c r="A16" s="223" t="s">
        <v>251</v>
      </c>
      <c r="B16" s="223" t="str">
        <f>LEFT('Diagrama Tecnólogo'!H23,FIND(" ",'Diagrama Tecnólogo'!H23)-1)</f>
        <v>10</v>
      </c>
      <c r="C16" s="223" t="str">
        <f>TRIM(MID('Diagrama Tecnólogo'!H23,FIND("-",'Diagrama Tecnólogo'!H23)+1,200))</f>
        <v>Experimental de Física Básica: Mecânica</v>
      </c>
      <c r="D16" s="224" t="s">
        <v>394</v>
      </c>
      <c r="E16" s="223">
        <v>2</v>
      </c>
      <c r="F16" s="223">
        <f>'Diagrama Tecnólogo'!H26</f>
        <v>0</v>
      </c>
      <c r="G16" s="223">
        <f>'Diagrama Tecnólogo'!I26</f>
        <v>30</v>
      </c>
      <c r="H16" s="223">
        <f>'Diagrama Tecnólogo'!J26</f>
        <v>30</v>
      </c>
    </row>
    <row r="17" spans="1:8" x14ac:dyDescent="0.25">
      <c r="A17" s="222" t="s">
        <v>251</v>
      </c>
      <c r="B17" s="222" t="str">
        <f>LEFT('Diagrama Tecnólogo'!M28,FIND(" ",'Diagrama Tecnólogo'!M28)-1)</f>
        <v>11</v>
      </c>
      <c r="C17" s="222" t="str">
        <f>TRIM(MID('Diagrama Tecnólogo'!M28,FIND("-",'Diagrama Tecnólogo'!M28)+1,200))</f>
        <v>Fenômenos de Transporte</v>
      </c>
      <c r="D17" s="224" t="s">
        <v>394</v>
      </c>
      <c r="E17" s="222">
        <v>2</v>
      </c>
      <c r="F17" s="222">
        <f>'Diagrama Tecnólogo'!M31</f>
        <v>60</v>
      </c>
      <c r="G17" s="222">
        <f>'Diagrama Tecnólogo'!N31</f>
        <v>0</v>
      </c>
      <c r="H17" s="222">
        <f>'Diagrama Tecnólogo'!O31</f>
        <v>60</v>
      </c>
    </row>
    <row r="18" spans="1:8" x14ac:dyDescent="0.25">
      <c r="A18" s="223" t="s">
        <v>251</v>
      </c>
      <c r="B18" s="223" t="str">
        <f>LEFT('Diagrama Tecnólogo'!H28,FIND(" ",'Diagrama Tecnólogo'!H28)-1)</f>
        <v>12</v>
      </c>
      <c r="C18" s="223" t="str">
        <f>TRIM(MID('Diagrama Tecnólogo'!H28,FIND("-",'Diagrama Tecnólogo'!H28)+1,200))</f>
        <v>Física Básica: Mecânica</v>
      </c>
      <c r="D18" s="224" t="s">
        <v>394</v>
      </c>
      <c r="E18" s="223">
        <v>2</v>
      </c>
      <c r="F18" s="223">
        <f>'Diagrama Tecnólogo'!H31</f>
        <v>60</v>
      </c>
      <c r="G18" s="223">
        <f>'Diagrama Tecnólogo'!I31</f>
        <v>0</v>
      </c>
      <c r="H18" s="223">
        <f>'Diagrama Tecnólogo'!J31</f>
        <v>60</v>
      </c>
    </row>
    <row r="19" spans="1:8" x14ac:dyDescent="0.25">
      <c r="A19" s="222" t="s">
        <v>251</v>
      </c>
      <c r="B19" s="222" t="str">
        <f>LEFT('Diagrama Tecnólogo'!H33,FIND(" ",'Diagrama Tecnólogo'!H33)-1)</f>
        <v>13</v>
      </c>
      <c r="C19" s="222" t="str">
        <f>TRIM(MID('Diagrama Tecnólogo'!H33,FIND("-",'Diagrama Tecnólogo'!H33)+1,200))</f>
        <v>Arquitetura de software em Sistemas Embarcados</v>
      </c>
      <c r="D19" s="224" t="s">
        <v>394</v>
      </c>
      <c r="E19" s="222">
        <v>2</v>
      </c>
      <c r="F19" s="222">
        <f>'Diagrama Tecnólogo'!H36</f>
        <v>45</v>
      </c>
      <c r="G19" s="222">
        <f>'Diagrama Tecnólogo'!I36</f>
        <v>30</v>
      </c>
      <c r="H19" s="222">
        <f>'Diagrama Tecnólogo'!J36</f>
        <v>75</v>
      </c>
    </row>
    <row r="20" spans="1:8" x14ac:dyDescent="0.25">
      <c r="A20" s="223" t="s">
        <v>251</v>
      </c>
      <c r="B20" s="223" t="str">
        <f>LEFT('Diagrama Tecnólogo'!M8,FIND(" ",'Diagrama Tecnólogo'!M8)-1)</f>
        <v>14</v>
      </c>
      <c r="C20" s="223" t="str">
        <f>TRIM(MID('Diagrama Tecnólogo'!M8,FIND("-",'Diagrama Tecnólogo'!M8)+1,200))</f>
        <v>Sinais e Sistemas I</v>
      </c>
      <c r="D20" s="224" t="s">
        <v>395</v>
      </c>
      <c r="E20" s="223">
        <v>3</v>
      </c>
      <c r="F20" s="223">
        <f>'Diagrama Tecnólogo'!M11</f>
        <v>90</v>
      </c>
      <c r="G20" s="223">
        <f>'Diagrama Tecnólogo'!N11</f>
        <v>0</v>
      </c>
      <c r="H20" s="223">
        <f>'Diagrama Tecnólogo'!O11</f>
        <v>90</v>
      </c>
    </row>
    <row r="21" spans="1:8" x14ac:dyDescent="0.25">
      <c r="A21" s="222" t="s">
        <v>251</v>
      </c>
      <c r="B21" s="222" t="str">
        <f>LEFT('Diagrama Tecnólogo'!M13,FIND(" ",'Diagrama Tecnólogo'!M13)-1)</f>
        <v>15</v>
      </c>
      <c r="C21" s="222" t="str">
        <f>TRIM(MID('Diagrama Tecnólogo'!M13,FIND("-",'Diagrama Tecnólogo'!M13)+1,200))</f>
        <v>Eletrônica Analógica I</v>
      </c>
      <c r="D21" s="224" t="s">
        <v>395</v>
      </c>
      <c r="E21" s="222">
        <v>3</v>
      </c>
      <c r="F21" s="222">
        <f>'Diagrama Tecnólogo'!M16</f>
        <v>60</v>
      </c>
      <c r="G21" s="222">
        <f>'Diagrama Tecnólogo'!N16</f>
        <v>0</v>
      </c>
      <c r="H21" s="222">
        <f>'Diagrama Tecnólogo'!O16</f>
        <v>60</v>
      </c>
    </row>
    <row r="22" spans="1:8" x14ac:dyDescent="0.25">
      <c r="A22" s="223" t="s">
        <v>251</v>
      </c>
      <c r="B22" s="223" t="str">
        <f>LEFT('Diagrama Tecnólogo'!M18,FIND(" ",'Diagrama Tecnólogo'!M18)-1)</f>
        <v>16</v>
      </c>
      <c r="C22" s="223" t="str">
        <f>TRIM(MID('Diagrama Tecnólogo'!M18,FIND("-",'Diagrama Tecnólogo'!M18)+1,200))</f>
        <v>Experimental de Eletrônica Analógica I</v>
      </c>
      <c r="D22" s="224" t="s">
        <v>395</v>
      </c>
      <c r="E22" s="223">
        <v>3</v>
      </c>
      <c r="F22" s="223">
        <f>'Diagrama Tecnólogo'!M21</f>
        <v>0</v>
      </c>
      <c r="G22" s="223">
        <f>'Diagrama Tecnólogo'!N21</f>
        <v>30</v>
      </c>
      <c r="H22" s="223">
        <f>'Diagrama Tecnólogo'!O21</f>
        <v>30</v>
      </c>
    </row>
    <row r="23" spans="1:8" x14ac:dyDescent="0.25">
      <c r="A23" s="222" t="s">
        <v>251</v>
      </c>
      <c r="B23" s="222" t="str">
        <f>LEFT('Diagrama Tecnólogo'!M23,FIND(" ",'Diagrama Tecnólogo'!M23)-1)</f>
        <v>17</v>
      </c>
      <c r="C23" s="222" t="str">
        <f>TRIM(MID('Diagrama Tecnólogo'!M23,FIND("-",'Diagrama Tecnólogo'!M23)+1,200))</f>
        <v>Eletromagnetismo e Circuitos Trifasicos</v>
      </c>
      <c r="D23" s="224" t="s">
        <v>394</v>
      </c>
      <c r="E23" s="222">
        <v>3</v>
      </c>
      <c r="F23" s="222">
        <f>'Diagrama Tecnólogo'!M26</f>
        <v>75</v>
      </c>
      <c r="G23" s="222">
        <f>'Diagrama Tecnólogo'!N26</f>
        <v>15</v>
      </c>
      <c r="H23" s="222">
        <f>'Diagrama Tecnólogo'!O26</f>
        <v>90</v>
      </c>
    </row>
    <row r="24" spans="1:8" x14ac:dyDescent="0.25">
      <c r="A24" s="223" t="s">
        <v>251</v>
      </c>
      <c r="B24" s="223" t="str">
        <f>LEFT('Diagrama Tecnólogo'!M33,FIND(" ",'Diagrama Tecnólogo'!M33)-1)</f>
        <v>18</v>
      </c>
      <c r="C24" s="223" t="str">
        <f>TRIM(MID('Diagrama Tecnólogo'!M33,FIND("-",'Diagrama Tecnólogo'!M33)+1,200))</f>
        <v>Informática Industrial I</v>
      </c>
      <c r="D24" s="224" t="s">
        <v>395</v>
      </c>
      <c r="E24" s="223">
        <v>3</v>
      </c>
      <c r="F24" s="223">
        <f>'Diagrama Tecnólogo'!M36</f>
        <v>30</v>
      </c>
      <c r="G24" s="223">
        <f>'Diagrama Tecnólogo'!N36</f>
        <v>30</v>
      </c>
      <c r="H24" s="223">
        <f>'Diagrama Tecnólogo'!O36</f>
        <v>60</v>
      </c>
    </row>
    <row r="25" spans="1:8" x14ac:dyDescent="0.25">
      <c r="A25" s="222" t="s">
        <v>251</v>
      </c>
      <c r="B25" s="222" t="e">
        <f>LEFT('Diagrama Tecnólogo'!M38,FIND(" ",'Diagrama Tecnólogo'!M38)-1)</f>
        <v>#VALUE!</v>
      </c>
      <c r="C25" s="222" t="e">
        <f>TRIM(MID('Diagrama Tecnólogo'!M38,FIND("-",'Diagrama Tecnólogo'!M38)+1,200))</f>
        <v>#VALUE!</v>
      </c>
      <c r="D25" s="224" t="s">
        <v>395</v>
      </c>
      <c r="E25" s="222">
        <v>3</v>
      </c>
      <c r="F25" s="222">
        <f>'Diagrama Tecnólogo'!M41</f>
        <v>0</v>
      </c>
      <c r="G25" s="222">
        <f>'Diagrama Tecnólogo'!N41</f>
        <v>0</v>
      </c>
      <c r="H25" s="222">
        <f>'Diagrama Tecnólogo'!O41</f>
        <v>0</v>
      </c>
    </row>
    <row r="26" spans="1:8" x14ac:dyDescent="0.25">
      <c r="A26" s="223" t="s">
        <v>251</v>
      </c>
      <c r="B26" s="223" t="str">
        <f>LEFT('Diagrama Tecnólogo'!R8,FIND(" ",'Diagrama Tecnólogo'!R8)-1)</f>
        <v>19</v>
      </c>
      <c r="C26" s="223" t="str">
        <f>TRIM(MID('Diagrama Tecnólogo'!R8,FIND("-",'Diagrama Tecnólogo'!R8)+1,200))</f>
        <v>Atividades Curriculares de Extensão I</v>
      </c>
      <c r="D26" s="224" t="s">
        <v>367</v>
      </c>
      <c r="E26" s="223">
        <v>4</v>
      </c>
      <c r="F26" s="223">
        <f>'Diagrama Tecnólogo'!R11</f>
        <v>0</v>
      </c>
      <c r="G26" s="223">
        <f>'Diagrama Tecnólogo'!S11</f>
        <v>90</v>
      </c>
      <c r="H26" s="223">
        <f>'Diagrama Tecnólogo'!T11</f>
        <v>90</v>
      </c>
    </row>
    <row r="27" spans="1:8" x14ac:dyDescent="0.25">
      <c r="A27" s="222" t="s">
        <v>251</v>
      </c>
      <c r="B27" s="222" t="str">
        <f>LEFT('Diagrama Tecnólogo'!R13,FIND(" ",'Diagrama Tecnólogo'!R13)-1)</f>
        <v>20</v>
      </c>
      <c r="C27" s="222" t="str">
        <f>TRIM(MID('Diagrama Tecnólogo'!R13,FIND("-",'Diagrama Tecnólogo'!R13)+1,200))</f>
        <v>Eletrônica Analógica II</v>
      </c>
      <c r="D27" s="224" t="s">
        <v>395</v>
      </c>
      <c r="E27" s="222">
        <v>4</v>
      </c>
      <c r="F27" s="222">
        <f>'Diagrama Tecnólogo'!R16</f>
        <v>60</v>
      </c>
      <c r="G27" s="222">
        <f>'Diagrama Tecnólogo'!S16</f>
        <v>0</v>
      </c>
      <c r="H27" s="222">
        <f>'Diagrama Tecnólogo'!T16</f>
        <v>60</v>
      </c>
    </row>
    <row r="28" spans="1:8" x14ac:dyDescent="0.25">
      <c r="A28" s="223" t="s">
        <v>251</v>
      </c>
      <c r="B28" s="223" t="str">
        <f>LEFT('Diagrama Tecnólogo'!R18,FIND(" ",'Diagrama Tecnólogo'!R18)-1)</f>
        <v>21</v>
      </c>
      <c r="C28" s="223" t="str">
        <f>TRIM(MID('Diagrama Tecnólogo'!R18,FIND("-",'Diagrama Tecnólogo'!R18)+1,200))</f>
        <v>Experimental de Eletrônica Analógica II</v>
      </c>
      <c r="D28" s="224" t="s">
        <v>395</v>
      </c>
      <c r="E28" s="223">
        <v>4</v>
      </c>
      <c r="F28" s="223">
        <f>'Diagrama Tecnólogo'!R21</f>
        <v>0</v>
      </c>
      <c r="G28" s="223">
        <f>'Diagrama Tecnólogo'!S21</f>
        <v>30</v>
      </c>
      <c r="H28" s="223">
        <f>'Diagrama Tecnólogo'!T21</f>
        <v>30</v>
      </c>
    </row>
    <row r="29" spans="1:8" x14ac:dyDescent="0.25">
      <c r="A29" s="222" t="s">
        <v>251</v>
      </c>
      <c r="B29" s="222" t="str">
        <f>LEFT('Diagrama Tecnólogo'!R23,FIND(" ",'Diagrama Tecnólogo'!R23)-1)</f>
        <v>22</v>
      </c>
      <c r="C29" s="222" t="str">
        <f>TRIM(MID('Diagrama Tecnólogo'!R23,FIND("-",'Diagrama Tecnólogo'!R23)+1,200))</f>
        <v>Instrumentação e Dispositivos Inteligentes</v>
      </c>
      <c r="D29" s="224" t="s">
        <v>396</v>
      </c>
      <c r="E29" s="222">
        <v>4</v>
      </c>
      <c r="F29" s="222">
        <f>'Diagrama Tecnólogo'!R26</f>
        <v>30</v>
      </c>
      <c r="G29" s="222">
        <f>'Diagrama Tecnólogo'!S26</f>
        <v>30</v>
      </c>
      <c r="H29" s="222">
        <f>'Diagrama Tecnólogo'!T26</f>
        <v>60</v>
      </c>
    </row>
    <row r="30" spans="1:8" x14ac:dyDescent="0.25">
      <c r="A30" s="223" t="s">
        <v>251</v>
      </c>
      <c r="B30" s="223" t="str">
        <f>LEFT('Diagrama Tecnólogo'!R28,FIND(" ",'Diagrama Tecnólogo'!R28)-1)</f>
        <v>23</v>
      </c>
      <c r="C30" s="223" t="str">
        <f>TRIM(MID('Diagrama Tecnólogo'!R28,FIND("-",'Diagrama Tecnólogo'!R28)+1,200))</f>
        <v>Informática Industrial II</v>
      </c>
      <c r="D30" s="224" t="s">
        <v>396</v>
      </c>
      <c r="E30" s="223">
        <v>4</v>
      </c>
      <c r="F30" s="223">
        <f>'Diagrama Tecnólogo'!R31</f>
        <v>30</v>
      </c>
      <c r="G30" s="223">
        <f>'Diagrama Tecnólogo'!S31</f>
        <v>30</v>
      </c>
      <c r="H30" s="223">
        <f>'Diagrama Tecnólogo'!T31</f>
        <v>60</v>
      </c>
    </row>
    <row r="31" spans="1:8" x14ac:dyDescent="0.25">
      <c r="A31" s="222" t="s">
        <v>251</v>
      </c>
      <c r="B31" s="222" t="str">
        <f>LEFT('Diagrama Tecnólogo'!R33,FIND(" ",'Diagrama Tecnólogo'!R33)-1)</f>
        <v>24</v>
      </c>
      <c r="C31" s="222" t="str">
        <f>TRIM(MID('Diagrama Tecnólogo'!R33,FIND("-",'Diagrama Tecnólogo'!R33)+1,200))</f>
        <v>Redes Industriais para Controle e Automação I</v>
      </c>
      <c r="D31" s="224" t="s">
        <v>396</v>
      </c>
      <c r="E31" s="222">
        <v>4</v>
      </c>
      <c r="F31" s="222">
        <f>'Diagrama Tecnólogo'!R36</f>
        <v>60</v>
      </c>
      <c r="G31" s="222">
        <f>'Diagrama Tecnólogo'!S36</f>
        <v>30</v>
      </c>
      <c r="H31" s="222">
        <f>'Diagrama Tecnólogo'!T36</f>
        <v>90</v>
      </c>
    </row>
    <row r="32" spans="1:8" x14ac:dyDescent="0.25">
      <c r="A32" s="223" t="s">
        <v>251</v>
      </c>
      <c r="B32" s="223" t="str">
        <f>LEFT('Diagrama Tecnólogo'!R38,FIND(" ",'Diagrama Tecnólogo'!R38)-1)</f>
        <v>25</v>
      </c>
      <c r="C32" s="223" t="str">
        <f>TRIM(MID('Diagrama Tecnólogo'!R38,FIND("-",'Diagrama Tecnólogo'!R38)+1,200))</f>
        <v>Sinais e Sistemas II</v>
      </c>
      <c r="D32" s="224" t="s">
        <v>395</v>
      </c>
      <c r="E32" s="223">
        <v>4</v>
      </c>
      <c r="F32" s="223">
        <f>'Diagrama Tecnólogo'!R41</f>
        <v>60</v>
      </c>
      <c r="G32" s="223">
        <f>'Diagrama Tecnólogo'!S41</f>
        <v>0</v>
      </c>
      <c r="H32" s="223">
        <f>'Diagrama Tecnólogo'!T41</f>
        <v>60</v>
      </c>
    </row>
    <row r="33" spans="1:8" x14ac:dyDescent="0.25">
      <c r="A33" s="222" t="s">
        <v>251</v>
      </c>
      <c r="B33" s="222" t="str">
        <f>LEFT('Diagrama Tecnólogo'!W8,FIND(" ",'Diagrama Tecnólogo'!W8)-1)</f>
        <v>26</v>
      </c>
      <c r="C33" s="222" t="str">
        <f>TRIM(MID('Diagrama Tecnólogo'!W8,FIND("-",'Diagrama Tecnólogo'!W8)+1,200))</f>
        <v>Atividades Curriculares de Extensão II</v>
      </c>
      <c r="D33" s="224" t="s">
        <v>367</v>
      </c>
      <c r="E33" s="222">
        <v>5</v>
      </c>
      <c r="F33" s="222">
        <f>'Diagrama Tecnólogo'!W11</f>
        <v>0</v>
      </c>
      <c r="G33" s="222">
        <f>'Diagrama Tecnólogo'!X11</f>
        <v>90</v>
      </c>
      <c r="H33" s="222">
        <f>'Diagrama Tecnólogo'!Y11</f>
        <v>90</v>
      </c>
    </row>
    <row r="34" spans="1:8" x14ac:dyDescent="0.25">
      <c r="A34" s="223" t="s">
        <v>251</v>
      </c>
      <c r="B34" s="223" t="str">
        <f>LEFT('Diagrama Tecnólogo'!W13,FIND(" ",'Diagrama Tecnólogo'!W13)-1)</f>
        <v>27</v>
      </c>
      <c r="C34" s="223" t="str">
        <f>TRIM(MID('Diagrama Tecnólogo'!W13,FIND("-",'Diagrama Tecnólogo'!W13)+1,200))</f>
        <v>Conversão de Energia e Maquinas</v>
      </c>
      <c r="D34" s="224" t="s">
        <v>396</v>
      </c>
      <c r="E34" s="223">
        <v>5</v>
      </c>
      <c r="F34" s="223">
        <f>'Diagrama Tecnólogo'!W16</f>
        <v>45</v>
      </c>
      <c r="G34" s="223">
        <f>'Diagrama Tecnólogo'!X16</f>
        <v>15</v>
      </c>
      <c r="H34" s="223">
        <f>'Diagrama Tecnólogo'!Y16</f>
        <v>60</v>
      </c>
    </row>
    <row r="35" spans="1:8" x14ac:dyDescent="0.25">
      <c r="A35" s="222" t="s">
        <v>251</v>
      </c>
      <c r="B35" s="222" t="str">
        <f>LEFT('Diagrama Tecnólogo'!W18,FIND(" ",'Diagrama Tecnólogo'!W18)-1)</f>
        <v>28</v>
      </c>
      <c r="C35" s="222" t="str">
        <f>TRIM(MID('Diagrama Tecnólogo'!W18,FIND("-",'Diagrama Tecnólogo'!W18)+1,200))</f>
        <v>Experimental de Sistemas de Controle Realimentado</v>
      </c>
      <c r="D35" s="224" t="s">
        <v>396</v>
      </c>
      <c r="E35" s="222">
        <v>5</v>
      </c>
      <c r="F35" s="222">
        <f>'Diagrama Tecnólogo'!W21</f>
        <v>0</v>
      </c>
      <c r="G35" s="222">
        <f>'Diagrama Tecnólogo'!X21</f>
        <v>30</v>
      </c>
      <c r="H35" s="222">
        <f>'Diagrama Tecnólogo'!Y21</f>
        <v>30</v>
      </c>
    </row>
    <row r="36" spans="1:8" x14ac:dyDescent="0.25">
      <c r="A36" s="223" t="s">
        <v>251</v>
      </c>
      <c r="B36" s="223" t="str">
        <f>LEFT('Diagrama Tecnólogo'!W23,FIND(" ",'Diagrama Tecnólogo'!W23)-1)</f>
        <v>29</v>
      </c>
      <c r="C36" s="223" t="str">
        <f>TRIM(MID('Diagrama Tecnólogo'!W23,FIND("-",'Diagrama Tecnólogo'!W23)+1,200))</f>
        <v>Manipuladores Robóticos Industriais e Inteligentes</v>
      </c>
      <c r="D36" s="224" t="s">
        <v>396</v>
      </c>
      <c r="E36" s="223">
        <v>5</v>
      </c>
      <c r="F36" s="223">
        <f>'Diagrama Tecnólogo'!W26</f>
        <v>45</v>
      </c>
      <c r="G36" s="223">
        <f>'Diagrama Tecnólogo'!X26</f>
        <v>15</v>
      </c>
      <c r="H36" s="223">
        <f>'Diagrama Tecnólogo'!Y26</f>
        <v>60</v>
      </c>
    </row>
    <row r="37" spans="1:8" x14ac:dyDescent="0.25">
      <c r="A37" s="222" t="s">
        <v>251</v>
      </c>
      <c r="B37" s="222" t="str">
        <f>LEFT('Diagrama Tecnólogo'!W28,FIND(" ",'Diagrama Tecnólogo'!W28)-1)</f>
        <v>30</v>
      </c>
      <c r="C37" s="222" t="str">
        <f>TRIM(MID('Diagrama Tecnólogo'!W28,FIND("-",'Diagrama Tecnólogo'!W28)+1,200))</f>
        <v>Redes Industriais para Controle e Automação II</v>
      </c>
      <c r="D37" s="224" t="s">
        <v>396</v>
      </c>
      <c r="E37" s="222">
        <v>5</v>
      </c>
      <c r="F37" s="222">
        <f>'Diagrama Tecnólogo'!W31</f>
        <v>45</v>
      </c>
      <c r="G37" s="222">
        <f>'Diagrama Tecnólogo'!X31</f>
        <v>30</v>
      </c>
      <c r="H37" s="222">
        <f>'Diagrama Tecnólogo'!Y31</f>
        <v>75</v>
      </c>
    </row>
    <row r="38" spans="1:8" x14ac:dyDescent="0.25">
      <c r="A38" s="223" t="s">
        <v>251</v>
      </c>
      <c r="B38" s="223" t="str">
        <f>LEFT('Diagrama Tecnólogo'!W33,FIND(" ",'Diagrama Tecnólogo'!W33)-1)</f>
        <v>31</v>
      </c>
      <c r="C38" s="223" t="str">
        <f>TRIM(MID('Diagrama Tecnólogo'!W33,FIND("-",'Diagrama Tecnólogo'!W33)+1,200))</f>
        <v>Sistemas de Controle Realimentado</v>
      </c>
      <c r="D38" s="224" t="s">
        <v>396</v>
      </c>
      <c r="E38" s="223">
        <v>5</v>
      </c>
      <c r="F38" s="223">
        <f>'Diagrama Tecnólogo'!W36</f>
        <v>60</v>
      </c>
      <c r="G38" s="223">
        <f>'Diagrama Tecnólogo'!X36</f>
        <v>30</v>
      </c>
      <c r="H38" s="223">
        <f>'Diagrama Tecnólogo'!Y36</f>
        <v>90</v>
      </c>
    </row>
    <row r="39" spans="1:8" x14ac:dyDescent="0.25">
      <c r="A39" s="222" t="s">
        <v>251</v>
      </c>
      <c r="B39" s="222" t="str">
        <f>LEFT('Diagrama Tecnólogo'!W38,FIND(" ",'Diagrama Tecnólogo'!W38)-1)</f>
        <v>32</v>
      </c>
      <c r="C39" s="222" t="str">
        <f>TRIM(MID('Diagrama Tecnólogo'!W38,FIND("-",'Diagrama Tecnólogo'!W38)+1,200))</f>
        <v>Optativa</v>
      </c>
      <c r="D39" s="224" t="s">
        <v>276</v>
      </c>
      <c r="E39" s="222">
        <v>5</v>
      </c>
      <c r="F39" s="222">
        <f>'Diagrama Tecnólogo'!W41</f>
        <v>45</v>
      </c>
      <c r="G39" s="222">
        <f>'Diagrama Tecnólogo'!X41</f>
        <v>30</v>
      </c>
      <c r="H39" s="222">
        <f>'Diagrama Tecnólogo'!Y41</f>
        <v>75</v>
      </c>
    </row>
    <row r="40" spans="1:8" x14ac:dyDescent="0.25">
      <c r="A40" s="223" t="s">
        <v>251</v>
      </c>
      <c r="B40" s="223" t="str">
        <f>LEFT('Diagrama Tecnólogo'!AB8,FIND(" ",'Diagrama Tecnólogo'!AB8)-1)</f>
        <v>33</v>
      </c>
      <c r="C40" s="223" t="str">
        <f>TRIM(MID('Diagrama Tecnólogo'!AB8,FIND("-",'Diagrama Tecnólogo'!AB8)+1,200))</f>
        <v>Atividades Curriculares de Extensão III</v>
      </c>
      <c r="D40" s="224" t="s">
        <v>367</v>
      </c>
      <c r="E40" s="223">
        <v>6</v>
      </c>
      <c r="F40" s="223">
        <f>'Diagrama Tecnólogo'!AB11</f>
        <v>0</v>
      </c>
      <c r="G40" s="223">
        <f>'Diagrama Tecnólogo'!AC11</f>
        <v>60</v>
      </c>
      <c r="H40" s="223">
        <f>'Diagrama Tecnólogo'!AD11</f>
        <v>60</v>
      </c>
    </row>
    <row r="41" spans="1:8" x14ac:dyDescent="0.25">
      <c r="A41" s="222" t="s">
        <v>251</v>
      </c>
      <c r="B41" s="222" t="str">
        <f>LEFT('Diagrama Tecnólogo'!AB13,FIND(" ",'Diagrama Tecnólogo'!AB13)-1)</f>
        <v>34</v>
      </c>
      <c r="C41" s="222" t="str">
        <f>TRIM(MID('Diagrama Tecnólogo'!AB13,FIND("-",'Diagrama Tecnólogo'!AB13)+1,200))</f>
        <v>Instalação, Proteção e Especificação de Sistemas Industriais</v>
      </c>
      <c r="D41" s="224" t="s">
        <v>396</v>
      </c>
      <c r="E41" s="222">
        <v>6</v>
      </c>
      <c r="F41" s="222">
        <f>'Diagrama Tecnólogo'!AB16</f>
        <v>30</v>
      </c>
      <c r="G41" s="222">
        <f>'Diagrama Tecnólogo'!AC16</f>
        <v>30</v>
      </c>
      <c r="H41" s="222">
        <f>'Diagrama Tecnólogo'!AD16</f>
        <v>60</v>
      </c>
    </row>
    <row r="42" spans="1:8" x14ac:dyDescent="0.25">
      <c r="A42" s="223" t="s">
        <v>251</v>
      </c>
      <c r="B42" s="223" t="str">
        <f>LEFT('Diagrama Tecnólogo'!AB18,FIND(" ",'Diagrama Tecnólogo'!AB18)-1)</f>
        <v>35</v>
      </c>
      <c r="C42" s="223" t="str">
        <f>TRIM(MID('Diagrama Tecnólogo'!AB18,FIND("-",'Diagrama Tecnólogo'!AB18)+1,200))</f>
        <v>Experimental de Instalações Elétricas</v>
      </c>
      <c r="D42" s="224" t="s">
        <v>396</v>
      </c>
      <c r="E42" s="223">
        <v>6</v>
      </c>
      <c r="F42" s="223">
        <f>'Diagrama Tecnólogo'!AB21</f>
        <v>0</v>
      </c>
      <c r="G42" s="223">
        <f>'Diagrama Tecnólogo'!AC21</f>
        <v>30</v>
      </c>
      <c r="H42" s="223">
        <f>'Diagrama Tecnólogo'!AD21</f>
        <v>30</v>
      </c>
    </row>
    <row r="43" spans="1:8" x14ac:dyDescent="0.25">
      <c r="A43" s="222" t="s">
        <v>251</v>
      </c>
      <c r="B43" s="222" t="str">
        <f>LEFT('Diagrama Tecnólogo'!AB23,FIND(" ",'Diagrama Tecnólogo'!AB23)-1)</f>
        <v>36</v>
      </c>
      <c r="C43" s="222" t="str">
        <f>TRIM(MID('Diagrama Tecnólogo'!AB23,FIND("-",'Diagrama Tecnólogo'!AB23)+1,200))</f>
        <v>Instalações Elétricas</v>
      </c>
      <c r="D43" s="224" t="s">
        <v>396</v>
      </c>
      <c r="E43" s="222">
        <v>6</v>
      </c>
      <c r="F43" s="222">
        <f>'Diagrama Tecnólogo'!AB26</f>
        <v>30</v>
      </c>
      <c r="G43" s="222">
        <f>'Diagrama Tecnólogo'!AC26</f>
        <v>0</v>
      </c>
      <c r="H43" s="222">
        <f>'Diagrama Tecnólogo'!AD26</f>
        <v>30</v>
      </c>
    </row>
    <row r="44" spans="1:8" x14ac:dyDescent="0.25">
      <c r="A44" s="223" t="s">
        <v>251</v>
      </c>
      <c r="B44" s="223" t="str">
        <f>LEFT('Diagrama Tecnólogo'!AB28,FIND(" ",'Diagrama Tecnólogo'!AB28)-1)</f>
        <v>37</v>
      </c>
      <c r="C44" s="223" t="str">
        <f>TRIM(MID('Diagrama Tecnólogo'!AB28,FIND("-",'Diagrama Tecnólogo'!AB28)+1,200))</f>
        <v>Estágio Supervisionado Obrigatório (**)</v>
      </c>
      <c r="D44" s="224" t="s">
        <v>375</v>
      </c>
      <c r="E44" s="223">
        <v>6</v>
      </c>
      <c r="F44" s="223">
        <f>'Diagrama Tecnólogo'!AB31</f>
        <v>0</v>
      </c>
      <c r="G44" s="223">
        <f>'Diagrama Tecnólogo'!AC31</f>
        <v>160</v>
      </c>
      <c r="H44" s="223">
        <f>'Diagrama Tecnólogo'!AD31</f>
        <v>160</v>
      </c>
    </row>
    <row r="45" spans="1:8" x14ac:dyDescent="0.25">
      <c r="A45" s="222" t="s">
        <v>251</v>
      </c>
      <c r="B45" s="222" t="str">
        <f>LEFT('Diagrama Tecnólogo'!AB33,FIND(" ",'Diagrama Tecnólogo'!AB33)-1)</f>
        <v>38</v>
      </c>
      <c r="C45" s="222" t="str">
        <f>TRIM(MID('Diagrama Tecnólogo'!AB33,FIND("-",'Diagrama Tecnólogo'!AB33)+1,200))</f>
        <v>Atividades Complementares</v>
      </c>
      <c r="D45" s="224" t="s">
        <v>397</v>
      </c>
      <c r="E45" s="222">
        <v>6</v>
      </c>
      <c r="F45" s="222">
        <f>'Diagrama Tecnólogo'!AB36</f>
        <v>0</v>
      </c>
      <c r="G45" s="222">
        <f>'Diagrama Tecnólogo'!AC36</f>
        <v>80</v>
      </c>
      <c r="H45" s="222">
        <f>'Diagrama Tecnólogo'!AD36</f>
        <v>80</v>
      </c>
    </row>
    <row r="46" spans="1:8" x14ac:dyDescent="0.25">
      <c r="A46" s="224" t="s">
        <v>276</v>
      </c>
      <c r="B46" s="224" t="str">
        <f>LEFT('Diagrama Tecnólogo'!C52,FIND(" ",'Diagrama Tecnólogo'!C52)-1)</f>
        <v>1</v>
      </c>
      <c r="C46" s="224" t="str">
        <f>TRIM(MID('Diagrama Tecnólogo'!C52,FIND("-",'Diagrama Tecnólogo'!C52)+1,200))</f>
        <v>Dispositivos Ciberfísicos Inteligentes para Automação</v>
      </c>
      <c r="D46" s="224" t="s">
        <v>276</v>
      </c>
      <c r="E46" s="224" t="s">
        <v>393</v>
      </c>
      <c r="F46" s="224">
        <f>'Diagrama Tecnólogo'!C55</f>
        <v>45</v>
      </c>
      <c r="G46" s="224">
        <f>'Diagrama Tecnólogo'!D55</f>
        <v>30</v>
      </c>
      <c r="H46" s="224">
        <f>'Diagrama Tecnólogo'!E55</f>
        <v>75</v>
      </c>
    </row>
    <row r="47" spans="1:8" x14ac:dyDescent="0.25">
      <c r="A47" s="224" t="s">
        <v>276</v>
      </c>
      <c r="B47" s="224" t="str">
        <f>LEFT('Diagrama Tecnólogo'!H52,FIND(" ",'Diagrama Tecnólogo'!H52)-1)</f>
        <v>2</v>
      </c>
      <c r="C47" s="224" t="str">
        <f>TRIM(MID('Diagrama Tecnólogo'!H52,FIND("-",'Diagrama Tecnólogo'!H52)+1,200))</f>
        <v>Automação Residencial e Predial</v>
      </c>
      <c r="D47" s="224" t="s">
        <v>276</v>
      </c>
      <c r="E47" s="224" t="s">
        <v>393</v>
      </c>
      <c r="F47" s="224">
        <f>'Diagrama Tecnólogo'!H55</f>
        <v>45</v>
      </c>
      <c r="G47" s="224">
        <f>'Diagrama Tecnólogo'!I55</f>
        <v>15</v>
      </c>
      <c r="H47" s="224">
        <f>'Diagrama Tecnólogo'!J55</f>
        <v>60</v>
      </c>
    </row>
    <row r="48" spans="1:8" x14ac:dyDescent="0.25">
      <c r="A48" s="224" t="s">
        <v>276</v>
      </c>
      <c r="B48" s="224" t="str">
        <f>LEFT('Diagrama Tecnólogo'!M52,FIND(" ",'Diagrama Tecnólogo'!M52)-1)</f>
        <v>3</v>
      </c>
      <c r="C48" s="224" t="str">
        <f>TRIM(MID('Diagrama Tecnólogo'!M52,FIND("-",'Diagrama Tecnólogo'!M52)+1,200))</f>
        <v>Eficiência em Sistemas de Energia</v>
      </c>
      <c r="D48" s="224" t="s">
        <v>276</v>
      </c>
      <c r="E48" s="224" t="s">
        <v>393</v>
      </c>
      <c r="F48" s="224">
        <f>'Diagrama Tecnólogo'!M55</f>
        <v>45</v>
      </c>
      <c r="G48" s="224">
        <f>'Diagrama Tecnólogo'!N55</f>
        <v>15</v>
      </c>
      <c r="H48" s="224">
        <f>'Diagrama Tecnólogo'!O55</f>
        <v>60</v>
      </c>
    </row>
    <row r="49" spans="1:8" x14ac:dyDescent="0.25">
      <c r="A49" s="224" t="s">
        <v>276</v>
      </c>
      <c r="B49" s="224" t="str">
        <f>LEFT('Diagrama Tecnólogo'!R52,FIND(" ",'Diagrama Tecnólogo'!R52)-1)</f>
        <v>4</v>
      </c>
      <c r="C49" s="224" t="str">
        <f>TRIM(MID('Diagrama Tecnólogo'!R52,FIND("-",'Diagrama Tecnólogo'!R52)+1,200))</f>
        <v>Fabricação Assistida por Computador</v>
      </c>
      <c r="D49" s="224" t="s">
        <v>276</v>
      </c>
      <c r="E49" s="224" t="s">
        <v>393</v>
      </c>
      <c r="F49" s="224">
        <f>'Diagrama Tecnólogo'!R55</f>
        <v>30</v>
      </c>
      <c r="G49" s="224">
        <f>'Diagrama Tecnólogo'!S55</f>
        <v>0</v>
      </c>
      <c r="H49" s="224">
        <f>'Diagrama Tecnólogo'!T55</f>
        <v>30</v>
      </c>
    </row>
    <row r="50" spans="1:8" x14ac:dyDescent="0.25">
      <c r="A50" s="224" t="s">
        <v>276</v>
      </c>
      <c r="B50" s="224" t="str">
        <f>LEFT('Diagrama Tecnólogo'!W52,FIND(" ",'Diagrama Tecnólogo'!W52)-1)</f>
        <v>5</v>
      </c>
      <c r="C50" s="224" t="str">
        <f>TRIM(MID('Diagrama Tecnólogo'!W52,FIND("-",'Diagrama Tecnólogo'!W52)+1,200))</f>
        <v>Fontes Renováveis não Convencionais - Técnicas e Aplicações</v>
      </c>
      <c r="D50" s="224" t="s">
        <v>276</v>
      </c>
      <c r="E50" s="224" t="s">
        <v>393</v>
      </c>
      <c r="F50" s="224">
        <f>'Diagrama Tecnólogo'!W55</f>
        <v>45</v>
      </c>
      <c r="G50" s="224">
        <f>'Diagrama Tecnólogo'!X55</f>
        <v>15</v>
      </c>
      <c r="H50" s="224">
        <f>'Diagrama Tecnólogo'!Y55</f>
        <v>60</v>
      </c>
    </row>
    <row r="51" spans="1:8" x14ac:dyDescent="0.25">
      <c r="A51" s="224" t="s">
        <v>276</v>
      </c>
      <c r="B51" s="224" t="str">
        <f>LEFT('Diagrama Tecnólogo'!AB52,FIND(" ",'Diagrama Tecnólogo'!AB52)-1)</f>
        <v>6</v>
      </c>
      <c r="C51" s="224" t="str">
        <f>TRIM(MID('Diagrama Tecnólogo'!AB52,FIND("-",'Diagrama Tecnólogo'!AB52)+1,200))</f>
        <v>Gestão dos Sistemas de Produção</v>
      </c>
      <c r="D51" s="224" t="s">
        <v>276</v>
      </c>
      <c r="E51" s="224" t="s">
        <v>393</v>
      </c>
      <c r="F51" s="224">
        <f>'Diagrama Tecnólogo'!AB55</f>
        <v>45</v>
      </c>
      <c r="G51" s="224">
        <f>'Diagrama Tecnólogo'!AC55</f>
        <v>0</v>
      </c>
      <c r="H51" s="224">
        <f>'Diagrama Tecnólogo'!AD55</f>
        <v>45</v>
      </c>
    </row>
    <row r="52" spans="1:8" x14ac:dyDescent="0.25">
      <c r="A52" s="224" t="s">
        <v>276</v>
      </c>
      <c r="B52" s="224" t="str">
        <f>LEFT('Diagrama Tecnólogo'!AG52,FIND(" ",'Diagrama Tecnólogo'!AG52)-1)</f>
        <v>7</v>
      </c>
      <c r="C52" s="224" t="str">
        <f>TRIM(MID('Diagrama Tecnólogo'!AG52,FIND("-",'Diagrama Tecnólogo'!AG52)+1,200))</f>
        <v>Língua 
Brasileira de
Sinais - LIBRAS I</v>
      </c>
      <c r="D52" s="224" t="s">
        <v>276</v>
      </c>
      <c r="E52" s="224" t="s">
        <v>393</v>
      </c>
      <c r="F52" s="224">
        <f>'Diagrama Tecnólogo'!AG55</f>
        <v>30</v>
      </c>
      <c r="G52" s="224">
        <f>'Diagrama Tecnólogo'!AH55</f>
        <v>30</v>
      </c>
      <c r="H52" s="224">
        <f>'Diagrama Tecnólogo'!AI55</f>
        <v>60</v>
      </c>
    </row>
    <row r="53" spans="1:8" x14ac:dyDescent="0.25">
      <c r="A53" s="224" t="s">
        <v>276</v>
      </c>
      <c r="B53" s="224" t="str">
        <f>LEFT('Diagrama Tecnólogo'!AL52,FIND(" ",'Diagrama Tecnólogo'!AL52)-1)</f>
        <v>8</v>
      </c>
      <c r="C53" s="224" t="str">
        <f>TRIM(MID('Diagrama Tecnólogo'!AL52,FIND("-",'Diagrama Tecnólogo'!AL52)+1,200))</f>
        <v>Materiais e Equip. Elétricos e Eletrônicos</v>
      </c>
      <c r="D53" s="224" t="s">
        <v>276</v>
      </c>
      <c r="E53" s="224" t="s">
        <v>393</v>
      </c>
      <c r="F53" s="224">
        <f>'Diagrama Tecnólogo'!AL55</f>
        <v>45</v>
      </c>
      <c r="G53" s="224">
        <f>'Diagrama Tecnólogo'!AM55</f>
        <v>15</v>
      </c>
      <c r="H53" s="224">
        <f>'Diagrama Tecnólogo'!AN55</f>
        <v>60</v>
      </c>
    </row>
    <row r="54" spans="1:8" x14ac:dyDescent="0.25">
      <c r="A54" s="224" t="s">
        <v>276</v>
      </c>
      <c r="B54" s="224" t="str">
        <f>LEFT('Diagrama Tecnólogo'!AQ52,FIND(" ",'Diagrama Tecnólogo'!AQ52)-1)</f>
        <v>9</v>
      </c>
      <c r="C54" s="224" t="str">
        <f>TRIM(MID('Diagrama Tecnólogo'!AQ52,FIND("-",'Diagrama Tecnólogo'!AQ52)+1,200))</f>
        <v>Metodologia da Pesquisa e Escrita Científica</v>
      </c>
      <c r="D54" s="224" t="s">
        <v>276</v>
      </c>
      <c r="E54" s="224" t="s">
        <v>393</v>
      </c>
      <c r="F54" s="224">
        <f>'Diagrama Tecnólogo'!AQ55</f>
        <v>60</v>
      </c>
      <c r="G54" s="224">
        <f>'Diagrama Tecnólogo'!AR55</f>
        <v>0</v>
      </c>
      <c r="H54" s="224">
        <f>'Diagrama Tecnólogo'!AS55</f>
        <v>60</v>
      </c>
    </row>
    <row r="55" spans="1:8" x14ac:dyDescent="0.25">
      <c r="A55" s="224" t="s">
        <v>276</v>
      </c>
      <c r="B55" s="224" t="str">
        <f>LEFT('Diagrama Tecnólogo'!AV52,FIND(" ",'Diagrama Tecnólogo'!AV52)-1)</f>
        <v>10</v>
      </c>
      <c r="C55" s="224" t="str">
        <f>TRIM(MID('Diagrama Tecnólogo'!AV52,FIND("-",'Diagrama Tecnólogo'!AV52)+1,200))</f>
        <v>Processamento Digital de Sinais</v>
      </c>
      <c r="D55" s="224" t="s">
        <v>276</v>
      </c>
      <c r="E55" s="224" t="s">
        <v>393</v>
      </c>
      <c r="F55" s="224">
        <f>'Diagrama Tecnólogo'!AV55</f>
        <v>45</v>
      </c>
      <c r="G55" s="224">
        <f>'Diagrama Tecnólogo'!AW55</f>
        <v>15</v>
      </c>
      <c r="H55" s="224">
        <f>'Diagrama Tecnólogo'!AX55</f>
        <v>60</v>
      </c>
    </row>
    <row r="56" spans="1:8" x14ac:dyDescent="0.25">
      <c r="A56" s="224" t="s">
        <v>276</v>
      </c>
      <c r="B56" s="224" t="str">
        <f>LEFT('Diagrama Tecnólogo'!C57,FIND(" ",'Diagrama Tecnólogo'!C57)-1)</f>
        <v>11</v>
      </c>
      <c r="C56" s="224" t="str">
        <f>TRIM(MID('Diagrama Tecnólogo'!C57,FIND("-",'Diagrama Tecnólogo'!C57)+1,200))</f>
        <v>Programação Orientada a Objetos</v>
      </c>
      <c r="D56" s="224" t="s">
        <v>276</v>
      </c>
      <c r="E56" s="224" t="s">
        <v>393</v>
      </c>
      <c r="F56" s="224">
        <f>'Diagrama Tecnólogo'!C60</f>
        <v>30</v>
      </c>
      <c r="G56" s="224">
        <f>'Diagrama Tecnólogo'!D60</f>
        <v>30</v>
      </c>
      <c r="H56" s="224">
        <f>'Diagrama Tecnólogo'!E60</f>
        <v>60</v>
      </c>
    </row>
    <row r="57" spans="1:8" x14ac:dyDescent="0.25">
      <c r="A57" s="224" t="s">
        <v>276</v>
      </c>
      <c r="B57" s="224" t="str">
        <f>LEFT('Diagrama Tecnólogo'!H57,FIND(" ",'Diagrama Tecnólogo'!H57)-1)</f>
        <v>12</v>
      </c>
      <c r="C57" s="224" t="str">
        <f>TRIM(MID('Diagrama Tecnólogo'!H57,FIND("-",'Diagrama Tecnólogo'!H57)+1,200))</f>
        <v>Sistemas Computacionais em Tempo Real</v>
      </c>
      <c r="D57" s="224" t="s">
        <v>276</v>
      </c>
      <c r="E57" s="224" t="s">
        <v>393</v>
      </c>
      <c r="F57" s="224">
        <f>'Diagrama Tecnólogo'!H60</f>
        <v>30</v>
      </c>
      <c r="G57" s="224">
        <f>'Diagrama Tecnólogo'!I60</f>
        <v>15</v>
      </c>
      <c r="H57" s="224">
        <f>'Diagrama Tecnólogo'!J60</f>
        <v>45</v>
      </c>
    </row>
    <row r="58" spans="1:8" x14ac:dyDescent="0.25">
      <c r="A58" s="224" t="s">
        <v>276</v>
      </c>
      <c r="B58" s="224" t="str">
        <f>LEFT('Diagrama Tecnólogo'!M57,FIND(" ",'Diagrama Tecnólogo'!M57)-1)</f>
        <v>13</v>
      </c>
      <c r="C58" s="224" t="str">
        <f>TRIM(MID('Diagrama Tecnólogo'!M57,FIND("-",'Diagrama Tecnólogo'!M57)+1,200))</f>
        <v>Sistemas de Gestão e Manutenção na Automação</v>
      </c>
      <c r="D58" s="224" t="s">
        <v>276</v>
      </c>
      <c r="E58" s="224" t="s">
        <v>393</v>
      </c>
      <c r="F58" s="224">
        <f>'Diagrama Tecnólogo'!M60</f>
        <v>60</v>
      </c>
      <c r="G58" s="224">
        <f>'Diagrama Tecnólogo'!N60</f>
        <v>0</v>
      </c>
      <c r="H58" s="224">
        <f>'Diagrama Tecnólogo'!O60</f>
        <v>60</v>
      </c>
    </row>
    <row r="59" spans="1:8" x14ac:dyDescent="0.25">
      <c r="A59" s="224" t="s">
        <v>276</v>
      </c>
      <c r="B59" s="224" t="str">
        <f>LEFT('Diagrama Tecnólogo'!R57,FIND(" ",'Diagrama Tecnólogo'!R57)-1)</f>
        <v>14</v>
      </c>
      <c r="C59" s="224" t="str">
        <f>TRIM(MID('Diagrama Tecnólogo'!R57,FIND("-",'Diagrama Tecnólogo'!R57)+1,200))</f>
        <v>Sistemas Distribuídos</v>
      </c>
      <c r="D59" s="224" t="s">
        <v>276</v>
      </c>
      <c r="E59" s="224" t="s">
        <v>393</v>
      </c>
      <c r="F59" s="224">
        <f>'Diagrama Tecnólogo'!R60</f>
        <v>30</v>
      </c>
      <c r="G59" s="224">
        <f>'Diagrama Tecnólogo'!S60</f>
        <v>15</v>
      </c>
      <c r="H59" s="224">
        <f>'Diagrama Tecnólogo'!T60</f>
        <v>45</v>
      </c>
    </row>
    <row r="60" spans="1:8" x14ac:dyDescent="0.25">
      <c r="A60" s="224" t="s">
        <v>276</v>
      </c>
      <c r="B60" s="224" t="str">
        <f>LEFT('Diagrama Tecnólogo'!W57,FIND(" ",'Diagrama Tecnólogo'!W57)-1)</f>
        <v>15</v>
      </c>
      <c r="C60" s="224" t="str">
        <f>TRIM(MID('Diagrama Tecnólogo'!W57,FIND("-",'Diagrama Tecnólogo'!W57)+1,200))</f>
        <v>Instalações Industriais</v>
      </c>
      <c r="D60" s="224" t="s">
        <v>276</v>
      </c>
      <c r="E60" s="224" t="s">
        <v>393</v>
      </c>
      <c r="F60" s="224">
        <f>'Diagrama Tecnólogo'!W60</f>
        <v>45</v>
      </c>
      <c r="G60" s="224">
        <f>'Diagrama Tecnólogo'!X60</f>
        <v>15</v>
      </c>
      <c r="H60" s="224">
        <f>'Diagrama Tecnólogo'!Y60</f>
        <v>60</v>
      </c>
    </row>
    <row r="61" spans="1:8" x14ac:dyDescent="0.25">
      <c r="A61" s="224" t="s">
        <v>276</v>
      </c>
      <c r="B61" s="224" t="str">
        <f>LEFT('Diagrama Tecnólogo'!AB57,FIND(" ",'Diagrama Tecnólogo'!AB57)-1)</f>
        <v>16</v>
      </c>
      <c r="C61" s="224" t="str">
        <f>TRIM(MID('Diagrama Tecnólogo'!AB57,FIND("-",'Diagrama Tecnólogo'!AB57)+1,200))</f>
        <v>Tópicos Especiais em Engenharia de Controle e Automação I (***)</v>
      </c>
      <c r="D61" s="224" t="s">
        <v>276</v>
      </c>
      <c r="E61" s="224" t="s">
        <v>393</v>
      </c>
      <c r="F61" s="224">
        <f>'Diagrama Tecnólogo'!AB60</f>
        <v>60</v>
      </c>
      <c r="G61" s="224">
        <f>'Diagrama Tecnólogo'!AC60</f>
        <v>0</v>
      </c>
      <c r="H61" s="224">
        <f>'Diagrama Tecnólogo'!AD60</f>
        <v>60</v>
      </c>
    </row>
    <row r="62" spans="1:8" x14ac:dyDescent="0.25">
      <c r="A62" s="224" t="s">
        <v>276</v>
      </c>
      <c r="B62" s="224" t="str">
        <f>LEFT('Diagrama Tecnólogo'!AG57,FIND(" ",'Diagrama Tecnólogo'!AG57)-1)</f>
        <v>17</v>
      </c>
      <c r="C62" s="224" t="str">
        <f>TRIM(MID('Diagrama Tecnólogo'!AG57,FIND("-",'Diagrama Tecnólogo'!AG57)+1,200))</f>
        <v>Tópicos Especiais em Engenharia de Controle e Automação II (***)</v>
      </c>
      <c r="D62" s="224" t="s">
        <v>276</v>
      </c>
      <c r="E62" s="224" t="s">
        <v>393</v>
      </c>
      <c r="F62" s="224">
        <f>'Diagrama Tecnólogo'!AG60</f>
        <v>60</v>
      </c>
      <c r="G62" s="224">
        <f>'Diagrama Tecnólogo'!AH60</f>
        <v>0</v>
      </c>
      <c r="H62" s="224">
        <f>'Diagrama Tecnólogo'!AI60</f>
        <v>60</v>
      </c>
    </row>
    <row r="63" spans="1:8" x14ac:dyDescent="0.25">
      <c r="A63" s="224" t="s">
        <v>276</v>
      </c>
      <c r="B63" s="224" t="str">
        <f>LEFT('Diagrama Tecnólogo'!AL57,FIND(" ",'Diagrama Tecnólogo'!AL57)-1)</f>
        <v>18</v>
      </c>
      <c r="C63" s="224" t="str">
        <f>TRIM(MID('Diagrama Tecnólogo'!AL57,FIND("-",'Diagrama Tecnólogo'!AL57)+1,200))</f>
        <v>Tópicos Especiais em Engenharia de Controle e Automação III (***)</v>
      </c>
      <c r="D63" s="224" t="s">
        <v>276</v>
      </c>
      <c r="E63" s="224" t="s">
        <v>393</v>
      </c>
      <c r="F63" s="224">
        <f>'Diagrama Tecnólogo'!AL60</f>
        <v>60</v>
      </c>
      <c r="G63" s="224">
        <f>'Diagrama Tecnólogo'!AM60</f>
        <v>0</v>
      </c>
      <c r="H63" s="224">
        <f>'Diagrama Tecnólogo'!AN60</f>
        <v>60</v>
      </c>
    </row>
    <row r="64" spans="1:8" x14ac:dyDescent="0.25">
      <c r="A64" s="224" t="s">
        <v>276</v>
      </c>
      <c r="B64" s="224" t="str">
        <f>LEFT('Diagrama Tecnólogo'!AQ57,FIND(" ",'Diagrama Tecnólogo'!AQ57)-1)</f>
        <v>19</v>
      </c>
      <c r="C64" s="224" t="str">
        <f>TRIM(MID('Diagrama Tecnólogo'!AQ57,FIND("-",'Diagrama Tecnólogo'!AQ57)+1,200))</f>
        <v>Tópicos Especiais em Engenharia de Controle e Automação IV (***)</v>
      </c>
      <c r="D64" s="224" t="s">
        <v>276</v>
      </c>
      <c r="E64" s="224" t="s">
        <v>393</v>
      </c>
      <c r="F64" s="224">
        <f>'Diagrama Tecnólogo'!AQ60</f>
        <v>60</v>
      </c>
      <c r="G64" s="224">
        <f>'Diagrama Tecnólogo'!AR60</f>
        <v>0</v>
      </c>
      <c r="H64" s="224">
        <f>'Diagrama Tecnólogo'!AS60</f>
        <v>60</v>
      </c>
    </row>
  </sheetData>
  <dataValidations count="1">
    <dataValidation type="list" allowBlank="1" showInputMessage="1" showErrorMessage="1" promptTitle="Núcleo" prompt="Selecione o núcleo da disciplina" sqref="D5:D45" xr:uid="{06F71ADF-AECA-4A39-8E10-D0F1641B7B6A}">
      <formula1>"Básico,Profissionalizante,Específico,Extensão,Estágio,Complementar,Demais"</formula1>
    </dataValidation>
  </dataValidation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40E0EE-276B-492C-9907-D95F0B91F5EF}">
  <dimension ref="B2:F66"/>
  <sheetViews>
    <sheetView zoomScale="115" zoomScaleNormal="115" workbookViewId="0">
      <selection activeCell="H61" sqref="H61"/>
    </sheetView>
  </sheetViews>
  <sheetFormatPr defaultRowHeight="15" x14ac:dyDescent="0.25"/>
  <cols>
    <col min="1" max="1" width="2.28515625" customWidth="1"/>
    <col min="2" max="2" width="21.7109375" style="79" customWidth="1"/>
    <col min="3" max="3" width="21.28515625" style="79" customWidth="1"/>
    <col min="4" max="4" width="13.140625" style="79" customWidth="1"/>
    <col min="5" max="5" width="14.7109375" style="79" customWidth="1"/>
    <col min="6" max="6" width="14" style="79" customWidth="1"/>
  </cols>
  <sheetData>
    <row r="2" spans="2:6" ht="42.75" x14ac:dyDescent="0.25">
      <c r="B2" s="200" t="s">
        <v>317</v>
      </c>
      <c r="C2" s="200" t="s">
        <v>318</v>
      </c>
      <c r="D2" s="200" t="s">
        <v>319</v>
      </c>
      <c r="E2" s="200" t="s">
        <v>320</v>
      </c>
      <c r="F2" s="200" t="s">
        <v>321</v>
      </c>
    </row>
    <row r="3" spans="2:6" ht="45" x14ac:dyDescent="0.25">
      <c r="B3" s="201" t="str">
        <f>TRIM(MID('Diagrama Tecnólogo'!C8,FIND("-",'Diagrama Tecnólogo'!C8)+1,200))</f>
        <v>Cálculo Diferencial e Integral I</v>
      </c>
      <c r="C3" s="201" t="s">
        <v>322</v>
      </c>
      <c r="D3" s="201" t="s">
        <v>323</v>
      </c>
      <c r="E3" s="201" t="s">
        <v>324</v>
      </c>
      <c r="F3" s="202" t="s">
        <v>325</v>
      </c>
    </row>
    <row r="4" spans="2:6" ht="30" x14ac:dyDescent="0.25">
      <c r="B4" s="201" t="str">
        <f>TRIM(MID('Diagrama Tecnólogo'!C13,FIND("-",'Diagrama Tecnólogo'!C13)+1,200))</f>
        <v>Ciência de dados aplicada a Metrologia</v>
      </c>
      <c r="C4" s="201" t="s">
        <v>322</v>
      </c>
      <c r="D4" s="201" t="s">
        <v>326</v>
      </c>
      <c r="E4" s="201" t="s">
        <v>327</v>
      </c>
      <c r="F4" s="202" t="s">
        <v>328</v>
      </c>
    </row>
    <row r="5" spans="2:6" x14ac:dyDescent="0.25">
      <c r="B5" s="201" t="str">
        <f>TRIM(MID('Diagrama Tecnólogo'!C18,FIND("-",'Diagrama Tecnólogo'!C18)+1,200))</f>
        <v>Expressão Gráfica</v>
      </c>
      <c r="C5" s="201" t="s">
        <v>322</v>
      </c>
      <c r="D5" s="201" t="s">
        <v>329</v>
      </c>
      <c r="E5" s="201" t="s">
        <v>330</v>
      </c>
      <c r="F5" s="202">
        <v>4</v>
      </c>
    </row>
    <row r="6" spans="2:6" ht="30" x14ac:dyDescent="0.25">
      <c r="B6" s="201" t="e">
        <f>TRIM(MID('Diagrama Tecnólogo'!#REF!,FIND("-",'Diagrama Tecnólogo'!#REF!)+1,200))</f>
        <v>#REF!</v>
      </c>
      <c r="C6" s="201" t="s">
        <v>331</v>
      </c>
      <c r="D6" s="201" t="s">
        <v>332</v>
      </c>
      <c r="E6" s="201" t="s">
        <v>333</v>
      </c>
      <c r="F6" s="202" t="s">
        <v>334</v>
      </c>
    </row>
    <row r="7" spans="2:6" ht="45" x14ac:dyDescent="0.25">
      <c r="B7" s="201" t="str">
        <f>TRIM(MID('Diagrama Tecnólogo'!C23,FIND("-",'Diagrama Tecnólogo'!C23)+1,200))</f>
        <v>Introdução à Engenharia de Controle e Automação</v>
      </c>
      <c r="C7" s="201" t="s">
        <v>322</v>
      </c>
      <c r="D7" s="201" t="s">
        <v>323</v>
      </c>
      <c r="E7" s="201" t="s">
        <v>324</v>
      </c>
      <c r="F7" s="202" t="s">
        <v>325</v>
      </c>
    </row>
    <row r="8" spans="2:6" ht="45" x14ac:dyDescent="0.25">
      <c r="B8" s="201" t="str">
        <f>TRIM(MID('Diagrama Tecnólogo'!C28,FIND("-",'Diagrama Tecnólogo'!C28)+1,200))</f>
        <v>Programação Embarcada com IA</v>
      </c>
      <c r="C8" s="201" t="s">
        <v>322</v>
      </c>
      <c r="D8" s="201" t="s">
        <v>323</v>
      </c>
      <c r="E8" s="201" t="s">
        <v>324</v>
      </c>
      <c r="F8" s="202" t="s">
        <v>325</v>
      </c>
    </row>
    <row r="9" spans="2:6" ht="45" x14ac:dyDescent="0.25">
      <c r="B9" s="201" t="str">
        <f>TRIM(MID('Diagrama Tecnólogo'!C33,FIND("-",'Diagrama Tecnólogo'!C33)+1,200))</f>
        <v>Sistemas Digitais</v>
      </c>
      <c r="C9" s="201" t="s">
        <v>322</v>
      </c>
      <c r="D9" s="201" t="s">
        <v>323</v>
      </c>
      <c r="E9" s="201" t="s">
        <v>324</v>
      </c>
      <c r="F9" s="202" t="s">
        <v>325</v>
      </c>
    </row>
    <row r="10" spans="2:6" ht="45" x14ac:dyDescent="0.25">
      <c r="B10" s="201" t="e">
        <f>TRIM(MID('Diagrama Tecnólogo'!C43,FIND("-",'Diagrama Tecnólogo'!C43)+1,200))</f>
        <v>#VALUE!</v>
      </c>
      <c r="C10" s="201" t="s">
        <v>322</v>
      </c>
      <c r="D10" s="201" t="s">
        <v>323</v>
      </c>
      <c r="E10" s="201" t="s">
        <v>324</v>
      </c>
      <c r="F10" s="202" t="s">
        <v>325</v>
      </c>
    </row>
    <row r="11" spans="2:6" ht="45" x14ac:dyDescent="0.25">
      <c r="B11" s="201" t="str">
        <f>TRIM(MID('Diagrama Tecnólogo'!H8,FIND("-",'Diagrama Tecnólogo'!H8)+1,200))</f>
        <v>Cálculo Diferencial e Integral II</v>
      </c>
      <c r="C11" s="201" t="s">
        <v>322</v>
      </c>
      <c r="D11" s="201" t="s">
        <v>323</v>
      </c>
      <c r="E11" s="201" t="s">
        <v>324</v>
      </c>
      <c r="F11" s="202" t="s">
        <v>325</v>
      </c>
    </row>
    <row r="12" spans="2:6" ht="45" x14ac:dyDescent="0.25">
      <c r="B12" s="201" t="str">
        <f>TRIM(MID('Diagrama Tecnólogo'!H13,FIND("-",'Diagrama Tecnólogo'!H13)+1,200))</f>
        <v>Circuitos Elétricos I</v>
      </c>
      <c r="C12" s="201" t="s">
        <v>322</v>
      </c>
      <c r="D12" s="201" t="s">
        <v>323</v>
      </c>
      <c r="E12" s="201" t="s">
        <v>324</v>
      </c>
      <c r="F12" s="202" t="s">
        <v>325</v>
      </c>
    </row>
    <row r="13" spans="2:6" ht="30" x14ac:dyDescent="0.25">
      <c r="B13" s="201" t="str">
        <f>TRIM(MID('Diagrama Tecnólogo'!H18,FIND("-",'Diagrama Tecnólogo'!H18)+1,200))</f>
        <v>Experimental de Circuitos Elétricos I</v>
      </c>
      <c r="C13" s="201" t="s">
        <v>331</v>
      </c>
      <c r="D13" s="201" t="s">
        <v>332</v>
      </c>
      <c r="E13" s="201" t="s">
        <v>333</v>
      </c>
      <c r="F13" s="202" t="s">
        <v>335</v>
      </c>
    </row>
    <row r="14" spans="2:6" ht="30" x14ac:dyDescent="0.25">
      <c r="B14" s="201" t="str">
        <f>TRIM(MID('Diagrama Tecnólogo'!H23,FIND("-",'Diagrama Tecnólogo'!H23)+1,200))</f>
        <v>Experimental de Física Básica: Mecânica</v>
      </c>
      <c r="C14" s="201" t="s">
        <v>322</v>
      </c>
      <c r="D14" s="201" t="s">
        <v>329</v>
      </c>
      <c r="E14" s="201" t="s">
        <v>330</v>
      </c>
      <c r="F14" s="202">
        <v>4</v>
      </c>
    </row>
    <row r="15" spans="2:6" ht="30" x14ac:dyDescent="0.25">
      <c r="B15" s="201" t="str">
        <f>TRIM(MID('Diagrama Tecnólogo'!M28,FIND("-",'Diagrama Tecnólogo'!M28)+1,200))</f>
        <v>Fenômenos de Transporte</v>
      </c>
      <c r="C15" s="201" t="s">
        <v>322</v>
      </c>
      <c r="D15" s="201" t="s">
        <v>329</v>
      </c>
      <c r="E15" s="201" t="s">
        <v>330</v>
      </c>
      <c r="F15" s="202">
        <v>4</v>
      </c>
    </row>
    <row r="16" spans="2:6" ht="30" x14ac:dyDescent="0.25">
      <c r="B16" s="201" t="str">
        <f>TRIM(MID('Diagrama Tecnólogo'!H28,FIND("-",'Diagrama Tecnólogo'!H28)+1,200))</f>
        <v>Física Básica: Mecânica</v>
      </c>
      <c r="C16" s="201" t="s">
        <v>322</v>
      </c>
      <c r="D16" s="201" t="s">
        <v>329</v>
      </c>
      <c r="E16" s="201" t="s">
        <v>330</v>
      </c>
      <c r="F16" s="202">
        <v>4</v>
      </c>
    </row>
    <row r="17" spans="2:6" ht="45" x14ac:dyDescent="0.25">
      <c r="B17" s="201" t="str">
        <f>TRIM(MID('Diagrama Tecnólogo'!H33,FIND("-",'Diagrama Tecnólogo'!H33)+1,200))</f>
        <v>Arquitetura de software em Sistemas Embarcados</v>
      </c>
      <c r="C17" s="201" t="s">
        <v>322</v>
      </c>
      <c r="D17" s="201" t="s">
        <v>329</v>
      </c>
      <c r="E17" s="201" t="s">
        <v>330</v>
      </c>
      <c r="F17" s="202">
        <v>4</v>
      </c>
    </row>
    <row r="18" spans="2:6" x14ac:dyDescent="0.25">
      <c r="B18" s="201" t="str">
        <f>TRIM(MID('Diagrama Tecnólogo'!M8,FIND("-",'Diagrama Tecnólogo'!M8)+1,200))</f>
        <v>Sinais e Sistemas I</v>
      </c>
      <c r="C18" s="201" t="s">
        <v>322</v>
      </c>
      <c r="D18" s="201" t="s">
        <v>336</v>
      </c>
      <c r="E18" s="201" t="s">
        <v>337</v>
      </c>
      <c r="F18" s="202" t="s">
        <v>338</v>
      </c>
    </row>
    <row r="19" spans="2:6" x14ac:dyDescent="0.25">
      <c r="B19" s="201" t="str">
        <f>TRIM(MID('Diagrama Tecnólogo'!M13,FIND("-",'Diagrama Tecnólogo'!M13)+1,200))</f>
        <v>Eletrônica Analógica I</v>
      </c>
      <c r="C19" s="201" t="s">
        <v>322</v>
      </c>
      <c r="D19" s="201" t="s">
        <v>336</v>
      </c>
      <c r="E19" s="201" t="s">
        <v>337</v>
      </c>
      <c r="F19" s="202" t="s">
        <v>325</v>
      </c>
    </row>
    <row r="20" spans="2:6" ht="30" x14ac:dyDescent="0.25">
      <c r="B20" s="201" t="str">
        <f>TRIM(MID('Diagrama Tecnólogo'!M18,FIND("-",'Diagrama Tecnólogo'!M18)+1,200))</f>
        <v>Experimental de Eletrônica Analógica I</v>
      </c>
      <c r="C20" s="201" t="s">
        <v>322</v>
      </c>
      <c r="D20" s="201" t="s">
        <v>336</v>
      </c>
      <c r="E20" s="201" t="s">
        <v>324</v>
      </c>
      <c r="F20" s="202" t="s">
        <v>325</v>
      </c>
    </row>
    <row r="21" spans="2:6" ht="30" x14ac:dyDescent="0.25">
      <c r="B21" s="201" t="str">
        <f>TRIM(MID('Diagrama Tecnólogo'!M23,FIND("-",'Diagrama Tecnólogo'!M23)+1,200))</f>
        <v>Eletromagnetismo e Circuitos Trifasicos</v>
      </c>
      <c r="C21" s="201" t="s">
        <v>322</v>
      </c>
      <c r="D21" s="201" t="s">
        <v>326</v>
      </c>
      <c r="E21" s="201" t="s">
        <v>327</v>
      </c>
      <c r="F21" s="202" t="s">
        <v>328</v>
      </c>
    </row>
    <row r="22" spans="2:6" ht="30" x14ac:dyDescent="0.25">
      <c r="B22" s="201" t="str">
        <f>TRIM(MID('Diagrama Tecnólogo'!M33,FIND("-",'Diagrama Tecnólogo'!M33)+1,200))</f>
        <v>Informática Industrial I</v>
      </c>
      <c r="C22" s="201" t="s">
        <v>339</v>
      </c>
      <c r="D22" s="201" t="s">
        <v>340</v>
      </c>
      <c r="E22" s="201" t="s">
        <v>341</v>
      </c>
      <c r="F22" s="202" t="s">
        <v>334</v>
      </c>
    </row>
    <row r="23" spans="2:6" x14ac:dyDescent="0.25">
      <c r="B23" s="201" t="e">
        <f>TRIM(MID('Diagrama Tecnólogo'!M38,FIND("-",'Diagrama Tecnólogo'!M38)+1,200))</f>
        <v>#VALUE!</v>
      </c>
      <c r="C23" s="201" t="s">
        <v>322</v>
      </c>
      <c r="D23" s="201" t="s">
        <v>336</v>
      </c>
      <c r="E23" s="201" t="s">
        <v>333</v>
      </c>
      <c r="F23" s="202" t="s">
        <v>325</v>
      </c>
    </row>
    <row r="24" spans="2:6" ht="30" x14ac:dyDescent="0.25">
      <c r="B24" s="201" t="str">
        <f>TRIM(MID('Diagrama Tecnólogo'!R8,FIND("-",'Diagrama Tecnólogo'!R8)+1,200))</f>
        <v>Atividades Curriculares de Extensão I</v>
      </c>
      <c r="C24" s="201" t="s">
        <v>322</v>
      </c>
      <c r="D24" s="201" t="s">
        <v>336</v>
      </c>
      <c r="E24" s="201" t="s">
        <v>333</v>
      </c>
      <c r="F24" s="202" t="s">
        <v>325</v>
      </c>
    </row>
    <row r="25" spans="2:6" ht="30" x14ac:dyDescent="0.25">
      <c r="B25" s="201" t="str">
        <f>TRIM(MID('Diagrama Tecnólogo'!R13,FIND("-",'Diagrama Tecnólogo'!R13)+1,200))</f>
        <v>Eletrônica Analógica II</v>
      </c>
      <c r="C25" s="201" t="s">
        <v>322</v>
      </c>
      <c r="D25" s="201" t="s">
        <v>342</v>
      </c>
      <c r="E25" s="201" t="s">
        <v>343</v>
      </c>
      <c r="F25" s="202" t="s">
        <v>344</v>
      </c>
    </row>
    <row r="26" spans="2:6" ht="30" x14ac:dyDescent="0.25">
      <c r="B26" s="201" t="str">
        <f>TRIM(MID('Diagrama Tecnólogo'!R18,FIND("-",'Diagrama Tecnólogo'!R18)+1,200))</f>
        <v>Experimental de Eletrônica Analógica II</v>
      </c>
      <c r="C26" s="201" t="s">
        <v>322</v>
      </c>
      <c r="D26" s="201" t="s">
        <v>345</v>
      </c>
      <c r="E26" s="201" t="s">
        <v>346</v>
      </c>
      <c r="F26" s="202" t="s">
        <v>334</v>
      </c>
    </row>
    <row r="27" spans="2:6" ht="30" x14ac:dyDescent="0.25">
      <c r="B27" s="201" t="str">
        <f>TRIM(MID('Diagrama Tecnólogo'!R23,FIND("-",'Diagrama Tecnólogo'!R23)+1,200))</f>
        <v>Instrumentação e Dispositivos Inteligentes</v>
      </c>
      <c r="C27" s="201" t="s">
        <v>322</v>
      </c>
      <c r="D27" s="201" t="s">
        <v>329</v>
      </c>
      <c r="E27" s="201" t="s">
        <v>330</v>
      </c>
      <c r="F27" s="202">
        <v>4</v>
      </c>
    </row>
    <row r="28" spans="2:6" x14ac:dyDescent="0.25">
      <c r="B28" s="201" t="str">
        <f>TRIM(MID('Diagrama Tecnólogo'!R28,FIND("-",'Diagrama Tecnólogo'!R28)+1,200))</f>
        <v>Informática Industrial II</v>
      </c>
      <c r="C28" s="201" t="s">
        <v>322</v>
      </c>
      <c r="D28" s="201" t="s">
        <v>336</v>
      </c>
      <c r="E28" s="201" t="s">
        <v>337</v>
      </c>
      <c r="F28" s="202" t="s">
        <v>325</v>
      </c>
    </row>
    <row r="29" spans="2:6" ht="30" x14ac:dyDescent="0.25">
      <c r="B29" s="201" t="str">
        <f>TRIM(MID('Diagrama Tecnólogo'!R33,FIND("-",'Diagrama Tecnólogo'!R33)+1,200))</f>
        <v>Redes Industriais para Controle e Automação I</v>
      </c>
      <c r="C29" s="201" t="s">
        <v>322</v>
      </c>
      <c r="D29" s="201" t="s">
        <v>336</v>
      </c>
      <c r="E29" s="201" t="s">
        <v>337</v>
      </c>
      <c r="F29" s="202" t="s">
        <v>325</v>
      </c>
    </row>
    <row r="30" spans="2:6" x14ac:dyDescent="0.25">
      <c r="B30" s="201" t="str">
        <f>TRIM(MID('Diagrama Tecnólogo'!R38,FIND("-",'Diagrama Tecnólogo'!R38)+1,200))</f>
        <v>Sinais e Sistemas II</v>
      </c>
      <c r="C30" s="201" t="s">
        <v>322</v>
      </c>
      <c r="D30" s="201" t="s">
        <v>336</v>
      </c>
      <c r="E30" s="201" t="s">
        <v>333</v>
      </c>
      <c r="F30" s="202" t="s">
        <v>325</v>
      </c>
    </row>
    <row r="31" spans="2:6" ht="30" x14ac:dyDescent="0.25">
      <c r="B31" s="201" t="str">
        <f>TRIM(MID('Diagrama Tecnólogo'!W8,FIND("-",'Diagrama Tecnólogo'!W8)+1,200))</f>
        <v>Atividades Curriculares de Extensão II</v>
      </c>
      <c r="C31" s="201" t="s">
        <v>322</v>
      </c>
      <c r="D31" s="201" t="s">
        <v>336</v>
      </c>
      <c r="E31" s="201" t="s">
        <v>333</v>
      </c>
      <c r="F31" s="202" t="s">
        <v>325</v>
      </c>
    </row>
    <row r="32" spans="2:6" ht="30" x14ac:dyDescent="0.25">
      <c r="B32" s="201" t="str">
        <f>TRIM(MID('Diagrama Tecnólogo'!W13,FIND("-",'Diagrama Tecnólogo'!W13)+1,200))</f>
        <v>Conversão de Energia e Maquinas</v>
      </c>
      <c r="C32" s="201" t="s">
        <v>322</v>
      </c>
      <c r="D32" s="201" t="s">
        <v>329</v>
      </c>
      <c r="E32" s="201" t="s">
        <v>330</v>
      </c>
      <c r="F32" s="202">
        <v>4</v>
      </c>
    </row>
    <row r="33" spans="2:6" ht="45" x14ac:dyDescent="0.25">
      <c r="B33" s="201" t="str">
        <f>TRIM(MID('Diagrama Tecnólogo'!W18,FIND("-",'Diagrama Tecnólogo'!W18)+1,200))</f>
        <v>Experimental de Sistemas de Controle Realimentado</v>
      </c>
      <c r="C33" s="201" t="s">
        <v>322</v>
      </c>
      <c r="D33" s="201" t="s">
        <v>329</v>
      </c>
      <c r="E33" s="201" t="s">
        <v>330</v>
      </c>
      <c r="F33" s="202">
        <v>4</v>
      </c>
    </row>
    <row r="34" spans="2:6" ht="45" x14ac:dyDescent="0.25">
      <c r="B34" s="201" t="str">
        <f>TRIM(MID('Diagrama Tecnólogo'!W23,FIND("-",'Diagrama Tecnólogo'!W23)+1,200))</f>
        <v>Manipuladores Robóticos Industriais e Inteligentes</v>
      </c>
      <c r="C34" s="201" t="s">
        <v>322</v>
      </c>
      <c r="D34" s="201" t="s">
        <v>329</v>
      </c>
      <c r="E34" s="201" t="s">
        <v>330</v>
      </c>
      <c r="F34" s="202">
        <v>4</v>
      </c>
    </row>
    <row r="35" spans="2:6" ht="45" x14ac:dyDescent="0.25">
      <c r="B35" s="201" t="str">
        <f>TRIM(MID('Diagrama Tecnólogo'!W28,FIND("-",'Diagrama Tecnólogo'!W28)+1,200))</f>
        <v>Redes Industriais para Controle e Automação II</v>
      </c>
      <c r="C35" s="201" t="s">
        <v>322</v>
      </c>
      <c r="D35" s="201" t="s">
        <v>347</v>
      </c>
      <c r="E35" s="201" t="s">
        <v>348</v>
      </c>
      <c r="F35" s="202" t="s">
        <v>325</v>
      </c>
    </row>
    <row r="36" spans="2:6" ht="30" x14ac:dyDescent="0.25">
      <c r="B36" s="201" t="str">
        <f>TRIM(MID('Diagrama Tecnólogo'!W33,FIND("-",'Diagrama Tecnólogo'!W33)+1,200))</f>
        <v>Sistemas de Controle Realimentado</v>
      </c>
      <c r="C36" s="201" t="s">
        <v>322</v>
      </c>
      <c r="D36" s="201" t="s">
        <v>336</v>
      </c>
      <c r="E36" s="201" t="s">
        <v>333</v>
      </c>
      <c r="F36" s="202" t="s">
        <v>325</v>
      </c>
    </row>
    <row r="37" spans="2:6" ht="30" x14ac:dyDescent="0.25">
      <c r="B37" s="201" t="str">
        <f>TRIM(MID('Diagrama Tecnólogo'!AB8,FIND("-",'Diagrama Tecnólogo'!AB8)+1,200))</f>
        <v>Atividades Curriculares de Extensão III</v>
      </c>
      <c r="C37" s="201" t="s">
        <v>322</v>
      </c>
      <c r="D37" s="201" t="s">
        <v>336</v>
      </c>
      <c r="E37" s="201" t="s">
        <v>333</v>
      </c>
      <c r="F37" s="202" t="s">
        <v>325</v>
      </c>
    </row>
    <row r="38" spans="2:6" ht="45" x14ac:dyDescent="0.25">
      <c r="B38" s="201" t="str">
        <f>TRIM(MID('Diagrama Tecnólogo'!AB13,FIND("-",'Diagrama Tecnólogo'!AB13)+1,200))</f>
        <v>Instalação, Proteção e Especificação de Sistemas Industriais</v>
      </c>
      <c r="C38" s="201" t="s">
        <v>322</v>
      </c>
      <c r="D38" s="201" t="s">
        <v>329</v>
      </c>
      <c r="E38" s="201" t="s">
        <v>330</v>
      </c>
      <c r="F38" s="202">
        <v>4</v>
      </c>
    </row>
    <row r="39" spans="2:6" ht="30" x14ac:dyDescent="0.25">
      <c r="B39" s="201" t="str">
        <f>TRIM(MID('Diagrama Tecnólogo'!AB18,FIND("-",'Diagrama Tecnólogo'!AB18)+1,200))</f>
        <v>Experimental de Instalações Elétricas</v>
      </c>
      <c r="C39" s="201" t="s">
        <v>339</v>
      </c>
      <c r="D39" s="201" t="s">
        <v>349</v>
      </c>
      <c r="E39" s="201" t="s">
        <v>333</v>
      </c>
      <c r="F39" s="202" t="s">
        <v>334</v>
      </c>
    </row>
    <row r="40" spans="2:6" x14ac:dyDescent="0.25">
      <c r="B40" s="201" t="str">
        <f>TRIM(MID('Diagrama Tecnólogo'!AB23,FIND("-",'Diagrama Tecnólogo'!AB23)+1,200))</f>
        <v>Instalações Elétricas</v>
      </c>
      <c r="C40" s="201" t="s">
        <v>322</v>
      </c>
      <c r="D40" s="201" t="s">
        <v>336</v>
      </c>
      <c r="E40" s="201" t="s">
        <v>330</v>
      </c>
      <c r="F40" s="202">
        <v>4</v>
      </c>
    </row>
    <row r="41" spans="2:6" ht="30" x14ac:dyDescent="0.25">
      <c r="B41" s="201" t="str">
        <f>TRIM(MID('Diagrama Tecnólogo'!AB28,FIND("-",'Diagrama Tecnólogo'!AB28)+1,200))</f>
        <v>Estágio Supervisionado Obrigatório (**)</v>
      </c>
      <c r="C41" s="201" t="s">
        <v>322</v>
      </c>
      <c r="D41" s="201" t="s">
        <v>329</v>
      </c>
      <c r="E41" s="201" t="s">
        <v>330</v>
      </c>
      <c r="F41" s="202">
        <v>4</v>
      </c>
    </row>
    <row r="42" spans="2:6" ht="30" x14ac:dyDescent="0.25">
      <c r="B42" s="201" t="str">
        <f>TRIM(MID('Diagrama Tecnólogo'!AB33,FIND("-",'Diagrama Tecnólogo'!AB33)+1,200))</f>
        <v>Atividades Complementares</v>
      </c>
      <c r="C42" s="201" t="s">
        <v>322</v>
      </c>
      <c r="D42" s="201" t="s">
        <v>329</v>
      </c>
      <c r="E42" s="201" t="s">
        <v>330</v>
      </c>
      <c r="F42" s="202">
        <v>4</v>
      </c>
    </row>
    <row r="43" spans="2:6" ht="45" x14ac:dyDescent="0.25">
      <c r="B43" s="201" t="str">
        <f>TRIM(MID('Diagrama Tecnólogo'!C52,FIND("-",'Diagrama Tecnólogo'!C52)+1,200))</f>
        <v>Dispositivos Ciberfísicos Inteligentes para Automação</v>
      </c>
      <c r="C43" s="201" t="s">
        <v>322</v>
      </c>
      <c r="D43" s="201" t="s">
        <v>329</v>
      </c>
      <c r="E43" s="201" t="s">
        <v>330</v>
      </c>
      <c r="F43" s="202">
        <v>4</v>
      </c>
    </row>
    <row r="44" spans="2:6" ht="30" x14ac:dyDescent="0.25">
      <c r="B44" s="201" t="str">
        <f>TRIM(MID('Diagrama Tecnólogo'!H52,FIND("-",'Diagrama Tecnólogo'!H52)+1,200))</f>
        <v>Automação Residencial e Predial</v>
      </c>
      <c r="C44" s="201" t="s">
        <v>339</v>
      </c>
      <c r="D44" s="201" t="s">
        <v>350</v>
      </c>
      <c r="E44" s="201" t="s">
        <v>351</v>
      </c>
      <c r="F44" s="202" t="s">
        <v>334</v>
      </c>
    </row>
    <row r="45" spans="2:6" ht="30" x14ac:dyDescent="0.25">
      <c r="B45" s="201" t="str">
        <f>TRIM(MID('Diagrama Tecnólogo'!M52,FIND("-",'Diagrama Tecnólogo'!M52)+1,200))</f>
        <v>Eficiência em Sistemas de Energia</v>
      </c>
      <c r="C45" s="201" t="s">
        <v>322</v>
      </c>
      <c r="D45" s="201" t="s">
        <v>329</v>
      </c>
      <c r="E45" s="201" t="s">
        <v>330</v>
      </c>
      <c r="F45" s="202">
        <v>4</v>
      </c>
    </row>
    <row r="46" spans="2:6" ht="30" x14ac:dyDescent="0.25">
      <c r="B46" s="201" t="str">
        <f>TRIM(MID('Diagrama Tecnólogo'!R52,FIND("-",'Diagrama Tecnólogo'!R52)+1,200))</f>
        <v>Fabricação Assistida por Computador</v>
      </c>
      <c r="C46" s="201" t="s">
        <v>331</v>
      </c>
      <c r="D46" s="201" t="s">
        <v>352</v>
      </c>
      <c r="E46" s="201" t="s">
        <v>333</v>
      </c>
      <c r="F46" s="202" t="s">
        <v>334</v>
      </c>
    </row>
    <row r="47" spans="2:6" ht="45" x14ac:dyDescent="0.25">
      <c r="B47" s="201" t="str">
        <f>TRIM(MID('Diagrama Tecnólogo'!W52,FIND("-",'Diagrama Tecnólogo'!W52)+1,200))</f>
        <v>Fontes Renováveis não Convencionais - Técnicas e Aplicações</v>
      </c>
      <c r="C47" s="201" t="s">
        <v>322</v>
      </c>
      <c r="D47" s="201" t="s">
        <v>336</v>
      </c>
      <c r="E47" s="201" t="s">
        <v>333</v>
      </c>
      <c r="F47" s="202" t="s">
        <v>325</v>
      </c>
    </row>
    <row r="48" spans="2:6" ht="30" x14ac:dyDescent="0.25">
      <c r="B48" s="201" t="str">
        <f>TRIM(MID('Diagrama Tecnólogo'!AB52,FIND("-",'Diagrama Tecnólogo'!AB52)+1,200))</f>
        <v>Gestão dos Sistemas de Produção</v>
      </c>
      <c r="C48" s="201" t="s">
        <v>322</v>
      </c>
      <c r="D48" s="201" t="s">
        <v>336</v>
      </c>
      <c r="E48" s="201" t="s">
        <v>333</v>
      </c>
      <c r="F48" s="202" t="s">
        <v>325</v>
      </c>
    </row>
    <row r="49" spans="2:6" ht="45" x14ac:dyDescent="0.25">
      <c r="B49" s="201" t="str">
        <f>TRIM(MID('Diagrama Tecnólogo'!AG52,FIND("-",'Diagrama Tecnólogo'!AG52)+1,200))</f>
        <v>Língua 
Brasileira de
Sinais - LIBRAS I</v>
      </c>
      <c r="C49" s="201" t="s">
        <v>322</v>
      </c>
      <c r="D49" s="201" t="s">
        <v>336</v>
      </c>
      <c r="E49" s="201" t="s">
        <v>333</v>
      </c>
      <c r="F49" s="202" t="s">
        <v>344</v>
      </c>
    </row>
    <row r="50" spans="2:6" ht="30" x14ac:dyDescent="0.25">
      <c r="B50" s="201" t="str">
        <f>TRIM(MID('Diagrama Tecnólogo'!AL52,FIND("-",'Diagrama Tecnólogo'!AL52)+1,200))</f>
        <v>Materiais e Equip. Elétricos e Eletrônicos</v>
      </c>
      <c r="C50" s="201" t="s">
        <v>322</v>
      </c>
      <c r="D50" s="201" t="s">
        <v>347</v>
      </c>
      <c r="E50" s="201" t="s">
        <v>348</v>
      </c>
      <c r="F50" s="202" t="s">
        <v>325</v>
      </c>
    </row>
    <row r="51" spans="2:6" ht="45" x14ac:dyDescent="0.25">
      <c r="B51" s="201" t="str">
        <f>TRIM(MID('Diagrama Tecnólogo'!AQ52,FIND("-",'Diagrama Tecnólogo'!AQ52)+1,200))</f>
        <v>Metodologia da Pesquisa e Escrita Científica</v>
      </c>
      <c r="C51" s="201" t="s">
        <v>339</v>
      </c>
      <c r="D51" s="201" t="s">
        <v>342</v>
      </c>
      <c r="E51" s="201" t="s">
        <v>353</v>
      </c>
      <c r="F51" s="202" t="s">
        <v>344</v>
      </c>
    </row>
    <row r="52" spans="2:6" ht="30" x14ac:dyDescent="0.25">
      <c r="B52" s="201" t="str">
        <f>TRIM(MID('Diagrama Tecnólogo'!AV52,FIND("-",'Diagrama Tecnólogo'!AV52)+1,200))</f>
        <v>Processamento Digital de Sinais</v>
      </c>
      <c r="C52" s="201" t="s">
        <v>354</v>
      </c>
      <c r="D52" s="201" t="s">
        <v>355</v>
      </c>
      <c r="E52" s="201" t="s">
        <v>333</v>
      </c>
      <c r="F52" s="202" t="s">
        <v>344</v>
      </c>
    </row>
    <row r="53" spans="2:6" ht="30" x14ac:dyDescent="0.25">
      <c r="B53" s="201" t="str">
        <f>TRIM(MID('Diagrama Tecnólogo'!C57,FIND("-",'Diagrama Tecnólogo'!C57)+1,200))</f>
        <v>Programação Orientada a Objetos</v>
      </c>
      <c r="C53" s="201" t="s">
        <v>354</v>
      </c>
      <c r="D53" s="201" t="s">
        <v>355</v>
      </c>
      <c r="E53" s="201" t="s">
        <v>333</v>
      </c>
      <c r="F53" s="202" t="s">
        <v>344</v>
      </c>
    </row>
    <row r="54" spans="2:6" ht="45" x14ac:dyDescent="0.25">
      <c r="B54" s="201" t="str">
        <f>TRIM(MID('Diagrama Tecnólogo'!H57,FIND("-",'Diagrama Tecnólogo'!H57)+1,200))</f>
        <v>Sistemas Computacionais em Tempo Real</v>
      </c>
      <c r="C54" s="201" t="s">
        <v>354</v>
      </c>
      <c r="D54" s="201" t="s">
        <v>356</v>
      </c>
      <c r="E54" s="201" t="s">
        <v>329</v>
      </c>
      <c r="F54" s="202" t="s">
        <v>344</v>
      </c>
    </row>
    <row r="55" spans="2:6" ht="45" x14ac:dyDescent="0.25">
      <c r="B55" s="201" t="str">
        <f>TRIM(MID('Diagrama Tecnólogo'!M57,FIND("-",'Diagrama Tecnólogo'!M57)+1,200))</f>
        <v>Sistemas de Gestão e Manutenção na Automação</v>
      </c>
      <c r="C55" s="201" t="s">
        <v>339</v>
      </c>
      <c r="D55" s="201" t="s">
        <v>357</v>
      </c>
      <c r="E55" s="201" t="s">
        <v>358</v>
      </c>
      <c r="F55" s="202" t="s">
        <v>328</v>
      </c>
    </row>
    <row r="56" spans="2:6" x14ac:dyDescent="0.25">
      <c r="B56" s="201" t="str">
        <f>TRIM(MID('Diagrama Tecnólogo'!R57,FIND("-",'Diagrama Tecnólogo'!R57)+1,200))</f>
        <v>Sistemas Distribuídos</v>
      </c>
      <c r="C56" s="201" t="s">
        <v>339</v>
      </c>
      <c r="D56" s="201" t="s">
        <v>336</v>
      </c>
      <c r="E56" s="201" t="s">
        <v>333</v>
      </c>
      <c r="F56" s="202" t="s">
        <v>325</v>
      </c>
    </row>
    <row r="57" spans="2:6" x14ac:dyDescent="0.25">
      <c r="B57" s="201" t="str">
        <f>TRIM(MID('Diagrama Tecnólogo'!W57,FIND("-",'Diagrama Tecnólogo'!W57)+1,200))</f>
        <v>Instalações Industriais</v>
      </c>
      <c r="C57" s="201" t="s">
        <v>354</v>
      </c>
      <c r="D57" s="201" t="s">
        <v>329</v>
      </c>
      <c r="E57" s="201" t="s">
        <v>330</v>
      </c>
      <c r="F57" s="202">
        <v>4</v>
      </c>
    </row>
    <row r="58" spans="2:6" ht="45" x14ac:dyDescent="0.25">
      <c r="B58" s="201" t="str">
        <f>TRIM(MID('Diagrama Tecnólogo'!AB57,FIND("-",'Diagrama Tecnólogo'!AB57)+1,200))</f>
        <v>Tópicos Especiais em Engenharia de Controle e Automação I (***)</v>
      </c>
      <c r="C58" s="201" t="s">
        <v>339</v>
      </c>
      <c r="D58" s="201" t="s">
        <v>359</v>
      </c>
      <c r="E58" s="201" t="s">
        <v>360</v>
      </c>
      <c r="F58" s="202" t="s">
        <v>328</v>
      </c>
    </row>
    <row r="59" spans="2:6" ht="45" x14ac:dyDescent="0.25">
      <c r="B59" s="201" t="str">
        <f>TRIM(MID('Diagrama Tecnólogo'!AG57,FIND("-",'Diagrama Tecnólogo'!AG57)+1,200))</f>
        <v>Tópicos Especiais em Engenharia de Controle e Automação II (***)</v>
      </c>
      <c r="C59" s="201" t="s">
        <v>354</v>
      </c>
      <c r="D59" s="201" t="s">
        <v>329</v>
      </c>
      <c r="E59" s="201" t="s">
        <v>330</v>
      </c>
      <c r="F59" s="202">
        <v>4</v>
      </c>
    </row>
    <row r="60" spans="2:6" ht="45" x14ac:dyDescent="0.25">
      <c r="B60" s="201" t="str">
        <f>TRIM(MID('Diagrama Tecnólogo'!AL57,FIND("-",'Diagrama Tecnólogo'!AL57)+1,200))</f>
        <v>Tópicos Especiais em Engenharia de Controle e Automação III (***)</v>
      </c>
      <c r="C60" s="201" t="s">
        <v>331</v>
      </c>
      <c r="D60" s="201" t="s">
        <v>361</v>
      </c>
      <c r="E60" s="201" t="s">
        <v>355</v>
      </c>
      <c r="F60" s="202" t="s">
        <v>335</v>
      </c>
    </row>
    <row r="61" spans="2:6" ht="45" x14ac:dyDescent="0.25">
      <c r="B61" s="201" t="str">
        <f>TRIM(MID('Diagrama Tecnólogo'!AQ57,FIND("-",'Diagrama Tecnólogo'!AQ57)+1,200))</f>
        <v>Tópicos Especiais em Engenharia de Controle e Automação IV (***)</v>
      </c>
      <c r="C61" s="201" t="s">
        <v>331</v>
      </c>
      <c r="D61" s="201" t="s">
        <v>355</v>
      </c>
      <c r="E61" s="201" t="s">
        <v>333</v>
      </c>
      <c r="F61" s="202" t="s">
        <v>335</v>
      </c>
    </row>
    <row r="62" spans="2:6" ht="45" x14ac:dyDescent="0.25">
      <c r="B62" s="201" t="s">
        <v>207</v>
      </c>
      <c r="C62" s="201" t="s">
        <v>339</v>
      </c>
      <c r="D62" s="201" t="s">
        <v>362</v>
      </c>
      <c r="E62" s="201" t="s">
        <v>362</v>
      </c>
      <c r="F62" s="202" t="s">
        <v>363</v>
      </c>
    </row>
    <row r="63" spans="2:6" x14ac:dyDescent="0.25">
      <c r="B63"/>
      <c r="C63"/>
      <c r="D63"/>
      <c r="E63"/>
      <c r="F63"/>
    </row>
    <row r="64" spans="2:6" x14ac:dyDescent="0.25">
      <c r="B64"/>
      <c r="C64"/>
      <c r="D64"/>
      <c r="E64"/>
      <c r="F64"/>
    </row>
    <row r="65" customFormat="1" x14ac:dyDescent="0.25"/>
    <row r="66" customFormat="1" x14ac:dyDescent="0.25"/>
  </sheetData>
  <sortState xmlns:xlrd2="http://schemas.microsoft.com/office/spreadsheetml/2017/richdata2" ref="B3:F65">
    <sortCondition ref="B2:B65"/>
  </sortState>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9</vt:i4>
      </vt:variant>
      <vt:variant>
        <vt:lpstr>Intervalos Nomeados</vt:lpstr>
      </vt:variant>
      <vt:variant>
        <vt:i4>3</vt:i4>
      </vt:variant>
    </vt:vector>
  </HeadingPairs>
  <TitlesOfParts>
    <vt:vector size="12" baseType="lpstr">
      <vt:lpstr>CalcProf</vt:lpstr>
      <vt:lpstr>Diagrama Tecnólogo</vt:lpstr>
      <vt:lpstr>Diagrama Antigo</vt:lpstr>
      <vt:lpstr>Apresentação</vt:lpstr>
      <vt:lpstr>Fluxograma</vt:lpstr>
      <vt:lpstr>Novo-Antigo</vt:lpstr>
      <vt:lpstr>Antigo-Novo</vt:lpstr>
      <vt:lpstr>Núcleos</vt:lpstr>
      <vt:lpstr>Competencias</vt:lpstr>
      <vt:lpstr>Apresentação!_Toc417250723</vt:lpstr>
      <vt:lpstr>'Diagrama Antigo'!Area_de_impressao</vt:lpstr>
      <vt:lpstr>'Diagrama Tecnólogo'!Area_de_impressao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Usuário do Windows</dc:creator>
  <cp:keywords/>
  <dc:description/>
  <cp:lastModifiedBy>Josué Morais</cp:lastModifiedBy>
  <cp:revision/>
  <cp:lastPrinted>2025-11-12T16:52:35Z</cp:lastPrinted>
  <dcterms:created xsi:type="dcterms:W3CDTF">2018-03-09T17:08:59Z</dcterms:created>
  <dcterms:modified xsi:type="dcterms:W3CDTF">2026-07-29T19:46:43Z</dcterms:modified>
  <cp:category/>
  <cp:contentStatus/>
</cp:coreProperties>
</file>