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SourceCode\ppc_generator\dados\perfis\tecnologo_automacao_2027_1\"/>
    </mc:Choice>
  </mc:AlternateContent>
  <xr:revisionPtr revIDLastSave="0" documentId="13_ncr:1_{E3BA19AC-CE89-4D37-B5CB-B1551AF3C0A3}" xr6:coauthVersionLast="47" xr6:coauthVersionMax="47" xr10:uidLastSave="{00000000-0000-0000-0000-000000000000}"/>
  <bookViews>
    <workbookView xWindow="-28920" yWindow="-90" windowWidth="29040" windowHeight="15720" activeTab="3" xr2:uid="{00000000-000D-0000-FFFF-FFFF00000000}"/>
  </bookViews>
  <sheets>
    <sheet name="Fluxograma" sheetId="1" r:id="rId1"/>
    <sheet name="Componentes" sheetId="2" r:id="rId2"/>
    <sheet name="Equivalencias" sheetId="3" r:id="rId3"/>
    <sheet name="Nucleos" sheetId="4" r:id="rId4"/>
    <sheet name="Areas" sheetId="5" r:id="rId5"/>
    <sheet name="Temas" sheetId="6" r:id="rId6"/>
    <sheet name="Conteudos" sheetId="7" r:id="rId7"/>
  </sheets>
  <definedNames>
    <definedName name="_xlnm.Print_Area" localSheetId="0">Fluxograma!$A$1:$BE$71</definedName>
    <definedName name="Z_03057C24_3972_48DC_9925_6C2B4C888F74_.wvu.PrintArea" localSheetId="0" hidden="1">Fluxograma!$A$1:$BG$61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4" i="1" l="1"/>
  <c r="O24" i="1"/>
  <c r="I14" i="1"/>
  <c r="AD17" i="1"/>
  <c r="AD6" i="1" s="1"/>
  <c r="AY61" i="1"/>
  <c r="AT61" i="1"/>
  <c r="AO61" i="1"/>
  <c r="AJ61" i="1"/>
  <c r="AD61" i="1"/>
  <c r="X61" i="1"/>
  <c r="R61" i="1"/>
  <c r="L61" i="1"/>
  <c r="F61" i="1"/>
  <c r="BD56" i="1"/>
  <c r="AY56" i="1"/>
  <c r="AT56" i="1"/>
  <c r="AO56" i="1"/>
  <c r="AJ56" i="1"/>
  <c r="AD56" i="1"/>
  <c r="X56" i="1"/>
  <c r="R56" i="1"/>
  <c r="L56" i="1"/>
  <c r="F56" i="1"/>
  <c r="I53" i="1"/>
  <c r="O53" i="1" s="1"/>
  <c r="U53" i="1" s="1"/>
  <c r="AA53" i="1" s="1"/>
  <c r="AG53" i="1" s="1"/>
  <c r="AM53" i="1" s="1"/>
  <c r="AR53" i="1" s="1"/>
  <c r="AW53" i="1" s="1"/>
  <c r="BB53" i="1" s="1"/>
  <c r="C58" i="1" s="1"/>
  <c r="I58" i="1" s="1"/>
  <c r="O58" i="1" s="1"/>
  <c r="U58" i="1" s="1"/>
  <c r="AA58" i="1" s="1"/>
  <c r="AG58" i="1" s="1"/>
  <c r="AM58" i="1" s="1"/>
  <c r="AR58" i="1" s="1"/>
  <c r="AW58" i="1" s="1"/>
  <c r="AJ42" i="1"/>
  <c r="X42" i="1"/>
  <c r="AJ37" i="1"/>
  <c r="AD37" i="1"/>
  <c r="X37" i="1"/>
  <c r="R37" i="1"/>
  <c r="L37" i="1"/>
  <c r="F37" i="1"/>
  <c r="T36" i="1"/>
  <c r="N35" i="1"/>
  <c r="AJ32" i="1"/>
  <c r="AD32" i="1"/>
  <c r="X32" i="1"/>
  <c r="R32" i="1"/>
  <c r="L32" i="1"/>
  <c r="F32" i="1"/>
  <c r="N31" i="1"/>
  <c r="H30" i="1"/>
  <c r="AJ27" i="1"/>
  <c r="AD27" i="1"/>
  <c r="X27" i="1"/>
  <c r="R27" i="1"/>
  <c r="L27" i="1"/>
  <c r="F27" i="1"/>
  <c r="H25" i="1"/>
  <c r="AJ22" i="1"/>
  <c r="AD22" i="1"/>
  <c r="X22" i="1"/>
  <c r="R22" i="1"/>
  <c r="L22" i="1"/>
  <c r="C22" i="1"/>
  <c r="F22" i="1" s="1"/>
  <c r="F6" i="1" s="1"/>
  <c r="H21" i="1"/>
  <c r="AJ17" i="1"/>
  <c r="AJ6" i="1" s="1"/>
  <c r="X17" i="1"/>
  <c r="R17" i="1"/>
  <c r="L17" i="1"/>
  <c r="F17" i="1"/>
  <c r="H16" i="1"/>
  <c r="C14" i="1"/>
  <c r="B36" i="1" s="1"/>
  <c r="BG12" i="1"/>
  <c r="AJ12" i="1"/>
  <c r="AD12" i="1"/>
  <c r="X12" i="1"/>
  <c r="R12" i="1"/>
  <c r="L12" i="1"/>
  <c r="L6" i="1" s="1"/>
  <c r="F12" i="1"/>
  <c r="BG11" i="1"/>
  <c r="H11" i="1"/>
  <c r="BG10" i="1"/>
  <c r="BG9" i="1"/>
  <c r="L7" i="1"/>
  <c r="AI6" i="1"/>
  <c r="AH6" i="1"/>
  <c r="AG6" i="1"/>
  <c r="AC6" i="1"/>
  <c r="AB6" i="1"/>
  <c r="AA6" i="1"/>
  <c r="AD7" i="1" s="1"/>
  <c r="X6" i="1"/>
  <c r="W6" i="1"/>
  <c r="V6" i="1"/>
  <c r="U6" i="1"/>
  <c r="X7" i="1" s="1"/>
  <c r="Q6" i="1"/>
  <c r="P6" i="1"/>
  <c r="O6" i="1"/>
  <c r="K6" i="1"/>
  <c r="J6" i="1"/>
  <c r="I6" i="1"/>
  <c r="E6" i="1"/>
  <c r="D6" i="1"/>
  <c r="C6" i="1"/>
  <c r="F7" i="1" s="1"/>
  <c r="R7" i="1" l="1"/>
  <c r="R6" i="1"/>
  <c r="BG8" i="1" s="1"/>
  <c r="BG14" i="1" s="1"/>
  <c r="BJ28" i="1" s="1"/>
  <c r="AP15" i="1" s="1"/>
  <c r="AJ7" i="1"/>
  <c r="C19" i="1"/>
  <c r="C24" i="1" s="1"/>
  <c r="C29" i="1" s="1"/>
  <c r="C34" i="1" s="1"/>
  <c r="H36" i="1" l="1"/>
  <c r="I9" i="1"/>
  <c r="N26" i="1" l="1"/>
  <c r="N11" i="1"/>
  <c r="N16" i="1" l="1"/>
  <c r="N21" i="1"/>
  <c r="I19" i="1"/>
  <c r="H20" i="1"/>
  <c r="Z15" i="1"/>
  <c r="AF26" i="1" l="1"/>
  <c r="I24" i="1"/>
  <c r="AF21" i="1"/>
  <c r="H15" i="1"/>
  <c r="H31" i="1" l="1"/>
  <c r="O29" i="1"/>
  <c r="I29" i="1" l="1"/>
  <c r="T25" i="1"/>
  <c r="T26" i="1" l="1"/>
  <c r="H26" i="1"/>
  <c r="I34" i="1"/>
  <c r="N36" i="1" l="1"/>
  <c r="T35" i="1"/>
  <c r="O9" i="1"/>
  <c r="O14" i="1" l="1"/>
  <c r="T41" i="1"/>
  <c r="O19" i="1" l="1"/>
  <c r="T15" i="1"/>
  <c r="T20" i="1"/>
  <c r="N20" i="1"/>
  <c r="Z16" i="1"/>
  <c r="T21" i="1" l="1"/>
  <c r="N15" i="1"/>
  <c r="T16" i="1"/>
  <c r="O34" i="1" l="1"/>
  <c r="Z60" i="1"/>
  <c r="U9" i="1" l="1"/>
  <c r="U14" i="1" s="1"/>
  <c r="T31" i="1"/>
  <c r="T19" i="1" l="1"/>
  <c r="Z25" i="1"/>
  <c r="U19" i="1"/>
  <c r="U24" i="1" l="1"/>
  <c r="U29" i="1" s="1"/>
  <c r="T14" i="1"/>
  <c r="Z30" i="1" l="1"/>
  <c r="U34" i="1"/>
  <c r="U39" i="1" l="1"/>
  <c r="Z31" i="1"/>
  <c r="Z21" i="1" l="1"/>
  <c r="AA9" i="1"/>
  <c r="AA14" i="1" s="1"/>
  <c r="AA19" i="1" s="1"/>
  <c r="Z36" i="1"/>
  <c r="Z35" i="1" l="1"/>
  <c r="AA24" i="1"/>
  <c r="AA29" i="1" s="1"/>
  <c r="AA34" i="1" s="1"/>
  <c r="AG29" i="1" l="1"/>
  <c r="Z26" i="1"/>
  <c r="Z20" i="1"/>
  <c r="AG9" i="1"/>
  <c r="AG19" i="1" s="1"/>
  <c r="AF25" i="1" l="1"/>
  <c r="AG24" i="1"/>
  <c r="AF20" i="1" l="1"/>
  <c r="AG34" i="1"/>
  <c r="AG39" i="1" s="1"/>
</calcChain>
</file>

<file path=xl/sharedStrings.xml><?xml version="1.0" encoding="utf-8"?>
<sst xmlns="http://schemas.openxmlformats.org/spreadsheetml/2006/main" count="1151" uniqueCount="629">
  <si>
    <t>codigo</t>
  </si>
  <si>
    <t>nome</t>
  </si>
  <si>
    <t>tipo</t>
  </si>
  <si>
    <t>periodo</t>
  </si>
  <si>
    <t>ativo</t>
  </si>
  <si>
    <t>obrigatorio</t>
  </si>
  <si>
    <t>codigo_provisorio</t>
  </si>
  <si>
    <t>cht</t>
  </si>
  <si>
    <t>chp</t>
  </si>
  <si>
    <t>chd</t>
  </si>
  <si>
    <t>che</t>
  </si>
  <si>
    <t>tot</t>
  </si>
  <si>
    <t>nucleo_id</t>
  </si>
  <si>
    <t>unidade_oferta</t>
  </si>
  <si>
    <t>ementa</t>
  </si>
  <si>
    <t>observacoes</t>
  </si>
  <si>
    <t>pre_requisitos</t>
  </si>
  <si>
    <t>correquisitos</t>
  </si>
  <si>
    <t>areas</t>
  </si>
  <si>
    <t>temas</t>
  </si>
  <si>
    <t>conteudos</t>
  </si>
  <si>
    <t>competencias</t>
  </si>
  <si>
    <t>FAGEN39901</t>
  </si>
  <si>
    <t>Administração</t>
  </si>
  <si>
    <t>disciplina</t>
  </si>
  <si>
    <t>FAGEN39401 Empreendorismo e Inovação</t>
  </si>
  <si>
    <t>FAMAT31022</t>
  </si>
  <si>
    <t>Álgebra Linear</t>
  </si>
  <si>
    <t>BASICO</t>
  </si>
  <si>
    <t>FAMAT31021</t>
  </si>
  <si>
    <t>FORMACAO_BASICA_GERAL</t>
  </si>
  <si>
    <t>DCN_BASE_21, DCN_BASE_22</t>
  </si>
  <si>
    <t>FACOM31201</t>
  </si>
  <si>
    <t>Algoritmos e Estrutura de Dados I</t>
  </si>
  <si>
    <t>FEELT!ED Estrutura de Dados</t>
  </si>
  <si>
    <t>FACOM31303</t>
  </si>
  <si>
    <t>Algoritmos e Estruturas de Dados II</t>
  </si>
  <si>
    <t>FEELT!AA Análise de Algoritmos</t>
  </si>
  <si>
    <t>FEELT!AA</t>
  </si>
  <si>
    <t>Análise de Algoritmos</t>
  </si>
  <si>
    <t>TECNOLOGICO</t>
  </si>
  <si>
    <t>Inventivo|Meticuloso|Orientado por Propósito</t>
  </si>
  <si>
    <t>FEELT!ED</t>
  </si>
  <si>
    <t>CC2020_FUNDAMENTOS_SOFTWARE</t>
  </si>
  <si>
    <t>DCN_BASE_29, DCN_BASE_31, DCN_BASE_23</t>
  </si>
  <si>
    <t>FEELT!APMG</t>
  </si>
  <si>
    <t>Aprendizagem Profunda e Modelos Generativos</t>
  </si>
  <si>
    <t>FEELT!AMAQ</t>
  </si>
  <si>
    <t>CC2020_ARQUITETURA_INFRAESTRUTURA</t>
  </si>
  <si>
    <t>DCN_BASE_06, DCN_BASE_34, DCN_BASE_07</t>
  </si>
  <si>
    <t>Aprendizagem de Máquina</t>
  </si>
  <si>
    <t>FAMAT31032, FEELT!FIA</t>
  </si>
  <si>
    <t>DCN_BASE_06, DCN_BASE_25, DCN_BASE_34</t>
  </si>
  <si>
    <t>GBC056</t>
  </si>
  <si>
    <t>Arquitetura de Redes de Computadores</t>
  </si>
  <si>
    <t>FEELT31724 Redes de Comunicações I</t>
  </si>
  <si>
    <t>GBC066</t>
  </si>
  <si>
    <t>Arquitetura de Redes TCP/IP</t>
  </si>
  <si>
    <t>FEELT31831 Redes de Comunicações II</t>
  </si>
  <si>
    <t>FEELT!ASA</t>
  </si>
  <si>
    <t>Arquitetura de Software Aplicada</t>
  </si>
  <si>
    <t>Meticuloso|Adaptável|Inventivo</t>
  </si>
  <si>
    <t>FEELT!ESOF, FEELT31724</t>
  </si>
  <si>
    <t>DCN_BASE_02, DCN_BASE_15, DCN_BASE_14</t>
  </si>
  <si>
    <t>FEELT!AOC</t>
  </si>
  <si>
    <t>Arquitetura e Organização de Computadores</t>
  </si>
  <si>
    <t>FEELT!ESC</t>
  </si>
  <si>
    <t>CC2020_HARDWARE</t>
  </si>
  <si>
    <t>DCN_BASE_38</t>
  </si>
  <si>
    <t>FEELT!APROG2</t>
  </si>
  <si>
    <t>Arte da Programação II</t>
  </si>
  <si>
    <t>FEELT!PP</t>
  </si>
  <si>
    <t>AAC</t>
  </si>
  <si>
    <t>Atividades Acadêmicas Complementares</t>
  </si>
  <si>
    <t>atividade_complementar</t>
  </si>
  <si>
    <t>COMPLEMENTAR</t>
  </si>
  <si>
    <t>FORMACAO_COMPLEMENTAR_GERAL</t>
  </si>
  <si>
    <t>ACC</t>
  </si>
  <si>
    <t>Atividade de Conclusão de Curso</t>
  </si>
  <si>
    <t>outro</t>
  </si>
  <si>
    <t>&gt;=1875h</t>
  </si>
  <si>
    <t>FORMACAO_TECNOLOGICA_GERAL</t>
  </si>
  <si>
    <t>ACE1</t>
  </si>
  <si>
    <t>Atividades Curriculares de Extensão I</t>
  </si>
  <si>
    <t>extensao</t>
  </si>
  <si>
    <t>HUMANISTICO</t>
  </si>
  <si>
    <t>FORMACAO_HUMANISTICA_GERAL</t>
  </si>
  <si>
    <t>DCN_BASE_42</t>
  </si>
  <si>
    <t>ACE2</t>
  </si>
  <si>
    <t>Atividades Curriculares de Extensão II</t>
  </si>
  <si>
    <t>ACE3</t>
  </si>
  <si>
    <t>Atividades Curriculares de Extensão III</t>
  </si>
  <si>
    <t>ACE4</t>
  </si>
  <si>
    <t>Atividades Curriculares de Extensão IV</t>
  </si>
  <si>
    <t>FEELT!BD</t>
  </si>
  <si>
    <t>Banco de Dados</t>
  </si>
  <si>
    <t>CC2020_MODELAGEM_SISTEMAS</t>
  </si>
  <si>
    <t>DCN_BASE_09, DCN_BASE_33</t>
  </si>
  <si>
    <t>FACOM39042</t>
  </si>
  <si>
    <t>Bioinformática</t>
  </si>
  <si>
    <t>FAMAT31011</t>
  </si>
  <si>
    <t>Cálculo Diferencial e Integral I</t>
  </si>
  <si>
    <t>DCN_BASE_22</t>
  </si>
  <si>
    <t>FAMAT31012</t>
  </si>
  <si>
    <t>Cálculo Diferencial e Integral II</t>
  </si>
  <si>
    <t>FAMAT31013</t>
  </si>
  <si>
    <t>Cálculo Diferencial e Integral III</t>
  </si>
  <si>
    <t>FAMAT31032</t>
  </si>
  <si>
    <t>Cálculo Numérico</t>
  </si>
  <si>
    <t>FAMAT31013, FAMAT31022</t>
  </si>
  <si>
    <t>DCN_BASE_22, DCN_BASE_34</t>
  </si>
  <si>
    <t>FACOM32602</t>
  </si>
  <si>
    <t>Ciência de Dados I</t>
  </si>
  <si>
    <t>FACOM32701</t>
  </si>
  <si>
    <t>Ciência de Dados II</t>
  </si>
  <si>
    <t>IERI39001</t>
  </si>
  <si>
    <t>Ciências Econômicas</t>
  </si>
  <si>
    <t>IERI39601 Engenharia Econômica</t>
  </si>
  <si>
    <t>IEUFU39901</t>
  </si>
  <si>
    <t>FADIR39901</t>
  </si>
  <si>
    <t>Ciências Sociais e Jurídicas</t>
  </si>
  <si>
    <t>FEELT31403</t>
  </si>
  <si>
    <t>Circuitos Elétricos II</t>
  </si>
  <si>
    <t>FEELT31404</t>
  </si>
  <si>
    <t>Circuitos Elétricos II, Experimental de</t>
  </si>
  <si>
    <t>FEELT31301</t>
  </si>
  <si>
    <t>Circuitos Elétricos I</t>
  </si>
  <si>
    <t>INFIS39033</t>
  </si>
  <si>
    <t>DCN_TEC_12, DCN_TEC_13</t>
  </si>
  <si>
    <t>FEELT31302</t>
  </si>
  <si>
    <t>Circuitos Elétricos I, Experimental de</t>
  </si>
  <si>
    <t>FEELT31204</t>
  </si>
  <si>
    <t>EDUCACAO_AMBIENTAL, PREVENCAO_DESASTRES</t>
  </si>
  <si>
    <t>FEELT!CCAWS</t>
  </si>
  <si>
    <t>Cloud Computing Architecture AWS</t>
  </si>
  <si>
    <t>FACOM39043</t>
  </si>
  <si>
    <t>Compiladores</t>
  </si>
  <si>
    <t>DCN_BASE_01</t>
  </si>
  <si>
    <t>FEELT!CS</t>
  </si>
  <si>
    <t>Computação e Sociedade</t>
  </si>
  <si>
    <t>CC2020_USUARIOS_ORGANIZACOES</t>
  </si>
  <si>
    <t>FEELT!CEVO</t>
  </si>
  <si>
    <t>Computação Evolutiva</t>
  </si>
  <si>
    <t>FEELT!FIA</t>
  </si>
  <si>
    <t>GBC210</t>
  </si>
  <si>
    <t>GBC204</t>
  </si>
  <si>
    <t>Computação Gráfica</t>
  </si>
  <si>
    <t>FEELT31721</t>
  </si>
  <si>
    <t>Computação Gráfica RV-RA</t>
  </si>
  <si>
    <t>DCN_BASE_08, DCN_BASE_17</t>
  </si>
  <si>
    <t>FEELT!CQUA</t>
  </si>
  <si>
    <t>Computação Quântica</t>
  </si>
  <si>
    <t>GBC071</t>
  </si>
  <si>
    <t>Construção de Compiladores</t>
  </si>
  <si>
    <t>FEELT39040O</t>
  </si>
  <si>
    <t>Contratos Inteligentes e Segurança Blockchain</t>
  </si>
  <si>
    <t>FACOM39044</t>
  </si>
  <si>
    <t>Criptografia</t>
  </si>
  <si>
    <t>FACOM39049</t>
  </si>
  <si>
    <t>Data Warehouse</t>
  </si>
  <si>
    <t>FEELT39041</t>
  </si>
  <si>
    <t>Desenvolvimento de MOOCs</t>
  </si>
  <si>
    <t>FEELT31623</t>
  </si>
  <si>
    <t>Design Colaborativo</t>
  </si>
  <si>
    <t>FADIR39801</t>
  </si>
  <si>
    <t>Direito e Legislação</t>
  </si>
  <si>
    <t>RELACOES_ETNICO_RACIAIS, DIREITOS_HUMANOS, EDUCACAO_AMBIENTAL</t>
  </si>
  <si>
    <t>OPT</t>
  </si>
  <si>
    <t>Disciplinas Optativas</t>
  </si>
  <si>
    <t>carga_optativa</t>
  </si>
  <si>
    <t>Elementos de Sistemas Computacionais</t>
  </si>
  <si>
    <t>FEELT31409</t>
  </si>
  <si>
    <t>DCN_BASE_38, DCN_BASE_37, DCN_BASE_01, DCN_TEC_10, DCN_TEC_00, DCN_TEC_02, DCN_TEC_01</t>
  </si>
  <si>
    <t>FEELT31401</t>
  </si>
  <si>
    <t>Eletrônica Analógica I</t>
  </si>
  <si>
    <t>DCN_TEC_11, DCN_TEC_02, DCN_TEC_12, DCN_TEC_08</t>
  </si>
  <si>
    <t>FEELT31402</t>
  </si>
  <si>
    <t>Eletrônica Analógica I, Experimental de</t>
  </si>
  <si>
    <t>FEELT32502</t>
  </si>
  <si>
    <t>Eletrônica Analógica II</t>
  </si>
  <si>
    <t>FEELT31502</t>
  </si>
  <si>
    <t>Eletrônica Analógica II, Experimental de</t>
  </si>
  <si>
    <t>FAGEN39401</t>
  </si>
  <si>
    <t>Empreendedorismo e Inovação</t>
  </si>
  <si>
    <t>DCN_BASE_41, DCN_BASE_46</t>
  </si>
  <si>
    <t>FEELT!ECIA</t>
  </si>
  <si>
    <t>Engenharia de Contexto em IA Generativa</t>
  </si>
  <si>
    <t>DCN_BASE_06, DCN_BASE_42, DCN_BASE_40, DCN_BASE_03</t>
  </si>
  <si>
    <t>FEELT!ESOF</t>
  </si>
  <si>
    <t>Engenharia de Software</t>
  </si>
  <si>
    <t>Adaptável|Colaborativo|Orientado por Propósito</t>
  </si>
  <si>
    <t>FEELT!BD, FEELT!POO</t>
  </si>
  <si>
    <t>CC2020_DESENVOLVIMENTO_SOFTWARE</t>
  </si>
  <si>
    <t>DCN_BASE_36, DCN_BASE_02</t>
  </si>
  <si>
    <t>IERI39601</t>
  </si>
  <si>
    <t>Engenharia Econômica</t>
  </si>
  <si>
    <t>DCN_BASE_47, DCN_BASE_46</t>
  </si>
  <si>
    <t>FAMAT31033</t>
  </si>
  <si>
    <t>Estatística</t>
  </si>
  <si>
    <t>DCN_BASE_25</t>
  </si>
  <si>
    <t>Estrutura de Dados</t>
  </si>
  <si>
    <t>Meticuloso|Inventivo|Adaptável</t>
  </si>
  <si>
    <t>DCN_BASE_31, DCN_BASE_33</t>
  </si>
  <si>
    <t>FEELT!EAC</t>
  </si>
  <si>
    <t>Explorações em Arquiteturas Computacionais [por tipo]</t>
  </si>
  <si>
    <t>FEELT!ELC</t>
  </si>
  <si>
    <t>Explorações em Linguagens Computacionais [por tipo]</t>
  </si>
  <si>
    <t>Física Básica: Eletricidade e Magnetismo</t>
  </si>
  <si>
    <t>INFIS39031</t>
  </si>
  <si>
    <t>DCN_BASE_22, DCN_TEC_09, DCN_TEC_14, DCN_TEC_13</t>
  </si>
  <si>
    <t>INFIS39034</t>
  </si>
  <si>
    <t>Física Básica: Eletricidade e Magnetismo, Experimental de</t>
  </si>
  <si>
    <t>Física Básica: Mecânica</t>
  </si>
  <si>
    <t>DCN_BASE_22, DCN_TEC_14</t>
  </si>
  <si>
    <t>INFIS39032</t>
  </si>
  <si>
    <t>Física Básica: Mecânica, Experimental de</t>
  </si>
  <si>
    <t>INFIS31402</t>
  </si>
  <si>
    <t>Física Básica: Oscilações, Ondas e Óptica</t>
  </si>
  <si>
    <t>INFIS39056</t>
  </si>
  <si>
    <t>Física Básica: Oscilações, Ondas e Óptica, Experimental de</t>
  </si>
  <si>
    <t>FEELT39047</t>
  </si>
  <si>
    <t>Fontes Renováveis não Convencionais - Técnicas e Aplicações</t>
  </si>
  <si>
    <t>Fundamentos da Inteligência Artificial</t>
  </si>
  <si>
    <t>DCN_BASE_06, DCN_BASE_28, DCN_BASE_33</t>
  </si>
  <si>
    <t>Geometria Analítica</t>
  </si>
  <si>
    <t>GBC053</t>
  </si>
  <si>
    <t>Gerenciamento de Banco de Dados</t>
  </si>
  <si>
    <t>FAGEN32502</t>
  </si>
  <si>
    <t>Gerenciamento de Projetos</t>
  </si>
  <si>
    <t>FEELT!IACS</t>
  </si>
  <si>
    <t>IA Aplicada à Cibersegurança</t>
  </si>
  <si>
    <t>FEELT!SEG, FEELT!APMG</t>
  </si>
  <si>
    <t>DCN_BASE_06, DCN_BASE_11, DCN_BASE_04</t>
  </si>
  <si>
    <t>FEELT31603</t>
  </si>
  <si>
    <t>Instalações Elétricas</t>
  </si>
  <si>
    <t>FACOM39050</t>
  </si>
  <si>
    <t>Inteligência Artificial</t>
  </si>
  <si>
    <t>FEELT!FIA Fundamentos da Inteligência Artificial</t>
  </si>
  <si>
    <t>GBC063</t>
  </si>
  <si>
    <t>GSI051</t>
  </si>
  <si>
    <t>Inteligência Artificial Aplicada aos Negócios</t>
  </si>
  <si>
    <t>GBC209</t>
  </si>
  <si>
    <t>FEELT!IAES</t>
  </si>
  <si>
    <t>Inteligência Artificial, Ética e Sociedade</t>
  </si>
  <si>
    <t>DCN_BASE_06, DCN_BASE_40, DCN_BASE_42, DCN_BASE_43, DCN_BASE_45</t>
  </si>
  <si>
    <t>GBC073</t>
  </si>
  <si>
    <t>Inteligência Computacional</t>
  </si>
  <si>
    <t>GSI037</t>
  </si>
  <si>
    <t>Interação Humano-Computador</t>
  </si>
  <si>
    <t>FEELT31103</t>
  </si>
  <si>
    <t>Introdução à Engenharia de Computação</t>
  </si>
  <si>
    <t>RELACOES_ETNICO_RACIAIS, DIREITOS_HUMANOS, EDUCACAO_AMBIENTAL, PREVENCAO_DESASTRES</t>
  </si>
  <si>
    <t>DCN_BASE_42, DCN_BASE_43, DCN_BASE_40, DCN_BASE_44, DCN_BASE_41, DCN_BASE_45</t>
  </si>
  <si>
    <t>FEELT!IPE</t>
  </si>
  <si>
    <t>Introdução à Prototipagem Eletrônica</t>
  </si>
  <si>
    <t>DCN_BASE_18, DCN_BASE_13, DCN_TEC_12, DCN_TEC_10, DCN_TEC_00, DCN_TEC_07</t>
  </si>
  <si>
    <t>LIBRAS01</t>
  </si>
  <si>
    <t>Língua Brasileira de Sinais - Libras I</t>
  </si>
  <si>
    <t>LIBRAS</t>
  </si>
  <si>
    <t>LIBRAS02</t>
  </si>
  <si>
    <t>Língua Brasileira de Sinais - Libras II</t>
  </si>
  <si>
    <t>GBC044</t>
  </si>
  <si>
    <t>Linguagens Formais e Autômatos</t>
  </si>
  <si>
    <t>FEELT!TCOMP Teoria da Computação</t>
  </si>
  <si>
    <t>FEELT!LMD</t>
  </si>
  <si>
    <t>Lógica e Matemática Discreta para Computação</t>
  </si>
  <si>
    <t>Meticuloso|Adaptável|Orientado por Propósito</t>
  </si>
  <si>
    <t>DCN_BASE_20, DCN_BASE_28, DCN_BASE_24, DCN_BASE_35</t>
  </si>
  <si>
    <t>FEELT!MACE</t>
  </si>
  <si>
    <t>Memorial de Atividades Curriculares de Extensão</t>
  </si>
  <si>
    <t>DCN_BASE_44, DCN_BASE_42</t>
  </si>
  <si>
    <t>FAMAT31031</t>
  </si>
  <si>
    <t>Métodos Matemáticos</t>
  </si>
  <si>
    <t>Metrologia</t>
  </si>
  <si>
    <t>DCN_BASE_18, DCN_BASE_45, DCN_BASE_22, DCN_TEC_07</t>
  </si>
  <si>
    <t>FEELT39043</t>
  </si>
  <si>
    <t>Micro e Nanoeletrônica</t>
  </si>
  <si>
    <t>GBC212</t>
  </si>
  <si>
    <t>Mineração de Dados</t>
  </si>
  <si>
    <t>GSI055</t>
  </si>
  <si>
    <t>GBC065</t>
  </si>
  <si>
    <t>Modelagem e Simulação</t>
  </si>
  <si>
    <t>FEELT32901</t>
  </si>
  <si>
    <t>Modelagem e Simulação de Sistemas a Eventos Discretos</t>
  </si>
  <si>
    <t>FEELT!MLIA</t>
  </si>
  <si>
    <t>Modelos de Linguagem e Agentes de IA</t>
  </si>
  <si>
    <t>GBC213</t>
  </si>
  <si>
    <t>Multimídia</t>
  </si>
  <si>
    <t>DCN_BASE_12</t>
  </si>
  <si>
    <t>FACOM32605</t>
  </si>
  <si>
    <t>Organização e Recuperação da Informação</t>
  </si>
  <si>
    <t>GSI027</t>
  </si>
  <si>
    <t>Otimização</t>
  </si>
  <si>
    <t>FACOM31601</t>
  </si>
  <si>
    <t>DCN_BASE_26</t>
  </si>
  <si>
    <t>FEELT31723</t>
  </si>
  <si>
    <t>Otimização e Simulação</t>
  </si>
  <si>
    <t>FEELT!PEC30</t>
  </si>
  <si>
    <t>Perspectivas em Engenharia de Computação PEC30 [por tipo]</t>
  </si>
  <si>
    <t>FEELT!PEC45</t>
  </si>
  <si>
    <t>Perspectivas em Engenharia de Computação PEC45 [por tipo]</t>
  </si>
  <si>
    <t>FEELT!PEC60</t>
  </si>
  <si>
    <t>Perspectivas em Engenharia de Computação PEC60 [por tipo]</t>
  </si>
  <si>
    <t>FEELT!PEC75</t>
  </si>
  <si>
    <t>Perspectivas em Engenharia de Computação PEC75 [por tipo]</t>
  </si>
  <si>
    <t>FAGEN31703</t>
  </si>
  <si>
    <t>Pesquisa Operacional</t>
  </si>
  <si>
    <t>FACOM31401</t>
  </si>
  <si>
    <t>Princípios e Padrões de Projeto</t>
  </si>
  <si>
    <t>GSI058</t>
  </si>
  <si>
    <t>Processamento Digital de Imagens</t>
  </si>
  <si>
    <t>FACOM39053</t>
  </si>
  <si>
    <t>FEELT31628</t>
  </si>
  <si>
    <t>Processamento Digital de Sinais</t>
  </si>
  <si>
    <t>DCN_BASE_22, DCN_BASE_34, DCN_TEC_03</t>
  </si>
  <si>
    <t>FEELT!PF</t>
  </si>
  <si>
    <t>Programação Funcional</t>
  </si>
  <si>
    <t>Inventivo|Meticuloso|Autodirigido</t>
  </si>
  <si>
    <t>DCN_BASE_21, DCN_BASE_33, DCN_BASE_32, DCN_BASE_19</t>
  </si>
  <si>
    <t>GBC033</t>
  </si>
  <si>
    <t>FEELT!PF Programação Funcional</t>
  </si>
  <si>
    <t>GBC025</t>
  </si>
  <si>
    <t>Programação Lógica</t>
  </si>
  <si>
    <t>FEELT31407</t>
  </si>
  <si>
    <t>Programação Lógica e Inteligência Artificial</t>
  </si>
  <si>
    <t>FEELT!POO</t>
  </si>
  <si>
    <t>Programação Orientada a Objetos</t>
  </si>
  <si>
    <t>DCN_BASE_33, DCN_BASE_02</t>
  </si>
  <si>
    <t>FACOM32503</t>
  </si>
  <si>
    <t>Programação para Dispositivos Móveis</t>
  </si>
  <si>
    <t>GBC084</t>
  </si>
  <si>
    <t>Programação para Internet</t>
  </si>
  <si>
    <t>GSI059</t>
  </si>
  <si>
    <t>Programação Paralela e Distribuída</t>
  </si>
  <si>
    <t>Programação Procedimental</t>
  </si>
  <si>
    <t>FEELT!PS</t>
  </si>
  <si>
    <t>DCN_BASE_33</t>
  </si>
  <si>
    <t>Programação Script</t>
  </si>
  <si>
    <t>Autodirigido|Meticuloso|Inventivo</t>
  </si>
  <si>
    <t>FEELT!PW</t>
  </si>
  <si>
    <t>Programação Web</t>
  </si>
  <si>
    <t>GBC219</t>
  </si>
  <si>
    <t>Projeto de Redes de Computadores</t>
  </si>
  <si>
    <t>FEELT!PHFI</t>
  </si>
  <si>
    <t>Projetos de Hardware e Firmware para IOT</t>
  </si>
  <si>
    <t>FEELT31523</t>
  </si>
  <si>
    <t>FEELT!FPGA</t>
  </si>
  <si>
    <t>Projetos Digitais com FPGA</t>
  </si>
  <si>
    <t>DCN_TEC_01</t>
  </si>
  <si>
    <t>FEELT31724</t>
  </si>
  <si>
    <t>Redes de Comunicações I</t>
  </si>
  <si>
    <t>FEELT!SO</t>
  </si>
  <si>
    <t>DCN_BASE_04, DCN_BASE_39, DCN_TEC_04</t>
  </si>
  <si>
    <t>FEELT31831</t>
  </si>
  <si>
    <t>Redes de Comunicações II</t>
  </si>
  <si>
    <t>FEELT39057</t>
  </si>
  <si>
    <t>Redes de Sensores e Internet das Coisas</t>
  </si>
  <si>
    <t>FEELT31713</t>
  </si>
  <si>
    <t>Redes Industriais para Controle e Automação I</t>
  </si>
  <si>
    <t>FEELT32801</t>
  </si>
  <si>
    <t>Redes Industriais para Controle e Automação II</t>
  </si>
  <si>
    <t>FEELT39042</t>
  </si>
  <si>
    <t>Resolução de Problemas</t>
  </si>
  <si>
    <t>FEELT!RP1</t>
  </si>
  <si>
    <t>Resolução de Problemas I</t>
  </si>
  <si>
    <t>FEELT!RP2</t>
  </si>
  <si>
    <t>Resolução de Problemas II</t>
  </si>
  <si>
    <t>FEELT31722</t>
  </si>
  <si>
    <t>Robótica</t>
  </si>
  <si>
    <t>FEELT!SCON</t>
  </si>
  <si>
    <t>DCN_BASE_16</t>
  </si>
  <si>
    <t>FEELT!SEG</t>
  </si>
  <si>
    <t>Segurança de Sistemas Computacionais</t>
  </si>
  <si>
    <t>DCN_BASE_11, DCN_BASE_00, DCN_BASE_04</t>
  </si>
  <si>
    <t>FEELT31526</t>
  </si>
  <si>
    <t>Sinais e Multimídia</t>
  </si>
  <si>
    <t>FEELT!SCTR</t>
  </si>
  <si>
    <t>Sistemas Computacionais em Tempo Real</t>
  </si>
  <si>
    <t>DCN_BASE_39, DCN_BASE_10, DCN_BASE_00, DCN_BASE_05, DCN_TEC_05, DCN_TEC_00, DCN_TEC_06</t>
  </si>
  <si>
    <t>GBC043</t>
  </si>
  <si>
    <t>Sistemas de Banco de Dados</t>
  </si>
  <si>
    <t>FEELT!BD Banco de Dados</t>
  </si>
  <si>
    <t>Sistemas Digitais</t>
  </si>
  <si>
    <t>DCN_BASE_37, DCN_TEC_10, DCN_TEC_00</t>
  </si>
  <si>
    <t>FEELT31410</t>
  </si>
  <si>
    <t>Sistemas Digitais, Experimental de</t>
  </si>
  <si>
    <t>FEELT!SD</t>
  </si>
  <si>
    <t>Sistemas Distribuídos</t>
  </si>
  <si>
    <t>DCN_BASE_39, DCN_BASE_09, DCN_BASE_10, DCN_BASE_15, DCN_TEC_04</t>
  </si>
  <si>
    <t>GBC074</t>
  </si>
  <si>
    <t>FEELT!SD Sistemas Distribuídos</t>
  </si>
  <si>
    <t>FACOM32606</t>
  </si>
  <si>
    <t>Sistemas e Controle</t>
  </si>
  <si>
    <t>DCN_BASE_18, DCN_BASE_34, DCN_TEC_05, DCN_TEC_06</t>
  </si>
  <si>
    <t>Sistemas Embarcados I</t>
  </si>
  <si>
    <t>FEELT31401, FEELT!SO</t>
  </si>
  <si>
    <t>DCN_BASE_18, DCN_BASE_00, DCN_BASE_05, DCN_BASE_13, DCN_TEC_00, DCN_TEC_10, DCN_TEC_02, DCN_TEC_07, DCN_TEC_05, DCN_TEC_06</t>
  </si>
  <si>
    <t>FEELT39015</t>
  </si>
  <si>
    <t>Sistemas Embarcados II</t>
  </si>
  <si>
    <t>Sistemas Operacionais</t>
  </si>
  <si>
    <t>FEELT!PP, FEELT!AOC</t>
  </si>
  <si>
    <t>DCN_BASE_00</t>
  </si>
  <si>
    <t>GBC045</t>
  </si>
  <si>
    <t>FEELT!SO Sistemas Operacionais</t>
  </si>
  <si>
    <t>FEELT31521</t>
  </si>
  <si>
    <t>Tecnologias Web e Mobile</t>
  </si>
  <si>
    <t>FEELT!TCOMP</t>
  </si>
  <si>
    <t>Teoria da Computação</t>
  </si>
  <si>
    <t>DCN_BASE_27, DCN_BASE_30, DCN_BASE_29, DCN_BASE_35</t>
  </si>
  <si>
    <t>FEELT!TEC30</t>
  </si>
  <si>
    <t>Tópicos em Engenharia de Computação TEC30 [por tipo]</t>
  </si>
  <si>
    <t>FEELT!TEC45</t>
  </si>
  <si>
    <t>Tópicos em Engenharia de Computação TEC45 [por tipo]</t>
  </si>
  <si>
    <t>FEELT!TEC60</t>
  </si>
  <si>
    <t>Tópicos em Engenharia de Computação TEC60 [por tipo]</t>
  </si>
  <si>
    <t>FEELT!TEC75</t>
  </si>
  <si>
    <t>Tópicos em Engenharia de Computação TEC75 [por tipo]</t>
  </si>
  <si>
    <t>FEELT39040E</t>
  </si>
  <si>
    <t>Tópicos Especiais em Engenharia de Computação: Bancos de Dados Não Relacionais</t>
  </si>
  <si>
    <t>FEELT39040C</t>
  </si>
  <si>
    <t>Tópicos Especiais em Engenharia de Computação: Cloud Computing Architecture AWS</t>
  </si>
  <si>
    <t>FEELT39040G</t>
  </si>
  <si>
    <t>Tópicos Especiais em Engenharia de Computação: Computação Evolutiva</t>
  </si>
  <si>
    <t>FEELT39040P</t>
  </si>
  <si>
    <t>Tópicos Especiais em Engenharia de Computação: Desenvolvimento de hardware microcontrolado e firmware para IoT</t>
  </si>
  <si>
    <t>FEELT39040F</t>
  </si>
  <si>
    <t>Tópicos Especiais em Engenharia de Computação: Desenvolvimento de Jogos com uso de Realidade Virtual e Aumentada</t>
  </si>
  <si>
    <t>Universidade Federal de Uberlândia - Curso Superior de Tecnologia em Sistemas Ciberfísicos e Inteligentes para Automação</t>
  </si>
  <si>
    <t>1o Período</t>
  </si>
  <si>
    <t>2o Período</t>
  </si>
  <si>
    <t>3o Período</t>
  </si>
  <si>
    <t>4o Período</t>
  </si>
  <si>
    <t>5o Período</t>
  </si>
  <si>
    <t>6o Período</t>
  </si>
  <si>
    <t>Teor.</t>
  </si>
  <si>
    <t>EAD.</t>
  </si>
  <si>
    <t>Prát.</t>
  </si>
  <si>
    <t>Total</t>
  </si>
  <si>
    <t>Geral</t>
  </si>
  <si>
    <t>1  - Cálculo Diferencial e Integral I</t>
  </si>
  <si>
    <t>AC</t>
  </si>
  <si>
    <t>Estag</t>
  </si>
  <si>
    <t>OP</t>
  </si>
  <si>
    <t>6:10 - 7:10</t>
  </si>
  <si>
    <t>ACE</t>
  </si>
  <si>
    <t>7:00 - 7:50</t>
  </si>
  <si>
    <t xml:space="preserve">Toral </t>
  </si>
  <si>
    <t>7:50 - 8:40</t>
  </si>
  <si>
    <t>8:40 - 9:30</t>
  </si>
  <si>
    <t>9:30 - 10:20</t>
  </si>
  <si>
    <t>TSE</t>
  </si>
  <si>
    <t>1800 horas</t>
  </si>
  <si>
    <t>Mudaram de periodo</t>
  </si>
  <si>
    <t>Legenda</t>
  </si>
  <si>
    <t>Atividades de Extensão</t>
  </si>
  <si>
    <t>Pré-requisito</t>
  </si>
  <si>
    <t>Materias novas Inseridas</t>
  </si>
  <si>
    <t>Co-requisito</t>
  </si>
  <si>
    <t>COMPONENTES CURRICULARES OPTATIVOS ***</t>
  </si>
  <si>
    <t>1 - Dispositivos Ciberfísicos Inteligentes para Automação</t>
  </si>
  <si>
    <t>1000 horas</t>
  </si>
  <si>
    <t xml:space="preserve">Observações:
 - Para integralização curricular, o discente deverá cursar 80 horas de atividades acadêmicas complementares ao longo do curso.
 - O Enade é componente curricular obrigatório, conforme Lei nº 10861, de 14 de abril de 2004 (Sinaes).
(*) Para cursar as componentes curriculares: Administração, Ciências Econômicas, Direito e Legislação e Metodologia da Pesquisa e Escrita Científica o discente deverá ter cumprido no mínimo, 1000 horas em componentes curriculares. 
(**) Para cursar as componentes curriculares:Projeto Final de Curso, Projeto interdisciplinar de Engenharia de Controle e Automação e Estágio Supervisionado Obrigatório, o discente deverá ter cumprido, no mínimo, 1800 horas em componentes curriculares. 
(***) Para cursar todos os Tópicos Especiais em Engenharia de Controle e Automação o discente deverá ter cumprido no mínimo, 2500 horas em componentes curriculares.
(****) Os discentes deverão integralizar, no mínimo, 75 horas em disciplinas optativas.
(****) Os discentes poderão cursar, como optativas, quaisquer disciplinas oferecidas pela FEELT ou por outras unidades acadêmicas da UFU desde que aprovadas pelo colegiado do curso. As optativas não poderão ser utilizadas, ao mesmo tempo, para fins de equivalência curricular. </t>
  </si>
  <si>
    <t>codigo_origem</t>
  </si>
  <si>
    <t>codigo_destino</t>
  </si>
  <si>
    <t>observacao</t>
  </si>
  <si>
    <t>Administração -&gt; Empreendorismo e Inovação Tecnológica</t>
  </si>
  <si>
    <t>Algoritmos e Estrutura de Dados I -&gt; Estrutura de Dados</t>
  </si>
  <si>
    <t>Algoritmos e Estruturas de Dados II -&gt; Análise de Algoritmos</t>
  </si>
  <si>
    <t>Arquitetura de Redes TCP/IP -&gt; Redes de Comunicações II</t>
  </si>
  <si>
    <t>Arquitetura de Redes de Computadores -&gt; Redes de Comunicações I</t>
  </si>
  <si>
    <t>Ciências Econômicas -&gt; Engenharia Econômica</t>
  </si>
  <si>
    <t>Gerenciamento de Projetos -&gt; Empreendorismo e Inovação Tecnológica</t>
  </si>
  <si>
    <t>Inteligência Artificial -&gt; Fundamentos da Inteligência Artificial</t>
  </si>
  <si>
    <t>Linguagens Formais e Autômatos -&gt; Teoria da Computação</t>
  </si>
  <si>
    <t>Programação Funcional -&gt; Programação Funcional</t>
  </si>
  <si>
    <t>Redes Industriais para Controle e Automação I -&gt; Redes de Comunicações I</t>
  </si>
  <si>
    <t>Redes Industriais para Controle e Automação II -&gt; Redes de Comunicações II</t>
  </si>
  <si>
    <t>Sistemas Distribuídos -&gt; Sistemas Distribuídos</t>
  </si>
  <si>
    <t>Sistemas Operacionais -&gt; Sistemas Operacionais</t>
  </si>
  <si>
    <t>Sistemas de Banco de Dados -&gt; Banco de Dados</t>
  </si>
  <si>
    <t>id</t>
  </si>
  <si>
    <t>descricao</t>
  </si>
  <si>
    <t>Formação Básica</t>
  </si>
  <si>
    <t>Formação Humanística e de Extensão</t>
  </si>
  <si>
    <t>Formação Tecnológica e Profissional</t>
  </si>
  <si>
    <t>Formação Optativa e Complementar</t>
  </si>
  <si>
    <t>CC2020: Arquitetura e Infraestrutura de Sistemas</t>
  </si>
  <si>
    <t>CC2020: Desenvolvimento de Software</t>
  </si>
  <si>
    <t>CC2020: Fundamentos de Software</t>
  </si>
  <si>
    <t>CC2020: Hardware</t>
  </si>
  <si>
    <t>CC2020: Modelagem de Sistemas</t>
  </si>
  <si>
    <t>CC2020: Usuários e Organizações</t>
  </si>
  <si>
    <t>Formacao Basica Geral</t>
  </si>
  <si>
    <t>Formacao Complementar Geral</t>
  </si>
  <si>
    <t>Formacao Humanistica Geral</t>
  </si>
  <si>
    <t>Formacao Tecnologica Geral</t>
  </si>
  <si>
    <t>fonte_normativa</t>
  </si>
  <si>
    <t>status</t>
  </si>
  <si>
    <t>RELACOES_ETNICO_RACIAIS</t>
  </si>
  <si>
    <t>Educação das Relações Étnico-Raciais</t>
  </si>
  <si>
    <t>Resolução CNE/CP nº 1/2004</t>
  </si>
  <si>
    <t>Ensino de Libras</t>
  </si>
  <si>
    <t>Decreto nº 5.626/2005</t>
  </si>
  <si>
    <t>DIREITOS_HUMANOS</t>
  </si>
  <si>
    <t>Educação em Direitos Humanos</t>
  </si>
  <si>
    <t>Resolução CNE nº 1/2012</t>
  </si>
  <si>
    <t>EDUCACAO_AMBIENTAL</t>
  </si>
  <si>
    <t>Educação Ambiental</t>
  </si>
  <si>
    <t>Resolução CNE nº 2/2012</t>
  </si>
  <si>
    <t>PREVENCAO_DESASTRES</t>
  </si>
  <si>
    <t>Educação para Prevenção e Redução de Desastres</t>
  </si>
  <si>
    <t>Lei nº 13.425/2017</t>
  </si>
  <si>
    <t>fonte</t>
  </si>
  <si>
    <t>sistemas operacionais</t>
  </si>
  <si>
    <t>MEC_CNE_CES_136_2012</t>
  </si>
  <si>
    <t>compiladores</t>
  </si>
  <si>
    <t>DCN_BASE_02</t>
  </si>
  <si>
    <t>engenharia de software</t>
  </si>
  <si>
    <t>DCN_BASE_03</t>
  </si>
  <si>
    <t>interação humano-computador</t>
  </si>
  <si>
    <t>DCN_BASE_04</t>
  </si>
  <si>
    <t>redes de computadores</t>
  </si>
  <si>
    <t>DCN_BASE_05</t>
  </si>
  <si>
    <t>sistemas de tempo real</t>
  </si>
  <si>
    <t>DCN_BASE_06</t>
  </si>
  <si>
    <t>inteligência artificial e computacional</t>
  </si>
  <si>
    <t>DCN_BASE_07</t>
  </si>
  <si>
    <t>processamento de imagens</t>
  </si>
  <si>
    <t>DCN_BASE_08</t>
  </si>
  <si>
    <t>computação gráfica</t>
  </si>
  <si>
    <t>DCN_BASE_09</t>
  </si>
  <si>
    <t>banco de dados</t>
  </si>
  <si>
    <t>DCN_BASE_10</t>
  </si>
  <si>
    <t>dependabilidade</t>
  </si>
  <si>
    <t>DCN_BASE_11</t>
  </si>
  <si>
    <t>segurança</t>
  </si>
  <si>
    <t>multimídia</t>
  </si>
  <si>
    <t>DCN_BASE_13</t>
  </si>
  <si>
    <t>sistemas embarcados</t>
  </si>
  <si>
    <t>DCN_BASE_14</t>
  </si>
  <si>
    <t>processamento paralelo</t>
  </si>
  <si>
    <t>DCN_BASE_15</t>
  </si>
  <si>
    <t>processamento distribuído</t>
  </si>
  <si>
    <t>robótica</t>
  </si>
  <si>
    <t>DCN_BASE_17</t>
  </si>
  <si>
    <t>realidade virtual</t>
  </si>
  <si>
    <t>DCN_BASE_18</t>
  </si>
  <si>
    <t>automação</t>
  </si>
  <si>
    <t>DCN_BASE_19</t>
  </si>
  <si>
    <t>novos paradigmas de computação</t>
  </si>
  <si>
    <t>DCN_BASE_20</t>
  </si>
  <si>
    <t>matemática discreta</t>
  </si>
  <si>
    <t>DCN_BASE_21</t>
  </si>
  <si>
    <t>estruturas algébricas</t>
  </si>
  <si>
    <t>matemática do contínuo</t>
  </si>
  <si>
    <t>DCN_BASE_23</t>
  </si>
  <si>
    <t>teoria dos grafos</t>
  </si>
  <si>
    <t>DCN_BASE_24</t>
  </si>
  <si>
    <t>análise combinatória</t>
  </si>
  <si>
    <t>probabilidade e estatística</t>
  </si>
  <si>
    <t>pesquisa operacional e otimização</t>
  </si>
  <si>
    <t>DCN_BASE_27</t>
  </si>
  <si>
    <t>teoria da computação</t>
  </si>
  <si>
    <t>DCN_BASE_28</t>
  </si>
  <si>
    <t>lógica</t>
  </si>
  <si>
    <t>DCN_BASE_29</t>
  </si>
  <si>
    <t>algoritmos e complexidade</t>
  </si>
  <si>
    <t>DCN_BASE_30</t>
  </si>
  <si>
    <t>linguagens formais e autômatos</t>
  </si>
  <si>
    <t>DCN_BASE_31</t>
  </si>
  <si>
    <t>abstração e estruturas de dados</t>
  </si>
  <si>
    <t>DCN_BASE_32</t>
  </si>
  <si>
    <t>fundamentos de linguagens</t>
  </si>
  <si>
    <t>programação</t>
  </si>
  <si>
    <t>DCN_BASE_34</t>
  </si>
  <si>
    <t>modelagem computacional</t>
  </si>
  <si>
    <t>DCN_BASE_35</t>
  </si>
  <si>
    <t>métodos formais</t>
  </si>
  <si>
    <t>DCN_BASE_36</t>
  </si>
  <si>
    <t>análise, especificação, verificação e testes de sistemas</t>
  </si>
  <si>
    <t>DCN_BASE_37</t>
  </si>
  <si>
    <t>circuitos digitais</t>
  </si>
  <si>
    <t>arquitetura e organização de computadores</t>
  </si>
  <si>
    <t>DCN_BASE_39</t>
  </si>
  <si>
    <t>avaliação de desempenho</t>
  </si>
  <si>
    <t>DCN_BASE_40</t>
  </si>
  <si>
    <t>ética e legislação</t>
  </si>
  <si>
    <t>DCN_BASE_41</t>
  </si>
  <si>
    <t>empreendedorismo</t>
  </si>
  <si>
    <t>computação e sociedade</t>
  </si>
  <si>
    <t>DCN_BASE_43</t>
  </si>
  <si>
    <t>filosofia</t>
  </si>
  <si>
    <t>DCN_BASE_44</t>
  </si>
  <si>
    <t>metodologia cientifica</t>
  </si>
  <si>
    <t>DCN_BASE_45</t>
  </si>
  <si>
    <t>meio ambiente</t>
  </si>
  <si>
    <t>DCN_BASE_46</t>
  </si>
  <si>
    <t>fundamentos de administração</t>
  </si>
  <si>
    <t>DCN_BASE_47</t>
  </si>
  <si>
    <t>fundamentos de economia</t>
  </si>
  <si>
    <t>DCN_TEC_00</t>
  </si>
  <si>
    <t>projeto de sistemas digitais</t>
  </si>
  <si>
    <t>projeto de circuitos integrados</t>
  </si>
  <si>
    <t>DCN_TEC_02</t>
  </si>
  <si>
    <t>microeletrônica e nanoeletrônica</t>
  </si>
  <si>
    <t>DCN_TEC_03</t>
  </si>
  <si>
    <t>processamento digital de sinais</t>
  </si>
  <si>
    <t>DCN_TEC_04</t>
  </si>
  <si>
    <t>comunicação de dados</t>
  </si>
  <si>
    <t>DCN_TEC_05</t>
  </si>
  <si>
    <t>sistemas de controle</t>
  </si>
  <si>
    <t>DCN_TEC_06</t>
  </si>
  <si>
    <t>automação de projeto</t>
  </si>
  <si>
    <t>DCN_TEC_07</t>
  </si>
  <si>
    <t>transdutores</t>
  </si>
  <si>
    <t>DCN_TEC_08</t>
  </si>
  <si>
    <t>teoria dos semicondutores</t>
  </si>
  <si>
    <t>DCN_TEC_09</t>
  </si>
  <si>
    <t>teoria eletromagnética</t>
  </si>
  <si>
    <t>DCN_TEC_10</t>
  </si>
  <si>
    <t>eletrônica digital</t>
  </si>
  <si>
    <t>DCN_TEC_11</t>
  </si>
  <si>
    <t>eletrônica analógica</t>
  </si>
  <si>
    <t>DCN_TEC_12</t>
  </si>
  <si>
    <t>circuitos elétricos</t>
  </si>
  <si>
    <t>DCN_TEC_13</t>
  </si>
  <si>
    <t>eletricidade</t>
  </si>
  <si>
    <t>DCN_TEC_14</t>
  </si>
  <si>
    <t>física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</si>
</sst>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FF0000"/>
      <name val="Calibri"/>
      <family val="2"/>
      <scheme val="minor"/>
    </font>
    <font>
      <sz val="11"/>
      <name val="Calibri"/>
      <family val="2"/>
      <scheme val="minor"/>
    </font>
    <font>
      <sz val="8"/>
      <name val="Calibri"/>
      <family val="2"/>
      <scheme val="minor"/>
    </font>
    <font>
      <b/>
      <sz val="10"/>
      <name val="Calibri"/>
      <family val="2"/>
      <scheme val="minor"/>
    </font>
    <font>
      <b/>
      <sz val="8"/>
      <name val="Calibri"/>
      <family val="2"/>
      <scheme val="minor"/>
    </font>
    <font>
      <b/>
      <sz val="10"/>
      <color rgb="FFFF0000"/>
      <name val="Calibri"/>
      <family val="2"/>
      <scheme val="minor"/>
    </font>
    <font>
      <u/>
      <sz val="11"/>
      <color theme="1"/>
      <name val="Calibri"/>
      <family val="2"/>
      <scheme val="minor"/>
    </font>
    <font>
      <u/>
      <sz val="11"/>
      <name val="Calibri"/>
      <family val="2"/>
      <scheme val="minor"/>
    </font>
    <font>
      <sz val="8"/>
      <color theme="1"/>
      <name val="Calibri"/>
      <family val="2"/>
      <scheme val="minor"/>
    </font>
    <font>
      <sz val="7"/>
      <name val="Calibri"/>
      <family val="2"/>
      <scheme val="minor"/>
    </font>
    <font>
      <b/>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FF00"/>
        <bgColor indexed="64"/>
      </patternFill>
    </fill>
  </fills>
  <borders count="2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right style="thin">
        <color indexed="64"/>
      </right>
      <top/>
      <bottom style="double">
        <color indexed="64"/>
      </bottom>
      <diagonal/>
    </border>
    <border>
      <left style="medium">
        <color indexed="64"/>
      </left>
      <right style="thin">
        <color indexed="64"/>
      </right>
      <top/>
      <bottom style="double">
        <color indexed="64"/>
      </bottom>
      <diagonal/>
    </border>
    <border>
      <left/>
      <right/>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6">
    <xf numFmtId="0" fontId="0" fillId="0" borderId="0" xfId="0"/>
    <xf numFmtId="0" fontId="2" fillId="0" borderId="0" xfId="0" applyFont="1"/>
    <xf numFmtId="0" fontId="2" fillId="0" borderId="0" xfId="0" applyFont="1" applyAlignment="1">
      <alignment horizontal="right"/>
    </xf>
    <xf numFmtId="0" fontId="3" fillId="0" borderId="0" xfId="0" applyFont="1"/>
    <xf numFmtId="0" fontId="3" fillId="0" borderId="0" xfId="0" applyFont="1" applyAlignment="1">
      <alignment horizontal="right"/>
    </xf>
    <xf numFmtId="0" fontId="3" fillId="0" borderId="3" xfId="0" applyFont="1" applyBorder="1"/>
    <xf numFmtId="0" fontId="5" fillId="2" borderId="4" xfId="0" applyFont="1" applyFill="1" applyBorder="1" applyAlignment="1">
      <alignment horizontal="center"/>
    </xf>
    <xf numFmtId="0" fontId="5" fillId="2" borderId="5" xfId="0" applyFont="1" applyFill="1" applyBorder="1" applyAlignment="1">
      <alignment horizontal="center"/>
    </xf>
    <xf numFmtId="0" fontId="0" fillId="2" borderId="0" xfId="0" applyFill="1"/>
    <xf numFmtId="0" fontId="3" fillId="2" borderId="6" xfId="0" applyFont="1" applyFill="1" applyBorder="1"/>
    <xf numFmtId="0" fontId="5" fillId="0" borderId="0" xfId="0" applyFont="1" applyAlignment="1">
      <alignment horizontal="center"/>
    </xf>
    <xf numFmtId="0" fontId="5" fillId="2" borderId="7" xfId="0" applyFont="1" applyFill="1" applyBorder="1" applyAlignment="1">
      <alignment horizontal="center"/>
    </xf>
    <xf numFmtId="0" fontId="5" fillId="2" borderId="0" xfId="0" applyFont="1" applyFill="1" applyAlignment="1">
      <alignment horizontal="center"/>
    </xf>
    <xf numFmtId="0" fontId="6" fillId="0" borderId="7" xfId="0" applyFont="1" applyBorder="1" applyAlignment="1">
      <alignment horizontal="right"/>
    </xf>
    <xf numFmtId="0" fontId="6" fillId="0" borderId="0" xfId="0" applyFont="1" applyAlignment="1">
      <alignment horizontal="left"/>
    </xf>
    <xf numFmtId="0" fontId="5" fillId="2" borderId="10" xfId="0" applyFont="1" applyFill="1" applyBorder="1" applyAlignment="1">
      <alignment horizontal="center"/>
    </xf>
    <xf numFmtId="0" fontId="7" fillId="2" borderId="0" xfId="0" applyFont="1" applyFill="1"/>
    <xf numFmtId="0" fontId="5" fillId="0" borderId="0" xfId="0" quotePrefix="1" applyFont="1" applyAlignment="1">
      <alignment horizontal="center"/>
    </xf>
    <xf numFmtId="0" fontId="5" fillId="2" borderId="10" xfId="0" quotePrefix="1" applyFont="1" applyFill="1" applyBorder="1" applyAlignment="1">
      <alignment horizontal="center"/>
    </xf>
    <xf numFmtId="0" fontId="2" fillId="2" borderId="7" xfId="0" applyFont="1" applyFill="1" applyBorder="1"/>
    <xf numFmtId="0" fontId="2" fillId="2" borderId="0" xfId="0" applyFont="1" applyFill="1"/>
    <xf numFmtId="0" fontId="0" fillId="2" borderId="11" xfId="0" applyFill="1" applyBorder="1"/>
    <xf numFmtId="0" fontId="6" fillId="2" borderId="0" xfId="0" applyFont="1" applyFill="1" applyAlignment="1">
      <alignment horizontal="right"/>
    </xf>
    <xf numFmtId="0" fontId="6" fillId="2" borderId="0" xfId="0" applyFont="1" applyFill="1" applyAlignment="1">
      <alignment horizontal="left"/>
    </xf>
    <xf numFmtId="0" fontId="2" fillId="2" borderId="0" xfId="0" applyFont="1" applyFill="1" applyAlignment="1">
      <alignment horizontal="right"/>
    </xf>
    <xf numFmtId="0" fontId="3" fillId="2" borderId="17" xfId="0" applyFont="1" applyFill="1" applyBorder="1" applyAlignment="1">
      <alignment horizontal="right"/>
    </xf>
    <xf numFmtId="0" fontId="3" fillId="3" borderId="10" xfId="0" applyFont="1" applyFill="1" applyBorder="1" applyAlignment="1">
      <alignment horizontal="center"/>
    </xf>
    <xf numFmtId="0" fontId="3" fillId="2" borderId="10" xfId="0" applyFont="1" applyFill="1" applyBorder="1" applyAlignment="1">
      <alignment horizontal="center"/>
    </xf>
    <xf numFmtId="0" fontId="3" fillId="4" borderId="10" xfId="0" applyFont="1" applyFill="1" applyBorder="1" applyAlignment="1">
      <alignment horizontal="center"/>
    </xf>
    <xf numFmtId="0" fontId="2" fillId="2" borderId="8" xfId="0" applyFont="1" applyFill="1" applyBorder="1"/>
    <xf numFmtId="0" fontId="2" fillId="2" borderId="19" xfId="0" applyFont="1" applyFill="1" applyBorder="1"/>
    <xf numFmtId="0" fontId="3" fillId="2" borderId="20" xfId="0" applyFont="1" applyFill="1" applyBorder="1" applyAlignment="1">
      <alignment horizontal="right"/>
    </xf>
    <xf numFmtId="1" fontId="2" fillId="2" borderId="0" xfId="0" applyNumberFormat="1" applyFont="1" applyFill="1"/>
    <xf numFmtId="0" fontId="3" fillId="2" borderId="18" xfId="0" applyFont="1" applyFill="1" applyBorder="1" applyAlignment="1">
      <alignment horizontal="right"/>
    </xf>
    <xf numFmtId="0" fontId="3" fillId="5" borderId="10" xfId="0" applyFont="1" applyFill="1" applyBorder="1" applyAlignment="1">
      <alignment horizontal="center"/>
    </xf>
    <xf numFmtId="0" fontId="2" fillId="0" borderId="11" xfId="0" applyFont="1" applyBorder="1"/>
    <xf numFmtId="0" fontId="8" fillId="0" borderId="0" xfId="0" applyFont="1"/>
    <xf numFmtId="0" fontId="3" fillId="6" borderId="10" xfId="0" applyFont="1" applyFill="1" applyBorder="1" applyAlignment="1">
      <alignment horizontal="center"/>
    </xf>
    <xf numFmtId="0" fontId="0" fillId="2" borderId="0" xfId="0" applyFill="1" applyAlignment="1">
      <alignment horizontal="right"/>
    </xf>
    <xf numFmtId="0" fontId="9" fillId="2" borderId="18" xfId="0" applyFont="1" applyFill="1" applyBorder="1" applyAlignment="1">
      <alignment horizontal="right"/>
    </xf>
    <xf numFmtId="0" fontId="2" fillId="2" borderId="11" xfId="0" applyFont="1" applyFill="1" applyBorder="1"/>
    <xf numFmtId="0" fontId="9" fillId="2" borderId="17" xfId="0" applyFont="1" applyFill="1" applyBorder="1" applyAlignment="1">
      <alignment horizontal="right"/>
    </xf>
    <xf numFmtId="0" fontId="3" fillId="7" borderId="10" xfId="0" applyFont="1" applyFill="1" applyBorder="1" applyAlignment="1">
      <alignment horizontal="center"/>
    </xf>
    <xf numFmtId="0" fontId="9" fillId="2" borderId="10" xfId="0" applyFont="1" applyFill="1" applyBorder="1" applyAlignment="1">
      <alignment horizontal="center"/>
    </xf>
    <xf numFmtId="0" fontId="3" fillId="2" borderId="21" xfId="0" applyFont="1" applyFill="1" applyBorder="1" applyAlignment="1">
      <alignment horizontal="right"/>
    </xf>
    <xf numFmtId="0" fontId="1" fillId="2" borderId="0" xfId="0" applyFont="1" applyFill="1"/>
    <xf numFmtId="0" fontId="3" fillId="2" borderId="0" xfId="0" applyFont="1" applyFill="1" applyAlignment="1">
      <alignment vertical="center"/>
    </xf>
    <xf numFmtId="0" fontId="3" fillId="2" borderId="0" xfId="0" applyFont="1" applyFill="1" applyAlignment="1">
      <alignment horizontal="center"/>
    </xf>
    <xf numFmtId="0" fontId="2" fillId="8" borderId="0" xfId="0" applyFont="1" applyFill="1"/>
    <xf numFmtId="0" fontId="3" fillId="2" borderId="3" xfId="0" applyFont="1" applyFill="1" applyBorder="1" applyAlignment="1">
      <alignment vertical="center"/>
    </xf>
    <xf numFmtId="0" fontId="5" fillId="2" borderId="4" xfId="0" applyFont="1" applyFill="1" applyBorder="1" applyAlignment="1">
      <alignment horizontal="left" vertical="center"/>
    </xf>
    <xf numFmtId="0" fontId="2" fillId="2" borderId="4" xfId="0" applyFont="1" applyFill="1" applyBorder="1"/>
    <xf numFmtId="0" fontId="0" fillId="2" borderId="4" xfId="0" applyFill="1" applyBorder="1"/>
    <xf numFmtId="0" fontId="0" fillId="2" borderId="6" xfId="0" applyFill="1" applyBorder="1"/>
    <xf numFmtId="0" fontId="2" fillId="4" borderId="0" xfId="0" applyFont="1" applyFill="1"/>
    <xf numFmtId="0" fontId="3" fillId="2" borderId="7" xfId="0" applyFont="1" applyFill="1" applyBorder="1" applyAlignment="1">
      <alignment vertical="center"/>
    </xf>
    <xf numFmtId="0" fontId="5" fillId="2" borderId="17" xfId="0" applyFont="1" applyFill="1" applyBorder="1"/>
    <xf numFmtId="0" fontId="3" fillId="2" borderId="0" xfId="0" applyFont="1" applyFill="1" applyAlignment="1">
      <alignment horizontal="left"/>
    </xf>
    <xf numFmtId="0" fontId="3" fillId="2" borderId="11" xfId="0" applyFont="1" applyFill="1" applyBorder="1" applyAlignment="1">
      <alignment horizontal="left"/>
    </xf>
    <xf numFmtId="0" fontId="2" fillId="9" borderId="0" xfId="0" applyFont="1" applyFill="1"/>
    <xf numFmtId="0" fontId="3" fillId="2" borderId="0" xfId="0" applyFont="1" applyFill="1"/>
    <xf numFmtId="0" fontId="3" fillId="2" borderId="22" xfId="0" applyFont="1" applyFill="1" applyBorder="1"/>
    <xf numFmtId="0" fontId="3" fillId="2" borderId="11" xfId="0" applyFont="1" applyFill="1" applyBorder="1"/>
    <xf numFmtId="0" fontId="3" fillId="2" borderId="0" xfId="0" applyFont="1" applyFill="1" applyAlignment="1">
      <alignment vertical="top" wrapText="1"/>
    </xf>
    <xf numFmtId="0" fontId="0" fillId="2" borderId="23" xfId="0" applyFill="1" applyBorder="1"/>
    <xf numFmtId="0" fontId="0" fillId="2" borderId="24" xfId="0" applyFill="1" applyBorder="1"/>
    <xf numFmtId="0" fontId="0" fillId="2" borderId="25" xfId="0" applyFill="1" applyBorder="1"/>
    <xf numFmtId="0" fontId="3" fillId="2" borderId="0" xfId="0" applyFont="1" applyFill="1" applyAlignment="1">
      <alignment horizontal="right" vertical="center"/>
    </xf>
    <xf numFmtId="0" fontId="9" fillId="2" borderId="0" xfId="0" applyFont="1" applyFill="1" applyAlignment="1">
      <alignment horizontal="center"/>
    </xf>
    <xf numFmtId="0" fontId="2" fillId="2" borderId="24" xfId="0" applyFont="1" applyFill="1" applyBorder="1"/>
    <xf numFmtId="0" fontId="3" fillId="2" borderId="24" xfId="0" applyFont="1" applyFill="1" applyBorder="1" applyAlignment="1">
      <alignment vertical="center"/>
    </xf>
    <xf numFmtId="0" fontId="3" fillId="2" borderId="24" xfId="0" applyFont="1" applyFill="1" applyBorder="1" applyAlignment="1">
      <alignment vertical="top" wrapText="1"/>
    </xf>
    <xf numFmtId="0" fontId="2" fillId="2" borderId="25" xfId="0" applyFont="1" applyFill="1" applyBorder="1"/>
    <xf numFmtId="0" fontId="2" fillId="0" borderId="23" xfId="0" applyFont="1" applyBorder="1"/>
    <xf numFmtId="0" fontId="2" fillId="0" borderId="25" xfId="0" applyFont="1" applyBorder="1"/>
    <xf numFmtId="0" fontId="2" fillId="2" borderId="3" xfId="0" applyFont="1" applyFill="1" applyBorder="1"/>
    <xf numFmtId="0" fontId="2" fillId="2" borderId="6" xfId="0" applyFont="1" applyFill="1" applyBorder="1"/>
    <xf numFmtId="0" fontId="2" fillId="0" borderId="0" xfId="0" applyFont="1" applyAlignment="1">
      <alignment horizontal="left"/>
    </xf>
    <xf numFmtId="0" fontId="3" fillId="2" borderId="18" xfId="0" applyFont="1" applyFill="1" applyBorder="1"/>
    <xf numFmtId="0" fontId="3" fillId="2" borderId="0" xfId="0" applyFont="1" applyFill="1" applyAlignment="1">
      <alignment vertical="center" wrapText="1"/>
    </xf>
    <xf numFmtId="0" fontId="3" fillId="2" borderId="26" xfId="0" applyFont="1" applyFill="1" applyBorder="1"/>
    <xf numFmtId="0" fontId="2" fillId="2" borderId="15" xfId="0" applyFont="1" applyFill="1" applyBorder="1"/>
    <xf numFmtId="0" fontId="3" fillId="2" borderId="0" xfId="0" applyFont="1" applyFill="1" applyAlignment="1">
      <alignment horizontal="left" vertical="center" wrapText="1"/>
    </xf>
    <xf numFmtId="0" fontId="2" fillId="2" borderId="23" xfId="0" applyFont="1" applyFill="1" applyBorder="1"/>
    <xf numFmtId="0" fontId="3" fillId="2" borderId="24" xfId="0" applyFont="1" applyFill="1" applyBorder="1" applyAlignment="1">
      <alignment horizontal="center"/>
    </xf>
    <xf numFmtId="0" fontId="3" fillId="2" borderId="24" xfId="0" applyFont="1" applyFill="1" applyBorder="1" applyAlignment="1">
      <alignment horizontal="left" vertical="center" wrapText="1"/>
    </xf>
    <xf numFmtId="0" fontId="5" fillId="2" borderId="10" xfId="0" applyFont="1" applyFill="1" applyBorder="1" applyAlignment="1">
      <alignment horizontal="center" vertical="center"/>
    </xf>
    <xf numFmtId="0" fontId="3" fillId="2" borderId="10" xfId="0" applyFont="1" applyFill="1" applyBorder="1" applyAlignment="1">
      <alignment horizontal="center" vertical="center" wrapText="1"/>
    </xf>
    <xf numFmtId="0" fontId="0" fillId="0" borderId="12" xfId="0" applyBorder="1"/>
    <xf numFmtId="0" fontId="0" fillId="0" borderId="13" xfId="0" applyBorder="1"/>
    <xf numFmtId="0" fontId="0" fillId="0" borderId="14" xfId="0" applyBorder="1"/>
    <xf numFmtId="0" fontId="2" fillId="0" borderId="0" xfId="0" applyFont="1"/>
    <xf numFmtId="0" fontId="0" fillId="0" borderId="15" xfId="0" applyBorder="1"/>
    <xf numFmtId="0" fontId="0" fillId="0" borderId="16" xfId="0" applyBorder="1"/>
    <xf numFmtId="0" fontId="0" fillId="0" borderId="17" xfId="0" applyBorder="1"/>
    <xf numFmtId="0" fontId="0" fillId="0" borderId="18" xfId="0" applyBorder="1"/>
    <xf numFmtId="0" fontId="3" fillId="2" borderId="18" xfId="0" applyFont="1" applyFill="1" applyBorder="1" applyAlignment="1">
      <alignment horizontal="center" vertical="center" textRotation="90"/>
    </xf>
    <xf numFmtId="0" fontId="5" fillId="2" borderId="10" xfId="0" applyFont="1" applyFill="1" applyBorder="1" applyAlignment="1">
      <alignment horizontal="center"/>
    </xf>
    <xf numFmtId="0" fontId="0" fillId="0" borderId="8" xfId="0" applyBorder="1"/>
    <xf numFmtId="0" fontId="0" fillId="0" borderId="9" xfId="0" applyBorder="1"/>
    <xf numFmtId="0" fontId="5" fillId="2" borderId="28" xfId="0" applyFont="1" applyFill="1" applyBorder="1" applyAlignment="1">
      <alignment horizontal="left" vertical="top" wrapText="1"/>
    </xf>
    <xf numFmtId="0" fontId="0" fillId="0" borderId="4" xfId="0" applyBorder="1"/>
    <xf numFmtId="0" fontId="0" fillId="0" borderId="6" xfId="0" applyBorder="1"/>
    <xf numFmtId="0" fontId="0" fillId="0" borderId="7" xfId="0" applyBorder="1"/>
    <xf numFmtId="0" fontId="0" fillId="0" borderId="11" xfId="0" applyBorder="1"/>
    <xf numFmtId="0" fontId="2" fillId="0" borderId="0" xfId="0" applyFont="1" applyAlignment="1">
      <alignment horizontal="right"/>
    </xf>
    <xf numFmtId="0" fontId="0" fillId="0" borderId="23" xfId="0" applyBorder="1"/>
    <xf numFmtId="0" fontId="0" fillId="0" borderId="24" xfId="0" applyBorder="1"/>
    <xf numFmtId="0" fontId="0" fillId="0" borderId="25" xfId="0" applyBorder="1"/>
    <xf numFmtId="0" fontId="5" fillId="2" borderId="10" xfId="0" quotePrefix="1" applyFont="1" applyFill="1" applyBorder="1" applyAlignment="1">
      <alignment horizontal="center" vertical="center"/>
    </xf>
    <xf numFmtId="0" fontId="0" fillId="0" borderId="27" xfId="0" applyBorder="1"/>
    <xf numFmtId="0" fontId="3" fillId="5" borderId="10"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2" borderId="18" xfId="0" applyFont="1" applyFill="1" applyBorder="1" applyAlignment="1">
      <alignment vertical="center" textRotation="90"/>
    </xf>
    <xf numFmtId="0" fontId="3" fillId="6" borderId="10" xfId="0" applyFont="1" applyFill="1" applyBorder="1" applyAlignment="1">
      <alignment horizontal="center" vertical="center" wrapText="1"/>
    </xf>
    <xf numFmtId="0" fontId="2" fillId="2" borderId="28" xfId="0" applyFont="1" applyFill="1" applyBorder="1" applyAlignment="1">
      <alignment horizontal="center"/>
    </xf>
    <xf numFmtId="0" fontId="0" fillId="0" borderId="1" xfId="0" applyBorder="1"/>
    <xf numFmtId="0" fontId="0" fillId="0" borderId="2" xfId="0" applyBorder="1"/>
    <xf numFmtId="0" fontId="10" fillId="2" borderId="10"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0" xfId="0" applyFont="1" applyFill="1" applyAlignment="1">
      <alignment horizontal="center" vertical="center" wrapText="1"/>
    </xf>
    <xf numFmtId="0" fontId="3" fillId="3" borderId="10" xfId="0" applyFont="1" applyFill="1" applyBorder="1" applyAlignment="1">
      <alignment horizontal="center" vertical="center" wrapText="1"/>
    </xf>
    <xf numFmtId="0" fontId="4" fillId="2" borderId="28" xfId="0" applyFont="1" applyFill="1" applyBorder="1" applyAlignment="1">
      <alignment horizontal="center"/>
    </xf>
    <xf numFmtId="0" fontId="0" fillId="0" borderId="0" xfId="0" applyAlignment="1">
      <alignment horizontal="center"/>
    </xf>
    <xf numFmtId="0" fontId="1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iagrama5">
    <pageSetUpPr fitToPage="1"/>
  </sheetPr>
  <dimension ref="A1:BX97"/>
  <sheetViews>
    <sheetView showRuler="0" showWhiteSpace="0" view="pageBreakPreview" zoomScale="130" zoomScaleNormal="115" zoomScaleSheetLayoutView="130" zoomScalePageLayoutView="85" workbookViewId="0">
      <selection activeCell="C9" sqref="C9:F11"/>
    </sheetView>
  </sheetViews>
  <sheetFormatPr defaultColWidth="9.140625" defaultRowHeight="15" x14ac:dyDescent="0.25"/>
  <cols>
    <col min="1" max="1" width="1.7109375" style="1" customWidth="1"/>
    <col min="2" max="2" width="2.85546875" style="1" customWidth="1"/>
    <col min="3" max="3" width="4.42578125" style="1" bestFit="1" customWidth="1"/>
    <col min="4" max="5" width="4.140625" style="1" bestFit="1" customWidth="1"/>
    <col min="6" max="6" width="4.28515625" style="1" bestFit="1" customWidth="1"/>
    <col min="7" max="7" width="1.28515625" style="1" customWidth="1"/>
    <col min="8" max="8" width="2.42578125" style="1" customWidth="1"/>
    <col min="9" max="9" width="4.42578125" style="1" bestFit="1" customWidth="1"/>
    <col min="10" max="10" width="4.42578125" style="1" customWidth="1"/>
    <col min="11" max="11" width="4.28515625" style="1" customWidth="1"/>
    <col min="12" max="12" width="4.28515625" style="1" bestFit="1" customWidth="1"/>
    <col min="13" max="13" width="1" style="1" customWidth="1"/>
    <col min="14" max="14" width="2.85546875" style="1" customWidth="1"/>
    <col min="15" max="16" width="4.140625" style="1" customWidth="1"/>
    <col min="17" max="17" width="4.7109375" style="1" customWidth="1"/>
    <col min="18" max="18" width="4" style="1" customWidth="1"/>
    <col min="19" max="19" width="1.140625" style="1" customWidth="1"/>
    <col min="20" max="20" width="2.5703125" style="1" customWidth="1"/>
    <col min="21" max="22" width="4.140625" style="1" customWidth="1"/>
    <col min="23" max="23" width="3.85546875" style="1" customWidth="1"/>
    <col min="24" max="24" width="5.28515625" style="1" bestFit="1" customWidth="1"/>
    <col min="25" max="25" width="1.28515625" style="1" customWidth="1"/>
    <col min="26" max="26" width="2.7109375" style="1" customWidth="1"/>
    <col min="27" max="28" width="4.140625" style="1" customWidth="1"/>
    <col min="29" max="29" width="4.5703125" style="1" customWidth="1"/>
    <col min="30" max="30" width="3.85546875" style="1" customWidth="1"/>
    <col min="31" max="31" width="1" style="1" customWidth="1"/>
    <col min="32" max="32" width="2.140625" style="1" customWidth="1"/>
    <col min="33" max="33" width="4.5703125" style="1" bestFit="1" customWidth="1"/>
    <col min="34" max="34" width="4.5703125" style="1" customWidth="1"/>
    <col min="35" max="35" width="3.85546875" style="1" customWidth="1"/>
    <col min="36" max="36" width="4.85546875" style="1" customWidth="1"/>
    <col min="37" max="37" width="0.85546875" style="1" customWidth="1"/>
    <col min="38" max="38" width="2.42578125" style="1" customWidth="1"/>
    <col min="39" max="39" width="4.140625" style="1" customWidth="1"/>
    <col min="40" max="40" width="4" style="1" customWidth="1"/>
    <col min="41" max="41" width="4.85546875" style="1" customWidth="1"/>
    <col min="42" max="42" width="1" style="1" customWidth="1"/>
    <col min="43" max="43" width="2.42578125" style="1" customWidth="1"/>
    <col min="44" max="44" width="4.140625" style="1" customWidth="1"/>
    <col min="45" max="45" width="3.7109375" style="1" customWidth="1"/>
    <col min="46" max="46" width="4.85546875" style="1" customWidth="1"/>
    <col min="47" max="47" width="0.85546875" style="1" customWidth="1"/>
    <col min="48" max="48" width="2.7109375" style="1" customWidth="1"/>
    <col min="49" max="49" width="4.5703125" style="1" customWidth="1"/>
    <col min="50" max="50" width="4" style="1" customWidth="1"/>
    <col min="51" max="51" width="4.85546875" style="1" customWidth="1"/>
    <col min="52" max="52" width="1" style="1" customWidth="1"/>
    <col min="53" max="53" width="2.7109375" style="1" customWidth="1"/>
    <col min="54" max="54" width="4.140625" style="1" customWidth="1"/>
    <col min="55" max="55" width="4.28515625" style="1" customWidth="1"/>
    <col min="56" max="56" width="3.7109375" style="1" customWidth="1"/>
    <col min="57" max="57" width="1.140625" style="1" customWidth="1"/>
    <col min="58" max="58" width="4.5703125" style="2" customWidth="1"/>
    <col min="59" max="59" width="5.85546875" style="1" customWidth="1"/>
    <col min="60" max="60" width="9.140625" style="1" customWidth="1"/>
    <col min="61" max="16384" width="9.140625" style="1"/>
  </cols>
  <sheetData>
    <row r="1" spans="1:64" ht="3.75" customHeight="1" thickBot="1" x14ac:dyDescent="0.3"/>
    <row r="2" spans="1:64" s="3" customFormat="1" ht="12.75" customHeight="1" thickBot="1" x14ac:dyDescent="0.3">
      <c r="B2" s="123" t="s">
        <v>427</v>
      </c>
      <c r="C2" s="117"/>
      <c r="D2" s="117"/>
      <c r="E2" s="117"/>
      <c r="F2" s="117"/>
      <c r="G2" s="117"/>
      <c r="H2" s="117"/>
      <c r="I2" s="117"/>
      <c r="J2" s="117"/>
      <c r="K2" s="117"/>
      <c r="L2" s="117"/>
      <c r="M2" s="117"/>
      <c r="N2" s="117"/>
      <c r="O2" s="117"/>
      <c r="P2" s="117"/>
      <c r="Q2" s="117"/>
      <c r="R2" s="117"/>
      <c r="S2" s="117"/>
      <c r="T2" s="117"/>
      <c r="U2" s="117"/>
      <c r="V2" s="117"/>
      <c r="W2" s="117"/>
      <c r="X2" s="117"/>
      <c r="Y2" s="117"/>
      <c r="Z2" s="117"/>
      <c r="AA2" s="117"/>
      <c r="AB2" s="117"/>
      <c r="AC2" s="117"/>
      <c r="AD2" s="117"/>
      <c r="AE2" s="117"/>
      <c r="AF2" s="117"/>
      <c r="AG2" s="117"/>
      <c r="AH2" s="117"/>
      <c r="AI2" s="117"/>
      <c r="AJ2" s="117"/>
      <c r="AK2" s="117"/>
      <c r="AL2" s="117"/>
      <c r="AM2" s="117"/>
      <c r="AN2" s="117"/>
      <c r="AO2" s="117"/>
      <c r="AP2" s="117"/>
      <c r="AQ2" s="117"/>
      <c r="AR2" s="117"/>
      <c r="AS2" s="117"/>
      <c r="AT2" s="117"/>
      <c r="AU2" s="117"/>
      <c r="AV2" s="117"/>
      <c r="AW2" s="117"/>
      <c r="AX2" s="117"/>
      <c r="AY2" s="117"/>
      <c r="AZ2" s="117"/>
      <c r="BA2" s="117"/>
      <c r="BB2" s="117"/>
      <c r="BC2" s="117"/>
      <c r="BD2" s="117"/>
      <c r="BE2" s="118"/>
      <c r="BF2" s="4"/>
    </row>
    <row r="3" spans="1:64" s="3" customFormat="1" ht="3.75" customHeight="1" x14ac:dyDescent="0.25">
      <c r="B3" s="5"/>
      <c r="C3" s="6"/>
      <c r="D3" s="6"/>
      <c r="E3" s="6"/>
      <c r="F3" s="6"/>
      <c r="G3" s="6"/>
      <c r="H3" s="6"/>
      <c r="I3" s="7"/>
      <c r="J3" s="7"/>
      <c r="K3" s="7"/>
      <c r="L3" s="7"/>
      <c r="M3" s="6"/>
      <c r="N3" s="6"/>
      <c r="O3" s="7"/>
      <c r="P3" s="7"/>
      <c r="Q3" s="7"/>
      <c r="R3" s="7"/>
      <c r="S3" s="6"/>
      <c r="T3" s="6"/>
      <c r="U3" s="7"/>
      <c r="V3" s="7"/>
      <c r="W3" s="7"/>
      <c r="X3" s="7"/>
      <c r="Y3" s="6"/>
      <c r="Z3" s="6"/>
      <c r="AA3" s="7"/>
      <c r="AB3" s="7"/>
      <c r="AC3" s="7"/>
      <c r="AD3" s="7"/>
      <c r="AE3" s="6"/>
      <c r="AF3" s="6"/>
      <c r="AG3" s="7"/>
      <c r="AH3" s="7"/>
      <c r="AI3" s="7"/>
      <c r="AJ3" s="7"/>
      <c r="AK3" s="6"/>
      <c r="AL3" s="6"/>
      <c r="AM3" s="8"/>
      <c r="AN3" s="8"/>
      <c r="AO3" s="8"/>
      <c r="AP3" s="8"/>
      <c r="AQ3" s="8"/>
      <c r="AR3" s="8"/>
      <c r="AS3" s="8"/>
      <c r="AT3" s="8"/>
      <c r="AU3" s="8"/>
      <c r="AV3" s="8"/>
      <c r="AW3" s="8"/>
      <c r="AX3" s="8"/>
      <c r="AY3" s="8"/>
      <c r="AZ3" s="8"/>
      <c r="BA3" s="8"/>
      <c r="BB3" s="8"/>
      <c r="BC3" s="8"/>
      <c r="BD3" s="8"/>
      <c r="BE3" s="9"/>
      <c r="BF3" s="4"/>
    </row>
    <row r="4" spans="1:64" s="10" customFormat="1" x14ac:dyDescent="0.25">
      <c r="B4" s="11"/>
      <c r="C4" s="97" t="s">
        <v>428</v>
      </c>
      <c r="D4" s="98"/>
      <c r="E4" s="98"/>
      <c r="F4" s="99"/>
      <c r="G4" s="12"/>
      <c r="H4" s="12"/>
      <c r="I4" s="97" t="s">
        <v>429</v>
      </c>
      <c r="J4" s="98"/>
      <c r="K4" s="98"/>
      <c r="L4" s="99"/>
      <c r="M4" s="12"/>
      <c r="N4" s="12"/>
      <c r="O4" s="97" t="s">
        <v>430</v>
      </c>
      <c r="P4" s="98"/>
      <c r="Q4" s="98"/>
      <c r="R4" s="99"/>
      <c r="S4" s="12"/>
      <c r="T4" s="12"/>
      <c r="U4" s="97" t="s">
        <v>431</v>
      </c>
      <c r="V4" s="98"/>
      <c r="W4" s="98"/>
      <c r="X4" s="99"/>
      <c r="Y4" s="12"/>
      <c r="Z4" s="12"/>
      <c r="AA4" s="97" t="s">
        <v>432</v>
      </c>
      <c r="AB4" s="98"/>
      <c r="AC4" s="98"/>
      <c r="AD4" s="99"/>
      <c r="AE4" s="12"/>
      <c r="AF4" s="12"/>
      <c r="AG4" s="97" t="s">
        <v>433</v>
      </c>
      <c r="AH4" s="98"/>
      <c r="AI4" s="98"/>
      <c r="AJ4" s="99"/>
      <c r="AK4" s="12"/>
      <c r="AL4" s="8"/>
      <c r="AM4" s="8"/>
      <c r="AN4" s="8"/>
      <c r="AO4" s="8"/>
      <c r="AP4" s="8"/>
      <c r="AQ4" s="8"/>
      <c r="AR4" s="8"/>
      <c r="AS4" s="8"/>
      <c r="AT4" s="8"/>
      <c r="AU4" s="8"/>
      <c r="AV4" s="8"/>
      <c r="AW4" s="8"/>
      <c r="AX4" s="8"/>
      <c r="AY4" s="8"/>
      <c r="AZ4" s="8"/>
      <c r="BA4" s="8"/>
      <c r="BB4" s="8"/>
      <c r="BC4" s="8"/>
      <c r="BD4" s="8"/>
      <c r="BE4" s="8"/>
      <c r="BF4" s="13"/>
      <c r="BG4" s="14"/>
    </row>
    <row r="5" spans="1:64" s="10" customFormat="1" x14ac:dyDescent="0.25">
      <c r="B5" s="11"/>
      <c r="C5" s="15" t="s">
        <v>434</v>
      </c>
      <c r="D5" s="15" t="s">
        <v>435</v>
      </c>
      <c r="E5" s="15" t="s">
        <v>436</v>
      </c>
      <c r="F5" s="15" t="s">
        <v>437</v>
      </c>
      <c r="G5" s="12"/>
      <c r="H5" s="12"/>
      <c r="I5" s="15" t="s">
        <v>434</v>
      </c>
      <c r="J5" s="15" t="s">
        <v>435</v>
      </c>
      <c r="K5" s="15" t="s">
        <v>436</v>
      </c>
      <c r="L5" s="15" t="s">
        <v>437</v>
      </c>
      <c r="M5" s="12"/>
      <c r="N5" s="12"/>
      <c r="O5" s="15" t="s">
        <v>434</v>
      </c>
      <c r="P5" s="15" t="s">
        <v>435</v>
      </c>
      <c r="Q5" s="15" t="s">
        <v>436</v>
      </c>
      <c r="R5" s="15" t="s">
        <v>437</v>
      </c>
      <c r="S5" s="12"/>
      <c r="T5" s="12"/>
      <c r="U5" s="15" t="s">
        <v>434</v>
      </c>
      <c r="V5" s="15" t="s">
        <v>435</v>
      </c>
      <c r="W5" s="15" t="s">
        <v>436</v>
      </c>
      <c r="X5" s="15" t="s">
        <v>437</v>
      </c>
      <c r="Y5" s="12"/>
      <c r="Z5" s="12"/>
      <c r="AA5" s="15" t="s">
        <v>434</v>
      </c>
      <c r="AB5" s="15" t="s">
        <v>435</v>
      </c>
      <c r="AC5" s="15" t="s">
        <v>436</v>
      </c>
      <c r="AD5" s="15" t="s">
        <v>437</v>
      </c>
      <c r="AE5" s="12"/>
      <c r="AF5" s="12"/>
      <c r="AG5" s="15" t="s">
        <v>434</v>
      </c>
      <c r="AH5" s="15" t="s">
        <v>435</v>
      </c>
      <c r="AI5" s="15" t="s">
        <v>436</v>
      </c>
      <c r="AJ5" s="15" t="s">
        <v>437</v>
      </c>
      <c r="AK5" s="12"/>
      <c r="AL5" s="8"/>
      <c r="AM5" s="8"/>
      <c r="AN5" s="8"/>
      <c r="AO5" s="8"/>
      <c r="AP5" s="8"/>
      <c r="AQ5" s="16"/>
      <c r="AR5" s="8"/>
      <c r="AS5" s="8"/>
      <c r="AT5" s="8"/>
      <c r="AU5" s="8"/>
      <c r="AV5" s="8"/>
      <c r="AW5" s="8"/>
      <c r="AX5" s="8"/>
      <c r="AY5" s="8"/>
      <c r="AZ5" s="8"/>
      <c r="BA5" s="8"/>
      <c r="BB5" s="8"/>
      <c r="BC5" s="8"/>
      <c r="BD5" s="8"/>
      <c r="BE5" s="8"/>
      <c r="BF5" s="13"/>
      <c r="BG5" s="14"/>
    </row>
    <row r="6" spans="1:64" s="10" customFormat="1" ht="9.75" customHeight="1" x14ac:dyDescent="0.25">
      <c r="B6" s="11"/>
      <c r="C6" s="109">
        <f>SUM(C12,C17,C22,C27,C32,C37,C42,C47,)</f>
        <v>210</v>
      </c>
      <c r="D6" s="109">
        <f>SUM(D12,D17,D22,D27,D32,D37,D42,D47,)</f>
        <v>45</v>
      </c>
      <c r="E6" s="109">
        <f>SUM(E12,E17,E22,E27,E32,E37,E42,E47)</f>
        <v>90</v>
      </c>
      <c r="F6" s="86">
        <f>SUM(F12,F17,F22,F27,F32,F37,F42,F47)</f>
        <v>345</v>
      </c>
      <c r="G6" s="12"/>
      <c r="H6" s="12"/>
      <c r="I6" s="109">
        <f>SUM(I12,I17,I22,I27,I32,I37,I42,I47,)</f>
        <v>225</v>
      </c>
      <c r="J6" s="109">
        <f>SUM(J12,J17,J22,J27,J32,J37,J42,J47,)</f>
        <v>45</v>
      </c>
      <c r="K6" s="109">
        <f>SUM(K12,K17,K22,K27,K32,K37,K42,K47)</f>
        <v>75</v>
      </c>
      <c r="L6" s="86">
        <f>SUM(L12,L17,L22,L27,L32,L37,L42,L47)</f>
        <v>345</v>
      </c>
      <c r="M6" s="12"/>
      <c r="N6" s="12"/>
      <c r="O6" s="109">
        <f>SUM(O12,O17,O22,O27,O32,O37,O42,O47,)</f>
        <v>240</v>
      </c>
      <c r="P6" s="109">
        <f>SUM(P12,P17,P22,P27,P32,P37,P42,P47,)</f>
        <v>30</v>
      </c>
      <c r="Q6" s="109">
        <f>SUM(Q12,Q17,Q22,Q27,Q32,Q37,Q42,Q47)</f>
        <v>75</v>
      </c>
      <c r="R6" s="86">
        <f>SUM(R12,R17,R22,R27,R32,R37,R42,R47)</f>
        <v>345</v>
      </c>
      <c r="S6" s="12"/>
      <c r="T6" s="12"/>
      <c r="U6" s="109">
        <f>SUM(U12,U17,U22,U27,U32,U37,U42,U47,)</f>
        <v>210</v>
      </c>
      <c r="V6" s="109">
        <f>SUM(V12,V17,V22,V27,V32,V37,V42,V47,)</f>
        <v>30</v>
      </c>
      <c r="W6" s="109">
        <f>SUM(W17,W22,W27,W32,W37,W42,W47)</f>
        <v>120</v>
      </c>
      <c r="X6" s="86">
        <f>SUM(X17,X22,X27,X32,X37,X42,X47)</f>
        <v>360</v>
      </c>
      <c r="Y6" s="12"/>
      <c r="Z6" s="12"/>
      <c r="AA6" s="109">
        <f>SUM(AA12,AA17,AA22,AA27,AA32,AA37,AA42,AA47,)</f>
        <v>180</v>
      </c>
      <c r="AB6" s="109">
        <f>SUM(AB12,AB17,AB22,AB27,AB32,AB37,AB42,AB47,)</f>
        <v>30</v>
      </c>
      <c r="AC6" s="109">
        <f>SUM(AC17,AC22,AC27,AC32,AC37,AC42,AC47)</f>
        <v>120</v>
      </c>
      <c r="AD6" s="86">
        <f>SUM(AD17,AD22,AD27,AD32,AD37,AD42,AD47)</f>
        <v>330</v>
      </c>
      <c r="AE6" s="12"/>
      <c r="AF6" s="12"/>
      <c r="AG6" s="109">
        <f>SUM(AG12,AG17,AG22,AG27,AG32,AG37,AG42,AG47,)</f>
        <v>120</v>
      </c>
      <c r="AH6" s="109">
        <f>SUM(AH12,AH17,AH22,AH27,AH32,AH37,AH42,AH47,)</f>
        <v>15</v>
      </c>
      <c r="AI6" s="109">
        <f>SUM(AI17,AI22,AI27,AI32)</f>
        <v>75</v>
      </c>
      <c r="AJ6" s="86">
        <f>SUM(AJ17,AJ22,AJ27,AJ32)</f>
        <v>210</v>
      </c>
      <c r="AK6" s="12"/>
      <c r="AL6" s="8"/>
      <c r="AM6" s="8"/>
      <c r="AN6" s="8"/>
      <c r="AO6" s="8"/>
      <c r="AP6" s="8"/>
      <c r="AQ6" s="16"/>
      <c r="AR6" s="8"/>
      <c r="AS6" s="8"/>
      <c r="AT6" s="8"/>
      <c r="AU6" s="8"/>
      <c r="AV6" s="8"/>
      <c r="AW6" s="8"/>
      <c r="AX6" s="8"/>
      <c r="AY6" s="8"/>
      <c r="AZ6" s="8"/>
      <c r="BA6" s="8"/>
      <c r="BB6" s="8"/>
      <c r="BC6" s="8"/>
      <c r="BD6" s="8"/>
      <c r="BE6" s="8"/>
      <c r="BF6" s="13"/>
      <c r="BG6" s="14"/>
    </row>
    <row r="7" spans="1:64" s="10" customFormat="1" ht="12" customHeight="1" x14ac:dyDescent="0.25">
      <c r="A7" s="17"/>
      <c r="B7" s="11"/>
      <c r="C7" s="110"/>
      <c r="D7" s="110"/>
      <c r="E7" s="110"/>
      <c r="F7" s="18">
        <f>SUM(C6+E6)</f>
        <v>300</v>
      </c>
      <c r="G7" s="12"/>
      <c r="H7" s="12"/>
      <c r="I7" s="110"/>
      <c r="J7" s="110"/>
      <c r="K7" s="110"/>
      <c r="L7" s="18">
        <f>SUM(I6+K6)</f>
        <v>300</v>
      </c>
      <c r="M7" s="12"/>
      <c r="N7" s="12"/>
      <c r="O7" s="110"/>
      <c r="P7" s="110"/>
      <c r="Q7" s="110"/>
      <c r="R7" s="18">
        <f>SUM(O6+Q6)</f>
        <v>315</v>
      </c>
      <c r="S7" s="12"/>
      <c r="T7" s="12"/>
      <c r="U7" s="110"/>
      <c r="V7" s="110"/>
      <c r="W7" s="110"/>
      <c r="X7" s="18">
        <f>SUM(U6+W6)</f>
        <v>330</v>
      </c>
      <c r="Y7" s="12"/>
      <c r="Z7" s="12"/>
      <c r="AA7" s="110"/>
      <c r="AB7" s="110"/>
      <c r="AC7" s="110"/>
      <c r="AD7" s="18">
        <f>SUM(AA6+AC6)</f>
        <v>300</v>
      </c>
      <c r="AE7" s="12"/>
      <c r="AF7" s="12"/>
      <c r="AG7" s="110"/>
      <c r="AH7" s="110"/>
      <c r="AI7" s="110"/>
      <c r="AJ7" s="18">
        <f>SUM(AG6+AI6)</f>
        <v>195</v>
      </c>
      <c r="AK7" s="12"/>
      <c r="AL7" s="8"/>
      <c r="AM7" s="8"/>
      <c r="AN7" s="8"/>
      <c r="AO7" s="8"/>
      <c r="AP7" s="8"/>
      <c r="AQ7" s="8"/>
      <c r="AR7" s="8"/>
      <c r="AS7" s="8"/>
      <c r="AT7" s="8"/>
      <c r="AU7" s="8"/>
      <c r="AV7" s="8"/>
      <c r="AW7" s="8"/>
      <c r="AX7" s="8"/>
      <c r="AY7" s="8"/>
      <c r="AZ7" s="8"/>
      <c r="BA7" s="8"/>
      <c r="BB7" s="8"/>
      <c r="BC7" s="8"/>
      <c r="BD7" s="8"/>
      <c r="BE7" s="8"/>
      <c r="BF7" s="13"/>
      <c r="BG7" s="14"/>
    </row>
    <row r="8" spans="1:64" ht="10.5" customHeight="1" x14ac:dyDescent="0.25">
      <c r="B8" s="19"/>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8"/>
      <c r="AM8" s="8"/>
      <c r="AN8" s="8"/>
      <c r="AO8" s="8"/>
      <c r="AP8" s="8"/>
      <c r="AQ8" s="8"/>
      <c r="AR8" s="8"/>
      <c r="AS8" s="8"/>
      <c r="AT8" s="8"/>
      <c r="AU8" s="8"/>
      <c r="AV8" s="8"/>
      <c r="AW8" s="8"/>
      <c r="AX8" s="8"/>
      <c r="AY8" s="8"/>
      <c r="AZ8" s="8"/>
      <c r="BA8" s="8"/>
      <c r="BB8" s="8"/>
      <c r="BC8" s="8"/>
      <c r="BD8" s="8"/>
      <c r="BE8" s="21"/>
      <c r="BF8" s="22" t="s">
        <v>438</v>
      </c>
      <c r="BG8" s="23">
        <f>SUM(F6,L6,R6,X6,AD6,AJ6)-BG11</f>
        <v>1860</v>
      </c>
    </row>
    <row r="9" spans="1:64" ht="15" customHeight="1" x14ac:dyDescent="0.25">
      <c r="B9" s="19"/>
      <c r="C9" s="122" t="s">
        <v>439</v>
      </c>
      <c r="D9" s="88"/>
      <c r="E9" s="88"/>
      <c r="F9" s="89"/>
      <c r="G9" s="20"/>
      <c r="H9" s="20"/>
      <c r="I9" s="122" t="str">
        <f>TEXT(INT(LEFT(C34,2))+1,"0") &amp; " - Cálculo Diferencial e Integral II"</f>
        <v>7 - Cálculo Diferencial e Integral II</v>
      </c>
      <c r="J9" s="88"/>
      <c r="K9" s="88"/>
      <c r="L9" s="89"/>
      <c r="M9" s="20"/>
      <c r="N9" s="24"/>
      <c r="O9" s="87" t="str">
        <f>TEXT(INT(LEFT(I34,2))+1,"0") &amp; " - Sinais e Sistemas I"</f>
        <v>14 - Sinais e Sistemas I</v>
      </c>
      <c r="P9" s="88"/>
      <c r="Q9" s="88"/>
      <c r="R9" s="89"/>
      <c r="S9" s="20"/>
      <c r="T9" s="20"/>
      <c r="U9" s="113" t="str">
        <f>TEXT(INT(LEFT(O34,2))+1,"0") &amp; " - Atividades Curriculares de Extensão I"</f>
        <v>19 - Atividades Curriculares de Extensão I</v>
      </c>
      <c r="V9" s="88"/>
      <c r="W9" s="88"/>
      <c r="X9" s="89"/>
      <c r="Y9" s="20"/>
      <c r="Z9" s="20"/>
      <c r="AA9" s="113" t="str">
        <f>TEXT(INT(LEFT(U39,2))+1,"0") &amp; " - Atividades Curriculares de Extensão II"</f>
        <v>26 - Atividades Curriculares de Extensão II</v>
      </c>
      <c r="AB9" s="88"/>
      <c r="AC9" s="88"/>
      <c r="AD9" s="89"/>
      <c r="AE9" s="20"/>
      <c r="AF9" s="8"/>
      <c r="AG9" s="113" t="str">
        <f>TEXT(INT(LEFT(AA34,2))+1,"0") &amp; "  - Atividades Curriculares de Extensão III"</f>
        <v>32  - Atividades Curriculares de Extensão III</v>
      </c>
      <c r="AH9" s="88"/>
      <c r="AI9" s="88"/>
      <c r="AJ9" s="89"/>
      <c r="AK9" s="20"/>
      <c r="AL9" s="8"/>
      <c r="AM9" s="8"/>
      <c r="AN9" s="8"/>
      <c r="AO9" s="8"/>
      <c r="AP9" s="12"/>
      <c r="AQ9" s="20"/>
      <c r="AR9" s="20"/>
      <c r="AS9" s="20"/>
      <c r="AT9" s="20"/>
      <c r="AU9" s="8"/>
      <c r="AV9" s="8"/>
      <c r="AW9" s="8"/>
      <c r="AX9" s="20"/>
      <c r="AY9" s="20"/>
      <c r="AZ9" s="20"/>
      <c r="BA9" s="20"/>
      <c r="BB9" s="20"/>
      <c r="BC9" s="8"/>
      <c r="BD9" s="8"/>
      <c r="BE9" s="8"/>
      <c r="BF9" s="22" t="s">
        <v>440</v>
      </c>
      <c r="BG9" s="23">
        <f>AJ42</f>
        <v>80</v>
      </c>
      <c r="BH9" s="8"/>
      <c r="BI9" s="8"/>
      <c r="BJ9" s="8"/>
      <c r="BK9" s="8"/>
      <c r="BL9" s="8"/>
    </row>
    <row r="10" spans="1:64" x14ac:dyDescent="0.25">
      <c r="B10" s="19"/>
      <c r="C10" s="90"/>
      <c r="D10" s="91"/>
      <c r="E10" s="91"/>
      <c r="F10" s="92"/>
      <c r="G10" s="20"/>
      <c r="H10" s="20"/>
      <c r="I10" s="90"/>
      <c r="J10" s="91"/>
      <c r="K10" s="91"/>
      <c r="L10" s="92"/>
      <c r="M10" s="20"/>
      <c r="N10" s="24"/>
      <c r="O10" s="90"/>
      <c r="P10" s="91"/>
      <c r="Q10" s="91"/>
      <c r="R10" s="92"/>
      <c r="S10" s="20"/>
      <c r="T10" s="20"/>
      <c r="U10" s="90"/>
      <c r="V10" s="91"/>
      <c r="W10" s="91"/>
      <c r="X10" s="92"/>
      <c r="Y10" s="20"/>
      <c r="Z10" s="20"/>
      <c r="AA10" s="90"/>
      <c r="AB10" s="91"/>
      <c r="AC10" s="91"/>
      <c r="AD10" s="92"/>
      <c r="AE10" s="20"/>
      <c r="AF10" s="8"/>
      <c r="AG10" s="90"/>
      <c r="AH10" s="91"/>
      <c r="AI10" s="91"/>
      <c r="AJ10" s="92"/>
      <c r="AK10" s="20"/>
      <c r="AL10" s="8"/>
      <c r="AM10" s="8"/>
      <c r="AN10" s="8"/>
      <c r="AO10" s="8"/>
      <c r="AP10" s="12"/>
      <c r="AQ10" s="20"/>
      <c r="AR10" s="20"/>
      <c r="AS10" s="20"/>
      <c r="AT10" s="20"/>
      <c r="AU10" s="8"/>
      <c r="AV10" s="8"/>
      <c r="AW10" s="8"/>
      <c r="AX10" s="20"/>
      <c r="AY10" s="20"/>
      <c r="AZ10" s="20"/>
      <c r="BA10" s="20"/>
      <c r="BB10" s="20"/>
      <c r="BC10" s="8"/>
      <c r="BD10" s="8"/>
      <c r="BE10" s="8"/>
      <c r="BF10" s="22" t="s">
        <v>441</v>
      </c>
      <c r="BG10" s="23">
        <f>AJ37</f>
        <v>160</v>
      </c>
      <c r="BH10" s="8"/>
      <c r="BI10" s="8"/>
      <c r="BJ10" s="8"/>
      <c r="BK10" s="8"/>
      <c r="BL10" s="8"/>
    </row>
    <row r="11" spans="1:64" ht="14.25" customHeight="1" x14ac:dyDescent="0.25">
      <c r="B11" s="19"/>
      <c r="C11" s="93"/>
      <c r="D11" s="94"/>
      <c r="E11" s="94"/>
      <c r="F11" s="95"/>
      <c r="G11" s="20"/>
      <c r="H11" s="25" t="str">
        <f>LEFT(C9,2)</f>
        <v xml:space="preserve">1 </v>
      </c>
      <c r="I11" s="93"/>
      <c r="J11" s="94"/>
      <c r="K11" s="94"/>
      <c r="L11" s="95"/>
      <c r="M11" s="20"/>
      <c r="N11" s="25" t="str">
        <f>LEFT(I9,2)</f>
        <v xml:space="preserve">7 </v>
      </c>
      <c r="O11" s="93"/>
      <c r="P11" s="94"/>
      <c r="Q11" s="94"/>
      <c r="R11" s="95"/>
      <c r="S11" s="20"/>
      <c r="T11" s="20"/>
      <c r="U11" s="93"/>
      <c r="V11" s="94"/>
      <c r="W11" s="94"/>
      <c r="X11" s="95"/>
      <c r="Y11" s="20"/>
      <c r="Z11" s="20"/>
      <c r="AA11" s="93"/>
      <c r="AB11" s="94"/>
      <c r="AC11" s="94"/>
      <c r="AD11" s="95"/>
      <c r="AE11" s="20"/>
      <c r="AF11" s="8"/>
      <c r="AG11" s="93"/>
      <c r="AH11" s="94"/>
      <c r="AI11" s="94"/>
      <c r="AJ11" s="95"/>
      <c r="AK11" s="20"/>
      <c r="AL11" s="8"/>
      <c r="AM11" s="8"/>
      <c r="AN11" s="8"/>
      <c r="AO11" s="8"/>
      <c r="AP11" s="12"/>
      <c r="AQ11" s="20"/>
      <c r="AR11" s="20"/>
      <c r="AS11" s="20"/>
      <c r="AT11" s="20"/>
      <c r="AU11" s="8"/>
      <c r="AV11" s="8"/>
      <c r="AW11" s="8"/>
      <c r="AX11" s="20"/>
      <c r="AY11" s="20"/>
      <c r="AZ11" s="20"/>
      <c r="BA11" s="20"/>
      <c r="BB11" s="20"/>
      <c r="BC11" s="8"/>
      <c r="BD11" s="8"/>
      <c r="BE11" s="8"/>
      <c r="BF11" s="22" t="s">
        <v>442</v>
      </c>
      <c r="BG11" s="23">
        <f>AJ32</f>
        <v>75</v>
      </c>
      <c r="BH11" s="8"/>
      <c r="BI11" s="8" t="s">
        <v>443</v>
      </c>
      <c r="BJ11" s="8"/>
      <c r="BK11" s="8"/>
      <c r="BL11" s="8"/>
    </row>
    <row r="12" spans="1:64" ht="12" customHeight="1" x14ac:dyDescent="0.25">
      <c r="B12" s="19"/>
      <c r="C12" s="26">
        <v>60</v>
      </c>
      <c r="D12" s="26">
        <v>0</v>
      </c>
      <c r="E12" s="26">
        <v>0</v>
      </c>
      <c r="F12" s="26">
        <f>SUM(C12:E12)</f>
        <v>60</v>
      </c>
      <c r="G12" s="20"/>
      <c r="H12" s="20"/>
      <c r="I12" s="26">
        <v>90</v>
      </c>
      <c r="J12" s="26">
        <v>0</v>
      </c>
      <c r="K12" s="26">
        <v>0</v>
      </c>
      <c r="L12" s="26">
        <f>SUM(I12:K12)</f>
        <v>90</v>
      </c>
      <c r="M12" s="20"/>
      <c r="N12" s="24"/>
      <c r="O12" s="27">
        <v>60</v>
      </c>
      <c r="P12" s="27">
        <v>30</v>
      </c>
      <c r="Q12" s="27">
        <v>0</v>
      </c>
      <c r="R12" s="27">
        <f>SUM(O12:Q12)</f>
        <v>90</v>
      </c>
      <c r="S12" s="20"/>
      <c r="T12" s="20"/>
      <c r="U12" s="28">
        <v>0</v>
      </c>
      <c r="V12" s="28">
        <v>0</v>
      </c>
      <c r="W12" s="28">
        <v>90</v>
      </c>
      <c r="X12" s="28">
        <f>SUM(U12:W12)</f>
        <v>90</v>
      </c>
      <c r="Y12" s="20"/>
      <c r="Z12" s="20"/>
      <c r="AA12" s="28">
        <v>0</v>
      </c>
      <c r="AB12" s="28">
        <v>0</v>
      </c>
      <c r="AC12" s="28">
        <v>90</v>
      </c>
      <c r="AD12" s="28">
        <f>SUM(AA12:AC12)</f>
        <v>90</v>
      </c>
      <c r="AE12" s="20"/>
      <c r="AF12" s="8"/>
      <c r="AG12" s="28">
        <v>0</v>
      </c>
      <c r="AH12" s="28">
        <v>0</v>
      </c>
      <c r="AI12" s="28">
        <v>60</v>
      </c>
      <c r="AJ12" s="28">
        <f>SUM(AG12:AI12)</f>
        <v>60</v>
      </c>
      <c r="AK12" s="20"/>
      <c r="AL12" s="8"/>
      <c r="AM12" s="8"/>
      <c r="AN12" s="8"/>
      <c r="AO12" s="8"/>
      <c r="AP12" s="20"/>
      <c r="AQ12" s="20"/>
      <c r="AR12" s="20"/>
      <c r="AS12" s="20"/>
      <c r="AT12" s="20"/>
      <c r="AU12" s="8"/>
      <c r="AV12" s="8"/>
      <c r="AW12" s="8"/>
      <c r="AX12" s="20"/>
      <c r="AY12" s="20"/>
      <c r="AZ12" s="20"/>
      <c r="BA12" s="20"/>
      <c r="BB12" s="20"/>
      <c r="BC12" s="8"/>
      <c r="BD12" s="8"/>
      <c r="BE12" s="21"/>
      <c r="BF12" s="22" t="s">
        <v>444</v>
      </c>
      <c r="BG12" s="23">
        <f>X12+AD12+AJ12</f>
        <v>240</v>
      </c>
      <c r="BH12" s="8"/>
      <c r="BI12" s="8" t="s">
        <v>445</v>
      </c>
      <c r="BJ12" s="8"/>
      <c r="BK12" s="8"/>
      <c r="BL12" s="8"/>
    </row>
    <row r="13" spans="1:64" ht="5.25" customHeight="1" x14ac:dyDescent="0.25">
      <c r="B13" s="19"/>
      <c r="C13" s="20"/>
      <c r="D13" s="20"/>
      <c r="E13" s="20"/>
      <c r="F13" s="20"/>
      <c r="G13" s="20"/>
      <c r="H13" s="20"/>
      <c r="I13" s="20"/>
      <c r="J13" s="20"/>
      <c r="K13" s="20"/>
      <c r="L13" s="20"/>
      <c r="M13" s="20"/>
      <c r="N13" s="24"/>
      <c r="O13" s="20"/>
      <c r="P13" s="20"/>
      <c r="Q13" s="20"/>
      <c r="R13" s="20"/>
      <c r="S13" s="20"/>
      <c r="T13" s="24"/>
      <c r="U13" s="20"/>
      <c r="V13" s="20"/>
      <c r="W13" s="20"/>
      <c r="X13" s="20"/>
      <c r="Y13" s="20"/>
      <c r="Z13" s="20"/>
      <c r="AA13" s="29"/>
      <c r="AB13" s="29"/>
      <c r="AC13" s="29"/>
      <c r="AD13" s="29"/>
      <c r="AE13" s="20"/>
      <c r="AF13" s="20"/>
      <c r="AG13" s="20"/>
      <c r="AH13" s="20"/>
      <c r="AI13" s="20"/>
      <c r="AJ13" s="20"/>
      <c r="AK13" s="20"/>
      <c r="AL13" s="8"/>
      <c r="AM13" s="8"/>
      <c r="AN13" s="8"/>
      <c r="AO13" s="8"/>
      <c r="AP13" s="20"/>
      <c r="AQ13" s="20"/>
      <c r="AR13" s="20"/>
      <c r="AS13" s="20"/>
      <c r="AT13" s="20"/>
      <c r="AU13" s="8"/>
      <c r="AV13" s="8"/>
      <c r="AW13" s="8"/>
      <c r="AX13" s="20"/>
      <c r="AY13" s="20"/>
      <c r="AZ13" s="20"/>
      <c r="BA13" s="20"/>
      <c r="BB13" s="20"/>
      <c r="BC13" s="8"/>
      <c r="BD13" s="8"/>
      <c r="BE13" s="21"/>
      <c r="BH13" s="8"/>
      <c r="BI13" s="8"/>
      <c r="BJ13" s="8"/>
      <c r="BK13" s="8"/>
      <c r="BL13" s="8"/>
    </row>
    <row r="14" spans="1:64" ht="15" customHeight="1" thickBot="1" x14ac:dyDescent="0.3">
      <c r="B14" s="30"/>
      <c r="C14" s="87" t="str">
        <f>TEXT(INT(LEFT(C9,2))+1,"0") &amp; "  - Ciência de dados aplicada a Metrologia"</f>
        <v>2  - Ciência de dados aplicada a Metrologia</v>
      </c>
      <c r="D14" s="88"/>
      <c r="E14" s="88"/>
      <c r="F14" s="89"/>
      <c r="G14" s="20"/>
      <c r="H14" s="24"/>
      <c r="I14" s="111" t="str">
        <f>TEXT(INT(LEFT(I9,2))+1,"0") &amp; " - Circuitos Eletro-Eletrônicos"</f>
        <v>8 - Circuitos Eletro-Eletrônicos</v>
      </c>
      <c r="J14" s="88"/>
      <c r="K14" s="88"/>
      <c r="L14" s="89"/>
      <c r="M14" s="20"/>
      <c r="O14" s="111" t="str">
        <f>TEXT(INT(LEFT(O9,2))+1,"0") &amp; " - Eletrônica Analógica I"</f>
        <v>15 - Eletrônica Analógica I</v>
      </c>
      <c r="P14" s="88"/>
      <c r="Q14" s="88"/>
      <c r="R14" s="89"/>
      <c r="S14" s="20"/>
      <c r="T14" s="31" t="str">
        <f>LEFT(U19,2)</f>
        <v>21</v>
      </c>
      <c r="U14" s="111" t="str">
        <f>TEXT(INT(LEFT(U9,2))+1,"0") &amp; " - Eletrônica Analógica II"</f>
        <v>20 - Eletrônica Analógica II</v>
      </c>
      <c r="V14" s="88"/>
      <c r="W14" s="88"/>
      <c r="X14" s="89"/>
      <c r="Y14" s="20"/>
      <c r="Z14" s="24"/>
      <c r="AA14" s="111" t="str">
        <f>TEXT(INT(LEFT(AA9,2))+1,"0") &amp; " - Conversão de Energia e Maquinas"</f>
        <v>27 - Conversão de Energia e Maquinas</v>
      </c>
      <c r="AB14" s="88"/>
      <c r="AC14" s="88"/>
      <c r="AD14" s="89"/>
      <c r="AE14" s="20"/>
      <c r="AF14" s="20"/>
      <c r="AG14" s="111" t="str">
        <f>TEXT(INT(LEFT(AG9,2))+1,"0") &amp; " - Proteção e Acionamentos Industriais"</f>
        <v>33 - Proteção e Acionamentos Industriais</v>
      </c>
      <c r="AH14" s="88"/>
      <c r="AI14" s="88"/>
      <c r="AJ14" s="89"/>
      <c r="AK14" s="20"/>
      <c r="AL14" s="8"/>
      <c r="AM14" s="8"/>
      <c r="AN14" s="8"/>
      <c r="AO14" s="8"/>
      <c r="AP14" s="20"/>
      <c r="AQ14" s="20"/>
      <c r="AR14" s="20"/>
      <c r="AS14" s="20"/>
      <c r="AT14" s="20"/>
      <c r="AU14" s="8"/>
      <c r="AV14" s="8"/>
      <c r="AW14" s="20"/>
      <c r="AX14" s="20"/>
      <c r="AY14" s="20"/>
      <c r="AZ14" s="20"/>
      <c r="BA14" s="20"/>
      <c r="BB14" s="20"/>
      <c r="BC14" s="8"/>
      <c r="BD14" s="8"/>
      <c r="BE14" s="8"/>
      <c r="BF14" s="22" t="s">
        <v>446</v>
      </c>
      <c r="BG14" s="23">
        <f>SUM(BG8:BG12)</f>
        <v>2415</v>
      </c>
      <c r="BH14" s="20"/>
      <c r="BI14" s="20" t="s">
        <v>447</v>
      </c>
      <c r="BJ14" s="8"/>
      <c r="BK14" s="8"/>
      <c r="BL14" s="8"/>
    </row>
    <row r="15" spans="1:64" ht="16.5" customHeight="1" thickTop="1" thickBot="1" x14ac:dyDescent="0.3">
      <c r="B15" s="30"/>
      <c r="C15" s="90"/>
      <c r="D15" s="91"/>
      <c r="E15" s="91"/>
      <c r="F15" s="92"/>
      <c r="G15" s="20"/>
      <c r="H15" s="31" t="str">
        <f>LEFT(I19,2)</f>
        <v xml:space="preserve">9 </v>
      </c>
      <c r="I15" s="90"/>
      <c r="J15" s="91"/>
      <c r="K15" s="91"/>
      <c r="L15" s="92"/>
      <c r="M15" s="20"/>
      <c r="N15" s="31" t="str">
        <f>LEFT(O19,2)</f>
        <v>16</v>
      </c>
      <c r="O15" s="90"/>
      <c r="P15" s="91"/>
      <c r="Q15" s="91"/>
      <c r="R15" s="92"/>
      <c r="S15" s="20"/>
      <c r="T15" s="25" t="str">
        <f>LEFT(O14,2)</f>
        <v>15</v>
      </c>
      <c r="U15" s="90"/>
      <c r="V15" s="91"/>
      <c r="W15" s="91"/>
      <c r="X15" s="92"/>
      <c r="Y15" s="20"/>
      <c r="Z15" s="25" t="str">
        <f>LEFT(I14,2)</f>
        <v xml:space="preserve">8 </v>
      </c>
      <c r="AA15" s="90"/>
      <c r="AB15" s="91"/>
      <c r="AC15" s="91"/>
      <c r="AD15" s="92"/>
      <c r="AE15" s="20"/>
      <c r="AF15" s="20"/>
      <c r="AG15" s="90"/>
      <c r="AH15" s="91"/>
      <c r="AI15" s="91"/>
      <c r="AJ15" s="92"/>
      <c r="AK15" s="20"/>
      <c r="AL15" s="8"/>
      <c r="AM15" s="8"/>
      <c r="AN15" s="8"/>
      <c r="AO15" s="8"/>
      <c r="AP15" s="32">
        <f>BJ29-BJ28</f>
        <v>-4830</v>
      </c>
      <c r="AQ15" s="20"/>
      <c r="AR15" s="20"/>
      <c r="AS15" s="20"/>
      <c r="AT15" s="20"/>
      <c r="AU15" s="8"/>
      <c r="AV15" s="8"/>
      <c r="AW15" s="20"/>
      <c r="AX15" s="20"/>
      <c r="AY15" s="20"/>
      <c r="AZ15" s="20"/>
      <c r="BA15" s="20"/>
      <c r="BB15" s="20"/>
      <c r="BC15" s="8"/>
      <c r="BD15" s="8"/>
      <c r="BE15" s="8"/>
      <c r="BF15" s="22"/>
      <c r="BG15" s="23"/>
      <c r="BH15" s="20"/>
      <c r="BI15" s="20" t="s">
        <v>448</v>
      </c>
      <c r="BJ15" s="8"/>
      <c r="BK15" s="8"/>
      <c r="BL15" s="8"/>
    </row>
    <row r="16" spans="1:64" ht="14.25" customHeight="1" thickTop="1" x14ac:dyDescent="0.25">
      <c r="B16" s="30"/>
      <c r="C16" s="93"/>
      <c r="D16" s="94"/>
      <c r="E16" s="94"/>
      <c r="F16" s="95"/>
      <c r="G16" s="20"/>
      <c r="H16" s="33" t="str">
        <f>LEFT(C9,2)</f>
        <v xml:space="preserve">1 </v>
      </c>
      <c r="I16" s="93"/>
      <c r="J16" s="94"/>
      <c r="K16" s="94"/>
      <c r="L16" s="95"/>
      <c r="M16" s="20"/>
      <c r="N16" s="25" t="str">
        <f>LEFT(I14,2)</f>
        <v xml:space="preserve">8 </v>
      </c>
      <c r="O16" s="93"/>
      <c r="P16" s="94"/>
      <c r="Q16" s="94"/>
      <c r="R16" s="95"/>
      <c r="S16" s="20"/>
      <c r="T16" s="25" t="str">
        <f>LEFT(O19,2)</f>
        <v>16</v>
      </c>
      <c r="U16" s="93"/>
      <c r="V16" s="94"/>
      <c r="W16" s="94"/>
      <c r="X16" s="95"/>
      <c r="Y16" s="20"/>
      <c r="Z16" s="25" t="str">
        <f>LEFT(O14,2)</f>
        <v>15</v>
      </c>
      <c r="AA16" s="93"/>
      <c r="AB16" s="94"/>
      <c r="AC16" s="94"/>
      <c r="AD16" s="95"/>
      <c r="AE16" s="20"/>
      <c r="AF16" s="20"/>
      <c r="AG16" s="93"/>
      <c r="AH16" s="94"/>
      <c r="AI16" s="94"/>
      <c r="AJ16" s="95"/>
      <c r="AK16" s="20"/>
      <c r="AL16" s="8"/>
      <c r="AM16" s="8"/>
      <c r="AN16" s="8"/>
      <c r="AO16" s="8"/>
      <c r="AP16" s="8"/>
      <c r="AQ16" s="20"/>
      <c r="AR16" s="20"/>
      <c r="AS16" s="20"/>
      <c r="AT16" s="20"/>
      <c r="AU16" s="8"/>
      <c r="AV16" s="8"/>
      <c r="AW16" s="20"/>
      <c r="AX16" s="20"/>
      <c r="AY16" s="20"/>
      <c r="AZ16" s="20"/>
      <c r="BA16" s="20"/>
      <c r="BB16" s="20"/>
      <c r="BC16" s="20"/>
      <c r="BD16" s="20"/>
      <c r="BE16" s="21"/>
      <c r="BH16" s="20"/>
      <c r="BI16" s="20" t="s">
        <v>449</v>
      </c>
      <c r="BJ16" s="8"/>
      <c r="BK16" s="8"/>
      <c r="BL16" s="20"/>
    </row>
    <row r="17" spans="1:76" ht="12" customHeight="1" x14ac:dyDescent="0.25">
      <c r="B17" s="30"/>
      <c r="C17" s="27">
        <v>0</v>
      </c>
      <c r="D17" s="27">
        <v>30</v>
      </c>
      <c r="E17" s="27">
        <v>30</v>
      </c>
      <c r="F17" s="27">
        <f>SUM(C17:E17)</f>
        <v>60</v>
      </c>
      <c r="G17" s="20"/>
      <c r="H17" s="24"/>
      <c r="I17" s="34">
        <v>60</v>
      </c>
      <c r="J17" s="34">
        <v>15</v>
      </c>
      <c r="K17" s="34">
        <v>0</v>
      </c>
      <c r="L17" s="34">
        <f>SUM(I17:K17)</f>
        <v>75</v>
      </c>
      <c r="M17" s="20"/>
      <c r="N17" s="24"/>
      <c r="O17" s="34">
        <v>60</v>
      </c>
      <c r="P17" s="34">
        <v>0</v>
      </c>
      <c r="Q17" s="34">
        <v>0</v>
      </c>
      <c r="R17" s="34">
        <f>SUM(O17:Q17)</f>
        <v>60</v>
      </c>
      <c r="S17" s="20"/>
      <c r="T17" s="24"/>
      <c r="U17" s="34">
        <v>60</v>
      </c>
      <c r="V17" s="34">
        <v>0</v>
      </c>
      <c r="W17" s="34">
        <v>0</v>
      </c>
      <c r="X17" s="34">
        <f>SUM(U17:W17)</f>
        <v>60</v>
      </c>
      <c r="Y17" s="20"/>
      <c r="Z17" s="24"/>
      <c r="AA17" s="34">
        <v>60</v>
      </c>
      <c r="AB17" s="34">
        <v>0</v>
      </c>
      <c r="AC17" s="34">
        <v>15</v>
      </c>
      <c r="AD17" s="34">
        <f>SUM(AA17:AC17)</f>
        <v>75</v>
      </c>
      <c r="AE17" s="20"/>
      <c r="AF17" s="20"/>
      <c r="AG17" s="34">
        <v>60</v>
      </c>
      <c r="AH17" s="34">
        <v>0</v>
      </c>
      <c r="AI17" s="34">
        <v>15</v>
      </c>
      <c r="AJ17" s="34">
        <f>SUM(AG17:AI17)</f>
        <v>75</v>
      </c>
      <c r="AK17" s="20"/>
      <c r="AL17" s="8"/>
      <c r="AM17" s="8"/>
      <c r="AN17" s="8"/>
      <c r="AO17" s="8"/>
      <c r="AP17" s="8"/>
      <c r="AQ17" s="20"/>
      <c r="AR17" s="20"/>
      <c r="AS17" s="20"/>
      <c r="AT17" s="20"/>
      <c r="AU17" s="8"/>
      <c r="AV17" s="8"/>
      <c r="AW17" s="20"/>
      <c r="AX17" s="20"/>
      <c r="AY17" s="20"/>
      <c r="AZ17" s="20"/>
      <c r="BA17" s="20"/>
      <c r="BB17" s="20"/>
      <c r="BC17" s="20"/>
      <c r="BD17" s="20"/>
      <c r="BE17" s="21"/>
      <c r="BH17" s="20"/>
      <c r="BI17" s="20"/>
      <c r="BJ17" s="8"/>
      <c r="BK17" s="8"/>
      <c r="BL17" s="20"/>
    </row>
    <row r="18" spans="1:76" ht="5.25" customHeight="1" x14ac:dyDescent="0.25">
      <c r="B18" s="19"/>
      <c r="C18" s="20"/>
      <c r="D18" s="20"/>
      <c r="E18" s="20"/>
      <c r="F18" s="20"/>
      <c r="G18" s="20"/>
      <c r="H18" s="20"/>
      <c r="I18" s="20"/>
      <c r="J18" s="20"/>
      <c r="K18" s="20"/>
      <c r="L18" s="20"/>
      <c r="M18" s="20"/>
      <c r="N18" s="24"/>
      <c r="O18" s="20"/>
      <c r="P18" s="20"/>
      <c r="Q18" s="20"/>
      <c r="R18" s="20"/>
      <c r="S18" s="20"/>
      <c r="T18" s="24"/>
      <c r="U18" s="20"/>
      <c r="V18" s="20"/>
      <c r="W18" s="20"/>
      <c r="X18" s="20"/>
      <c r="Y18" s="20"/>
      <c r="Z18" s="20"/>
      <c r="AA18" s="20"/>
      <c r="AB18" s="20"/>
      <c r="AC18" s="20"/>
      <c r="AD18" s="20"/>
      <c r="AE18" s="20"/>
      <c r="AF18" s="24"/>
      <c r="AG18" s="20"/>
      <c r="AH18" s="20"/>
      <c r="AI18" s="20"/>
      <c r="AJ18" s="20"/>
      <c r="AK18" s="20"/>
      <c r="AL18" s="8"/>
      <c r="AM18" s="8"/>
      <c r="AN18" s="8"/>
      <c r="AO18" s="8"/>
      <c r="AP18" s="20"/>
      <c r="AQ18" s="20"/>
      <c r="AR18" s="20"/>
      <c r="AS18" s="8"/>
      <c r="AT18" s="8"/>
      <c r="AU18" s="8"/>
      <c r="AV18" s="8"/>
      <c r="AW18" s="20"/>
      <c r="AX18" s="20"/>
      <c r="AY18" s="20"/>
      <c r="AZ18" s="20"/>
      <c r="BA18" s="20"/>
      <c r="BB18" s="20"/>
      <c r="BC18" s="8"/>
      <c r="BD18" s="8"/>
      <c r="BE18" s="21"/>
      <c r="BH18" s="20"/>
      <c r="BI18" s="20"/>
      <c r="BJ18" s="8"/>
      <c r="BK18" s="8"/>
      <c r="BL18" s="8"/>
    </row>
    <row r="19" spans="1:76" ht="15" customHeight="1" thickBot="1" x14ac:dyDescent="0.3">
      <c r="A19" s="35"/>
      <c r="B19" s="19"/>
      <c r="C19" s="115" t="str">
        <f>TEXT(INT(LEFT(C14,2))+1,"0") &amp; " - Expressão Gráfica"</f>
        <v>3 - Expressão Gráfica</v>
      </c>
      <c r="D19" s="88"/>
      <c r="E19" s="88"/>
      <c r="F19" s="89"/>
      <c r="G19" s="20"/>
      <c r="I19" s="111" t="str">
        <f>TEXT(INT(LEFT(I14,2))+1,"0") &amp; " - Experimental de Circuitos  Elétricos I"</f>
        <v>9 - Experimental de Circuitos  Elétricos I</v>
      </c>
      <c r="J19" s="88"/>
      <c r="K19" s="88"/>
      <c r="L19" s="89"/>
      <c r="M19" s="20"/>
      <c r="O19" s="111" t="str">
        <f>TEXT(INT(LEFT(O14,2))+1,"0") &amp; " - Experimental de Eletrônica Analógica I"</f>
        <v>16 - Experimental de Eletrônica Analógica I</v>
      </c>
      <c r="P19" s="88"/>
      <c r="Q19" s="88"/>
      <c r="R19" s="89"/>
      <c r="S19" s="20"/>
      <c r="T19" s="31" t="str">
        <f>LEFT(U14,2)</f>
        <v>20</v>
      </c>
      <c r="U19" s="111" t="str">
        <f>TEXT(INT(LEFT(U14,2))+1,"0") &amp; "  - Experimental de Eletrônica Analógica II"</f>
        <v>21  - Experimental de Eletrônica Analógica II</v>
      </c>
      <c r="V19" s="88"/>
      <c r="W19" s="88"/>
      <c r="X19" s="89"/>
      <c r="Y19" s="20"/>
      <c r="Z19" s="24"/>
      <c r="AA19" s="87" t="str">
        <f>TEXT(INT(LEFT(AA14,2))+1,"0") &amp; " - Experimental de Sistemas de Controle Realimentado"</f>
        <v>28 - Experimental de Sistemas de Controle Realimentado</v>
      </c>
      <c r="AB19" s="88"/>
      <c r="AC19" s="88"/>
      <c r="AD19" s="89"/>
      <c r="AE19" s="20"/>
      <c r="AG19" s="111" t="str">
        <f>TEXT(INT(LEFT(AG14,2))+1,"0") &amp; " - Experimental de Instalações Elétricas"</f>
        <v>34 - Experimental de Instalações Elétricas</v>
      </c>
      <c r="AH19" s="88"/>
      <c r="AI19" s="88"/>
      <c r="AJ19" s="89"/>
      <c r="AK19" s="20"/>
      <c r="AL19" s="8"/>
      <c r="AM19" s="8"/>
      <c r="AN19" s="8"/>
      <c r="AO19" s="8"/>
      <c r="AP19" s="8"/>
      <c r="AQ19" s="8"/>
      <c r="AR19" s="8"/>
      <c r="AS19" s="8"/>
      <c r="AT19" s="8"/>
      <c r="AU19" s="8"/>
      <c r="AV19" s="8"/>
      <c r="AW19" s="20"/>
      <c r="AX19" s="20"/>
      <c r="AY19" s="20"/>
      <c r="AZ19" s="20"/>
      <c r="BA19" s="20"/>
      <c r="BB19" s="20"/>
      <c r="BC19" s="20"/>
      <c r="BD19" s="20"/>
      <c r="BE19" s="21"/>
      <c r="BH19" s="20"/>
      <c r="BI19" s="20"/>
      <c r="BJ19" s="20"/>
      <c r="BK19" s="8"/>
      <c r="BL19" s="20"/>
    </row>
    <row r="20" spans="1:76" ht="16.5" customHeight="1" thickTop="1" thickBot="1" x14ac:dyDescent="0.3">
      <c r="B20" s="19"/>
      <c r="C20" s="90"/>
      <c r="D20" s="91"/>
      <c r="E20" s="91"/>
      <c r="F20" s="92"/>
      <c r="G20" s="20"/>
      <c r="H20" s="31" t="str">
        <f>LEFT(I14,2)</f>
        <v xml:space="preserve">8 </v>
      </c>
      <c r="I20" s="90"/>
      <c r="J20" s="91"/>
      <c r="K20" s="91"/>
      <c r="L20" s="92"/>
      <c r="M20" s="20"/>
      <c r="N20" s="31" t="str">
        <f>LEFT(O14,2)</f>
        <v>15</v>
      </c>
      <c r="O20" s="90"/>
      <c r="P20" s="91"/>
      <c r="Q20" s="91"/>
      <c r="R20" s="92"/>
      <c r="S20" s="20"/>
      <c r="T20" s="25" t="str">
        <f>LEFT(O14,2)</f>
        <v>15</v>
      </c>
      <c r="U20" s="90"/>
      <c r="V20" s="91"/>
      <c r="W20" s="91"/>
      <c r="X20" s="92"/>
      <c r="Y20" s="20"/>
      <c r="Z20" s="31" t="str">
        <f>LEFT(AA34,2)</f>
        <v>31</v>
      </c>
      <c r="AA20" s="90"/>
      <c r="AB20" s="91"/>
      <c r="AC20" s="91"/>
      <c r="AD20" s="92"/>
      <c r="AE20" s="20"/>
      <c r="AF20" s="31" t="str">
        <f>LEFT(AG24,2)</f>
        <v>35</v>
      </c>
      <c r="AG20" s="90"/>
      <c r="AH20" s="91"/>
      <c r="AI20" s="91"/>
      <c r="AJ20" s="92"/>
      <c r="AK20" s="20"/>
      <c r="AL20" s="8"/>
      <c r="AM20" s="8"/>
      <c r="AN20" s="8"/>
      <c r="AO20" s="8"/>
      <c r="AP20" s="8"/>
      <c r="AQ20" s="8"/>
      <c r="AR20" s="8"/>
      <c r="AS20" s="8"/>
      <c r="AT20" s="8"/>
      <c r="AU20" s="8"/>
      <c r="AV20" s="8"/>
      <c r="AW20" s="20"/>
      <c r="AX20" s="20"/>
      <c r="AY20" s="20"/>
      <c r="AZ20" s="20"/>
      <c r="BA20" s="20"/>
      <c r="BB20" s="20"/>
      <c r="BC20" s="20"/>
      <c r="BD20" s="20"/>
      <c r="BE20" s="21"/>
      <c r="BH20" s="20"/>
      <c r="BI20" s="20"/>
      <c r="BJ20" s="20"/>
      <c r="BK20" s="8"/>
      <c r="BL20" s="20"/>
    </row>
    <row r="21" spans="1:76" ht="24.75" customHeight="1" thickTop="1" x14ac:dyDescent="0.25">
      <c r="A21" s="35"/>
      <c r="B21" s="19"/>
      <c r="C21" s="93"/>
      <c r="D21" s="94"/>
      <c r="E21" s="94"/>
      <c r="F21" s="95"/>
      <c r="G21" s="20"/>
      <c r="H21" s="25" t="str">
        <f>LEFT(C9,2)</f>
        <v xml:space="preserve">1 </v>
      </c>
      <c r="I21" s="93"/>
      <c r="J21" s="94"/>
      <c r="K21" s="94"/>
      <c r="L21" s="95"/>
      <c r="M21" s="20"/>
      <c r="N21" s="25" t="str">
        <f>LEFT(I14,2)</f>
        <v xml:space="preserve">8 </v>
      </c>
      <c r="O21" s="93"/>
      <c r="P21" s="94"/>
      <c r="Q21" s="94"/>
      <c r="R21" s="95"/>
      <c r="S21" s="20"/>
      <c r="T21" s="25" t="str">
        <f>LEFT(O19,2)</f>
        <v>16</v>
      </c>
      <c r="U21" s="93"/>
      <c r="V21" s="94"/>
      <c r="W21" s="94"/>
      <c r="X21" s="95"/>
      <c r="Y21" s="20"/>
      <c r="Z21" s="25" t="str">
        <f>LEFT(U39,2)</f>
        <v>25</v>
      </c>
      <c r="AA21" s="93"/>
      <c r="AB21" s="94"/>
      <c r="AC21" s="94"/>
      <c r="AD21" s="95"/>
      <c r="AE21" s="20"/>
      <c r="AF21" s="25" t="str">
        <f>LEFT(I19,2)</f>
        <v xml:space="preserve">9 </v>
      </c>
      <c r="AG21" s="93"/>
      <c r="AH21" s="94"/>
      <c r="AI21" s="94"/>
      <c r="AJ21" s="95"/>
      <c r="AK21" s="20"/>
      <c r="AL21" s="8"/>
      <c r="AM21" s="8"/>
      <c r="AN21" s="8"/>
      <c r="AO21" s="8"/>
      <c r="AP21" s="8"/>
      <c r="AQ21" s="8"/>
      <c r="AR21" s="8"/>
      <c r="AS21" s="8"/>
      <c r="AT21" s="16"/>
      <c r="AU21" s="8"/>
      <c r="AV21" s="8"/>
      <c r="AW21" s="20"/>
      <c r="AX21" s="20"/>
      <c r="AY21" s="20"/>
      <c r="AZ21" s="20"/>
      <c r="BA21" s="8"/>
      <c r="BB21" s="20"/>
      <c r="BC21" s="20"/>
      <c r="BD21" s="20"/>
      <c r="BE21" s="21"/>
      <c r="BH21" s="36"/>
      <c r="BI21" s="8"/>
      <c r="BJ21" s="8"/>
    </row>
    <row r="22" spans="1:76" ht="11.25" customHeight="1" x14ac:dyDescent="0.25">
      <c r="A22" s="35"/>
      <c r="B22" s="19"/>
      <c r="C22" s="37">
        <f>60</f>
        <v>60</v>
      </c>
      <c r="D22" s="37">
        <v>0</v>
      </c>
      <c r="E22" s="37">
        <v>0</v>
      </c>
      <c r="F22" s="26">
        <f>SUM(C22:E22)</f>
        <v>60</v>
      </c>
      <c r="G22" s="20"/>
      <c r="I22" s="34">
        <v>0</v>
      </c>
      <c r="J22" s="34">
        <v>0</v>
      </c>
      <c r="K22" s="34">
        <v>15</v>
      </c>
      <c r="L22" s="34">
        <f>SUM(I22:K22)</f>
        <v>15</v>
      </c>
      <c r="M22" s="20"/>
      <c r="N22" s="24"/>
      <c r="O22" s="34">
        <v>0</v>
      </c>
      <c r="P22" s="34">
        <v>0</v>
      </c>
      <c r="Q22" s="34">
        <v>30</v>
      </c>
      <c r="R22" s="34">
        <f>SUM(O22:Q22)</f>
        <v>30</v>
      </c>
      <c r="S22" s="20"/>
      <c r="T22" s="24"/>
      <c r="U22" s="34">
        <v>0</v>
      </c>
      <c r="V22" s="34">
        <v>0</v>
      </c>
      <c r="W22" s="34">
        <v>30</v>
      </c>
      <c r="X22" s="34">
        <f>SUM(U22:W22)</f>
        <v>30</v>
      </c>
      <c r="Y22" s="20"/>
      <c r="Z22" s="24"/>
      <c r="AA22" s="27">
        <v>0</v>
      </c>
      <c r="AB22" s="27">
        <v>0</v>
      </c>
      <c r="AC22" s="27">
        <v>30</v>
      </c>
      <c r="AD22" s="27">
        <f>SUM(AA22:AC22)</f>
        <v>30</v>
      </c>
      <c r="AE22" s="20"/>
      <c r="AF22" s="24"/>
      <c r="AG22" s="34">
        <v>0</v>
      </c>
      <c r="AH22" s="34"/>
      <c r="AI22" s="34">
        <v>30</v>
      </c>
      <c r="AJ22" s="34">
        <f>SUM(AG22:AI22)</f>
        <v>30</v>
      </c>
      <c r="AK22" s="20"/>
      <c r="AL22" s="8"/>
      <c r="AM22" s="8"/>
      <c r="AN22" s="8"/>
      <c r="AO22" s="8"/>
      <c r="AP22" s="8"/>
      <c r="AQ22" s="8"/>
      <c r="AR22" s="8"/>
      <c r="AS22" s="8"/>
      <c r="AT22" s="8"/>
      <c r="AU22" s="8"/>
      <c r="AV22" s="20"/>
      <c r="AW22" s="20"/>
      <c r="AX22" s="20"/>
      <c r="AY22" s="20"/>
      <c r="AZ22" s="20"/>
      <c r="BA22" s="8"/>
      <c r="BB22" s="20"/>
      <c r="BC22" s="20"/>
      <c r="BD22" s="20"/>
      <c r="BE22" s="21"/>
    </row>
    <row r="23" spans="1:76" ht="5.25" customHeight="1" x14ac:dyDescent="0.25">
      <c r="B23" s="19"/>
      <c r="G23" s="20"/>
      <c r="H23" s="20"/>
      <c r="I23" s="20"/>
      <c r="J23" s="20"/>
      <c r="K23" s="20"/>
      <c r="L23" s="20"/>
      <c r="M23" s="20"/>
      <c r="N23" s="24"/>
      <c r="O23" s="20"/>
      <c r="P23" s="20"/>
      <c r="Q23" s="20"/>
      <c r="R23" s="20"/>
      <c r="S23" s="20"/>
      <c r="T23" s="24"/>
      <c r="U23" s="20"/>
      <c r="V23" s="20"/>
      <c r="W23" s="20"/>
      <c r="X23" s="20"/>
      <c r="Y23" s="20"/>
      <c r="Z23" s="20"/>
      <c r="AA23" s="20"/>
      <c r="AB23" s="20"/>
      <c r="AC23" s="20"/>
      <c r="AD23" s="20"/>
      <c r="AE23" s="20"/>
      <c r="AF23" s="20"/>
      <c r="AG23" s="20"/>
      <c r="AH23" s="20"/>
      <c r="AI23" s="20"/>
      <c r="AJ23" s="20"/>
      <c r="AK23" s="8"/>
      <c r="AL23" s="8"/>
      <c r="AM23" s="8"/>
      <c r="AN23" s="8"/>
      <c r="AO23" s="8"/>
      <c r="AP23" s="8"/>
      <c r="AQ23" s="8"/>
      <c r="AR23" s="8"/>
      <c r="AS23" s="8"/>
      <c r="AT23" s="8"/>
      <c r="AU23" s="8"/>
      <c r="AV23" s="20"/>
      <c r="AW23" s="20"/>
      <c r="AX23" s="20"/>
      <c r="AY23" s="20"/>
      <c r="AZ23" s="8"/>
      <c r="BA23" s="8"/>
      <c r="BB23" s="8"/>
      <c r="BC23" s="8"/>
      <c r="BD23" s="8"/>
      <c r="BE23" s="21"/>
    </row>
    <row r="24" spans="1:76" ht="15" customHeight="1" x14ac:dyDescent="0.25">
      <c r="B24" s="19"/>
      <c r="C24" s="87" t="str">
        <f>TEXT(INT(LEFT(C19,2))+1,"0") &amp; " - Introdução à Engenharia de Controle e Automação"</f>
        <v>4 - Introdução à Engenharia de Controle e Automação</v>
      </c>
      <c r="D24" s="88"/>
      <c r="E24" s="88"/>
      <c r="F24" s="89"/>
      <c r="G24" s="20"/>
      <c r="H24" s="20"/>
      <c r="I24" s="112" t="str">
        <f>TEXT(INT(LEFT(I19,2))+1,"0") &amp; " - Experimental de Física Básica: Mecânica"</f>
        <v>10 - Experimental de Física Básica: Mecânica</v>
      </c>
      <c r="J24" s="88"/>
      <c r="K24" s="88"/>
      <c r="L24" s="89"/>
      <c r="M24" s="20"/>
      <c r="N24" s="8"/>
      <c r="O24" s="111" t="str">
        <f>TEXT(INT(LEFT(O19,2))+1,"0") &amp; " - Materias Elétricos e Circuitos Trifásicos"</f>
        <v>17 - Materias Elétricos e Circuitos Trifásicos</v>
      </c>
      <c r="P24" s="88"/>
      <c r="Q24" s="88"/>
      <c r="R24" s="89"/>
      <c r="S24" s="20"/>
      <c r="T24" s="38"/>
      <c r="U24" s="120" t="str">
        <f>TEXT(INT(LEFT(U19,2))+1,"0") &amp; " - Instrumentação e Dispositivos Inteligentes"</f>
        <v>22 - Instrumentação e Dispositivos Inteligentes</v>
      </c>
      <c r="V24" s="88"/>
      <c r="W24" s="88"/>
      <c r="X24" s="89"/>
      <c r="Y24" s="20"/>
      <c r="Z24" s="24"/>
      <c r="AA24" s="87" t="str">
        <f>TEXT(INT(LEFT(AA19,2))+1,"0") &amp; " - Manipuladores Robóticos Industriais e Inteligentes"</f>
        <v>29 - Manipuladores Robóticos Industriais e Inteligentes</v>
      </c>
      <c r="AB24" s="88"/>
      <c r="AC24" s="88"/>
      <c r="AD24" s="89"/>
      <c r="AE24" s="20"/>
      <c r="AG24" s="111" t="str">
        <f>TEXT(INT(LEFT(AG19,2))+1,"0") &amp; " - Instalações Elétricas"</f>
        <v>35 - Instalações Elétricas</v>
      </c>
      <c r="AH24" s="88"/>
      <c r="AI24" s="88"/>
      <c r="AJ24" s="89"/>
      <c r="AK24" s="20"/>
      <c r="AL24" s="8"/>
      <c r="AM24" s="8"/>
      <c r="AN24" s="8"/>
      <c r="AO24" s="8"/>
      <c r="AP24" s="8"/>
      <c r="AQ24" s="8"/>
      <c r="AR24" s="8"/>
      <c r="AS24" s="8"/>
      <c r="AT24" s="8"/>
      <c r="AU24" s="8"/>
      <c r="AV24" s="20"/>
      <c r="AW24" s="20"/>
      <c r="AX24" s="20"/>
      <c r="AY24" s="20"/>
      <c r="AZ24" s="8"/>
      <c r="BA24" s="8"/>
      <c r="BB24" s="8"/>
      <c r="BC24" s="8"/>
      <c r="BD24" s="8"/>
      <c r="BE24" s="21"/>
    </row>
    <row r="25" spans="1:76" ht="15.75" customHeight="1" thickBot="1" x14ac:dyDescent="0.3">
      <c r="B25" s="19"/>
      <c r="C25" s="90"/>
      <c r="D25" s="91"/>
      <c r="E25" s="91"/>
      <c r="F25" s="92"/>
      <c r="G25" s="20"/>
      <c r="H25" s="25" t="str">
        <f>LEFT(C9,2)</f>
        <v xml:space="preserve">1 </v>
      </c>
      <c r="I25" s="90"/>
      <c r="J25" s="91"/>
      <c r="K25" s="91"/>
      <c r="L25" s="92"/>
      <c r="M25" s="20"/>
      <c r="N25" s="8"/>
      <c r="O25" s="90"/>
      <c r="P25" s="91"/>
      <c r="Q25" s="91"/>
      <c r="R25" s="92"/>
      <c r="S25" s="20"/>
      <c r="T25" s="39" t="str">
        <f>LEFT(O29,2)</f>
        <v>11</v>
      </c>
      <c r="U25" s="90"/>
      <c r="V25" s="91"/>
      <c r="W25" s="91"/>
      <c r="X25" s="92"/>
      <c r="Y25" s="20"/>
      <c r="Z25" s="33" t="str">
        <f>LEFT(U14,2)</f>
        <v>20</v>
      </c>
      <c r="AA25" s="90"/>
      <c r="AB25" s="91"/>
      <c r="AC25" s="91"/>
      <c r="AD25" s="92"/>
      <c r="AE25" s="20"/>
      <c r="AF25" s="31" t="str">
        <f>LEFT(AG19,2)</f>
        <v>34</v>
      </c>
      <c r="AG25" s="90"/>
      <c r="AH25" s="91"/>
      <c r="AI25" s="91"/>
      <c r="AJ25" s="92"/>
      <c r="AK25" s="20"/>
      <c r="AL25" s="8"/>
      <c r="AM25" s="8"/>
      <c r="AN25" s="8"/>
      <c r="AO25" s="20"/>
      <c r="AP25" s="20"/>
      <c r="AQ25" s="20"/>
      <c r="AR25" s="20"/>
      <c r="AS25" s="20"/>
      <c r="AT25" s="20"/>
      <c r="AU25" s="20"/>
      <c r="AV25" s="20"/>
      <c r="AW25" s="20"/>
      <c r="AX25" s="20"/>
      <c r="AY25" s="20"/>
      <c r="AZ25" s="20"/>
      <c r="BA25" s="20"/>
      <c r="BB25" s="20"/>
      <c r="BC25" s="20"/>
      <c r="BD25" s="20"/>
      <c r="BE25" s="40"/>
    </row>
    <row r="26" spans="1:76" ht="25.5" customHeight="1" thickTop="1" thickBot="1" x14ac:dyDescent="0.3">
      <c r="B26" s="19"/>
      <c r="C26" s="93"/>
      <c r="D26" s="94"/>
      <c r="E26" s="94"/>
      <c r="F26" s="95"/>
      <c r="G26" s="20"/>
      <c r="H26" s="31" t="str">
        <f>LEFT(I29,2)</f>
        <v>12</v>
      </c>
      <c r="I26" s="93"/>
      <c r="J26" s="94"/>
      <c r="K26" s="94"/>
      <c r="L26" s="95"/>
      <c r="M26" s="20"/>
      <c r="N26" s="25" t="str">
        <f>LEFT(I9,2)</f>
        <v xml:space="preserve">7 </v>
      </c>
      <c r="O26" s="93"/>
      <c r="P26" s="94"/>
      <c r="Q26" s="94"/>
      <c r="R26" s="95"/>
      <c r="S26" s="20"/>
      <c r="T26" s="41" t="str">
        <f>LEFT(I29,2)</f>
        <v>12</v>
      </c>
      <c r="U26" s="93"/>
      <c r="V26" s="94"/>
      <c r="W26" s="94"/>
      <c r="X26" s="95"/>
      <c r="Y26" s="20"/>
      <c r="Z26" s="33" t="str">
        <f>LEFT(AA34,2)</f>
        <v>31</v>
      </c>
      <c r="AA26" s="93"/>
      <c r="AB26" s="94"/>
      <c r="AC26" s="94"/>
      <c r="AD26" s="95"/>
      <c r="AE26" s="20"/>
      <c r="AF26" s="25" t="str">
        <f>LEFT(I19,2)</f>
        <v xml:space="preserve">9 </v>
      </c>
      <c r="AG26" s="93"/>
      <c r="AH26" s="94"/>
      <c r="AI26" s="94"/>
      <c r="AJ26" s="95"/>
      <c r="AK26" s="20"/>
      <c r="AL26" s="8"/>
      <c r="AM26" s="8"/>
      <c r="AN26" s="8"/>
      <c r="AO26" s="20"/>
      <c r="AP26" s="20"/>
      <c r="AQ26" s="20"/>
      <c r="AR26" s="20"/>
      <c r="AS26" s="20"/>
      <c r="AT26" s="20"/>
      <c r="AU26" s="20"/>
      <c r="AV26" s="20"/>
      <c r="AW26" s="20"/>
      <c r="AX26" s="20"/>
      <c r="AY26" s="20"/>
      <c r="AZ26" s="20"/>
      <c r="BA26" s="20"/>
      <c r="BB26" s="20"/>
      <c r="BC26" s="20"/>
      <c r="BD26" s="20"/>
      <c r="BE26" s="40"/>
    </row>
    <row r="27" spans="1:76" ht="11.25" customHeight="1" thickTop="1" x14ac:dyDescent="0.25">
      <c r="B27" s="19"/>
      <c r="C27" s="27">
        <v>30</v>
      </c>
      <c r="D27" s="27">
        <v>0</v>
      </c>
      <c r="E27" s="27">
        <v>0</v>
      </c>
      <c r="F27" s="27">
        <f>SUM(C27:E27)</f>
        <v>30</v>
      </c>
      <c r="G27" s="20"/>
      <c r="H27" s="20"/>
      <c r="I27" s="42">
        <v>0</v>
      </c>
      <c r="J27" s="42">
        <v>0</v>
      </c>
      <c r="K27" s="42">
        <v>30</v>
      </c>
      <c r="L27" s="26">
        <f>SUM(I27:K27)</f>
        <v>30</v>
      </c>
      <c r="M27" s="20"/>
      <c r="N27" s="24"/>
      <c r="O27" s="34">
        <v>30</v>
      </c>
      <c r="P27" s="34">
        <v>0</v>
      </c>
      <c r="Q27" s="34">
        <v>15</v>
      </c>
      <c r="R27" s="34">
        <f>SUM(O27:Q27)</f>
        <v>45</v>
      </c>
      <c r="S27" s="20"/>
      <c r="T27" s="38"/>
      <c r="U27" s="43">
        <v>0</v>
      </c>
      <c r="V27" s="43">
        <v>30</v>
      </c>
      <c r="W27" s="43">
        <v>30</v>
      </c>
      <c r="X27" s="27">
        <f>SUM(U27:W27)</f>
        <v>60</v>
      </c>
      <c r="Y27" s="20"/>
      <c r="Z27" s="24"/>
      <c r="AA27" s="27">
        <v>30</v>
      </c>
      <c r="AB27" s="27">
        <v>15</v>
      </c>
      <c r="AC27" s="27">
        <v>15</v>
      </c>
      <c r="AD27" s="27">
        <f>SUM(AA27:AC27)</f>
        <v>60</v>
      </c>
      <c r="AE27" s="20"/>
      <c r="AF27" s="24"/>
      <c r="AG27" s="34">
        <v>30</v>
      </c>
      <c r="AH27" s="34"/>
      <c r="AI27" s="34">
        <v>0</v>
      </c>
      <c r="AJ27" s="34">
        <f>SUM(AG27:AI27)</f>
        <v>30</v>
      </c>
      <c r="AK27" s="20"/>
      <c r="AL27" s="8"/>
      <c r="AM27" s="8"/>
      <c r="AN27" s="8"/>
      <c r="AO27" s="8"/>
      <c r="AP27" s="8"/>
      <c r="AQ27" s="8"/>
      <c r="AR27" s="8"/>
      <c r="AS27" s="20"/>
      <c r="AT27" s="20"/>
      <c r="AU27" s="20"/>
      <c r="AV27" s="8"/>
      <c r="AW27" s="8"/>
      <c r="AX27" s="8"/>
      <c r="AY27" s="8"/>
      <c r="AZ27" s="8"/>
      <c r="BA27" s="8"/>
      <c r="BB27" s="8"/>
      <c r="BC27" s="8"/>
      <c r="BD27" s="8"/>
      <c r="BE27" s="40"/>
    </row>
    <row r="28" spans="1:76" ht="4.5" customHeight="1" x14ac:dyDescent="0.25">
      <c r="B28" s="19"/>
      <c r="C28" s="20"/>
      <c r="D28" s="20"/>
      <c r="E28" s="20"/>
      <c r="F28" s="20"/>
      <c r="G28" s="20"/>
      <c r="H28" s="20"/>
      <c r="I28" s="20"/>
      <c r="J28" s="20"/>
      <c r="K28" s="20"/>
      <c r="L28" s="20"/>
      <c r="M28" s="20"/>
      <c r="N28" s="24"/>
      <c r="O28" s="20"/>
      <c r="P28" s="20"/>
      <c r="Q28" s="20"/>
      <c r="R28" s="20"/>
      <c r="S28" s="20"/>
      <c r="T28" s="24"/>
      <c r="U28" s="20"/>
      <c r="V28" s="20"/>
      <c r="W28" s="20"/>
      <c r="X28" s="20"/>
      <c r="Y28" s="20"/>
      <c r="Z28" s="20"/>
      <c r="AA28" s="20"/>
      <c r="AB28" s="20"/>
      <c r="AC28" s="20"/>
      <c r="AD28" s="20"/>
      <c r="AE28" s="20"/>
      <c r="AF28" s="20"/>
      <c r="AG28" s="20"/>
      <c r="AH28" s="20"/>
      <c r="AI28" s="20"/>
      <c r="AJ28" s="20"/>
      <c r="AK28" s="20"/>
      <c r="AL28" s="8"/>
      <c r="AM28" s="8"/>
      <c r="AN28" s="8"/>
      <c r="AO28" s="8"/>
      <c r="AP28" s="8"/>
      <c r="AQ28" s="8"/>
      <c r="AR28" s="8"/>
      <c r="AS28" s="20"/>
      <c r="AT28" s="20"/>
      <c r="AU28" s="20"/>
      <c r="AV28" s="8"/>
      <c r="AW28" s="8"/>
      <c r="AX28" s="8"/>
      <c r="AY28" s="8"/>
      <c r="AZ28" s="8"/>
      <c r="BA28" s="8"/>
      <c r="BB28" s="8"/>
      <c r="BC28" s="8"/>
      <c r="BD28" s="8"/>
      <c r="BE28" s="40"/>
      <c r="BI28" s="22" t="s">
        <v>450</v>
      </c>
      <c r="BJ28" s="23">
        <f>SUM(BG8:BG15)</f>
        <v>4830</v>
      </c>
    </row>
    <row r="29" spans="1:76" ht="11.25" customHeight="1" x14ac:dyDescent="0.25">
      <c r="B29" s="19"/>
      <c r="C29" s="111" t="str">
        <f>TEXT(INT(LEFT(C24,2))+1,"0") &amp; " - Programação Embarcada com IA"</f>
        <v>5 - Programação Embarcada com IA</v>
      </c>
      <c r="D29" s="88"/>
      <c r="E29" s="88"/>
      <c r="F29" s="89"/>
      <c r="G29" s="20"/>
      <c r="H29" s="20"/>
      <c r="I29" s="112" t="str">
        <f>TEXT(INT(LEFT(O29,2))+1,"0") &amp; " - Física Básica: Mecânica"</f>
        <v>12 - Física Básica: Mecânica</v>
      </c>
      <c r="J29" s="88"/>
      <c r="K29" s="88"/>
      <c r="L29" s="89"/>
      <c r="M29" s="20"/>
      <c r="N29" s="24"/>
      <c r="O29" s="115" t="str">
        <f>TEXT(INT(LEFT(I24,2))+1,"0") &amp; " - Fenômenos de Transporte"</f>
        <v>11 - Fenômenos de Transporte</v>
      </c>
      <c r="P29" s="88"/>
      <c r="Q29" s="88"/>
      <c r="R29" s="89"/>
      <c r="S29" s="20"/>
      <c r="T29" s="24"/>
      <c r="U29" s="87" t="str">
        <f>TEXT(INT(LEFT(U24,2))+1,"0") &amp; " - Informática Industrial II"</f>
        <v>23 - Informática Industrial II</v>
      </c>
      <c r="V29" s="88"/>
      <c r="W29" s="88"/>
      <c r="X29" s="89"/>
      <c r="Y29" s="20"/>
      <c r="Z29" s="24"/>
      <c r="AA29" s="87" t="str">
        <f>TEXT(INT(LEFT(AA24,2))+1,"0") &amp; " - Redes Industriais para Controle e Automação II"</f>
        <v>30 - Redes Industriais para Controle e Automação II</v>
      </c>
      <c r="AB29" s="88"/>
      <c r="AC29" s="88"/>
      <c r="AD29" s="89"/>
      <c r="AE29" s="20"/>
      <c r="AF29" s="24"/>
      <c r="AG29" s="87" t="str">
        <f>TEXT(INT(LEFT(AA34,2))+1,"0") &amp; " - Optativa"</f>
        <v>32 - Optativa</v>
      </c>
      <c r="AH29" s="88"/>
      <c r="AI29" s="88"/>
      <c r="AJ29" s="89"/>
      <c r="AK29" s="20"/>
      <c r="AL29" s="8"/>
      <c r="AM29" s="8"/>
      <c r="AN29" s="8"/>
      <c r="AO29" s="20"/>
      <c r="AP29" s="20"/>
      <c r="AQ29" s="20"/>
      <c r="AR29" s="20"/>
      <c r="AS29" s="8"/>
      <c r="AT29" s="8"/>
      <c r="AU29" s="8"/>
      <c r="AV29" s="8"/>
      <c r="AW29" s="8"/>
      <c r="AX29" s="8"/>
      <c r="AY29" s="8"/>
      <c r="AZ29" s="8"/>
      <c r="BA29" s="8"/>
      <c r="BB29" s="8"/>
      <c r="BC29" s="8"/>
      <c r="BD29" s="8"/>
      <c r="BE29" s="40"/>
      <c r="BI29" s="8"/>
      <c r="BJ29" s="8"/>
    </row>
    <row r="30" spans="1:76" ht="12.75" customHeight="1" x14ac:dyDescent="0.25">
      <c r="B30" s="19"/>
      <c r="C30" s="90"/>
      <c r="D30" s="91"/>
      <c r="E30" s="91"/>
      <c r="F30" s="92"/>
      <c r="G30" s="20"/>
      <c r="H30" s="25" t="str">
        <f>LEFT(C9,2)</f>
        <v xml:space="preserve">1 </v>
      </c>
      <c r="I30" s="90"/>
      <c r="J30" s="91"/>
      <c r="K30" s="91"/>
      <c r="L30" s="92"/>
      <c r="M30" s="20"/>
      <c r="N30" s="24"/>
      <c r="O30" s="90"/>
      <c r="P30" s="91"/>
      <c r="Q30" s="91"/>
      <c r="R30" s="92"/>
      <c r="S30" s="20"/>
      <c r="T30" s="24"/>
      <c r="U30" s="90"/>
      <c r="V30" s="91"/>
      <c r="W30" s="91"/>
      <c r="X30" s="92"/>
      <c r="Y30" s="20"/>
      <c r="Z30" s="25" t="str">
        <f>LEFT(U29,2)</f>
        <v>23</v>
      </c>
      <c r="AA30" s="90"/>
      <c r="AB30" s="91"/>
      <c r="AC30" s="91"/>
      <c r="AD30" s="92"/>
      <c r="AE30" s="20"/>
      <c r="AF30" s="8"/>
      <c r="AG30" s="90"/>
      <c r="AH30" s="91"/>
      <c r="AI30" s="91"/>
      <c r="AJ30" s="92"/>
      <c r="AK30" s="20"/>
      <c r="AL30" s="8"/>
      <c r="AM30" s="8"/>
      <c r="AN30" s="8"/>
      <c r="AO30" s="20"/>
      <c r="AP30" s="20"/>
      <c r="AQ30" s="20"/>
      <c r="AR30" s="20"/>
      <c r="AS30" s="8"/>
      <c r="AT30" s="8"/>
      <c r="AU30" s="8"/>
      <c r="AV30" s="8"/>
      <c r="AW30" s="8"/>
      <c r="AX30" s="8"/>
      <c r="AY30" s="8"/>
      <c r="AZ30" s="8"/>
      <c r="BA30" s="8"/>
      <c r="BB30" s="8"/>
      <c r="BC30" s="8"/>
      <c r="BD30" s="8"/>
      <c r="BE30" s="40"/>
      <c r="BI30" s="8"/>
      <c r="BJ30" s="8"/>
    </row>
    <row r="31" spans="1:76" ht="32.25" customHeight="1" thickBot="1" x14ac:dyDescent="0.3">
      <c r="B31" s="19"/>
      <c r="C31" s="93"/>
      <c r="D31" s="94"/>
      <c r="E31" s="94"/>
      <c r="F31" s="95"/>
      <c r="G31" s="20"/>
      <c r="H31" s="31" t="str">
        <f>LEFT(I24,2)</f>
        <v>10</v>
      </c>
      <c r="I31" s="93"/>
      <c r="J31" s="94"/>
      <c r="K31" s="94"/>
      <c r="L31" s="95"/>
      <c r="M31" s="20"/>
      <c r="N31" s="25" t="str">
        <f>LEFT(C9,2)</f>
        <v xml:space="preserve">1 </v>
      </c>
      <c r="O31" s="93"/>
      <c r="P31" s="94"/>
      <c r="Q31" s="94"/>
      <c r="R31" s="95"/>
      <c r="S31" s="20"/>
      <c r="T31" s="25" t="str">
        <f>LEFT(O34,2)</f>
        <v>18</v>
      </c>
      <c r="U31" s="93"/>
      <c r="V31" s="94"/>
      <c r="W31" s="94"/>
      <c r="X31" s="95"/>
      <c r="Y31" s="20"/>
      <c r="Z31" s="25" t="str">
        <f>LEFT(U34,2)</f>
        <v>24</v>
      </c>
      <c r="AA31" s="93"/>
      <c r="AB31" s="94"/>
      <c r="AC31" s="94"/>
      <c r="AD31" s="95"/>
      <c r="AE31" s="20"/>
      <c r="AF31" s="8"/>
      <c r="AG31" s="93"/>
      <c r="AH31" s="94"/>
      <c r="AI31" s="94"/>
      <c r="AJ31" s="95"/>
      <c r="AK31" s="20"/>
      <c r="AL31" s="8"/>
      <c r="AM31" s="8"/>
      <c r="AN31" s="8"/>
      <c r="AO31" s="20"/>
      <c r="AP31" s="20"/>
      <c r="AQ31" s="20"/>
      <c r="AR31" s="20"/>
      <c r="AS31" s="20"/>
      <c r="AT31" s="20"/>
      <c r="AU31" s="20"/>
      <c r="AV31" s="8"/>
      <c r="AW31" s="8"/>
      <c r="AX31" s="8"/>
      <c r="AY31" s="8"/>
      <c r="AZ31" s="8"/>
      <c r="BA31" s="8"/>
      <c r="BB31" s="8"/>
      <c r="BC31" s="8"/>
      <c r="BD31" s="8"/>
      <c r="BE31" s="40"/>
      <c r="BI31" s="8"/>
      <c r="BJ31" s="8"/>
      <c r="BK31" s="8"/>
      <c r="BL31" s="8"/>
      <c r="BM31" s="20"/>
      <c r="BN31" s="20"/>
      <c r="BO31" s="20"/>
      <c r="BP31" s="20"/>
      <c r="BQ31" s="20"/>
      <c r="BR31" s="20"/>
      <c r="BS31" s="8"/>
      <c r="BT31" s="8"/>
      <c r="BU31" s="8"/>
      <c r="BV31" s="8"/>
      <c r="BW31" s="8"/>
      <c r="BX31" s="8"/>
    </row>
    <row r="32" spans="1:76" ht="13.5" customHeight="1" thickTop="1" x14ac:dyDescent="0.25">
      <c r="B32" s="19"/>
      <c r="C32" s="34">
        <v>30</v>
      </c>
      <c r="D32" s="34">
        <v>15</v>
      </c>
      <c r="E32" s="34">
        <v>30</v>
      </c>
      <c r="F32" s="34">
        <f>SUM(C32:E32)</f>
        <v>75</v>
      </c>
      <c r="G32" s="20"/>
      <c r="H32" s="20"/>
      <c r="I32" s="42">
        <v>60</v>
      </c>
      <c r="J32" s="42">
        <v>0</v>
      </c>
      <c r="K32" s="42">
        <v>0</v>
      </c>
      <c r="L32" s="26">
        <f>SUM(I32:K32)</f>
        <v>60</v>
      </c>
      <c r="M32" s="20"/>
      <c r="N32" s="20"/>
      <c r="O32" s="37">
        <v>60</v>
      </c>
      <c r="P32" s="37">
        <v>0</v>
      </c>
      <c r="Q32" s="37">
        <v>0</v>
      </c>
      <c r="R32" s="26">
        <f>SUM(O32:Q32)</f>
        <v>60</v>
      </c>
      <c r="S32" s="20"/>
      <c r="T32" s="24"/>
      <c r="U32" s="27">
        <v>30</v>
      </c>
      <c r="V32" s="27">
        <v>0</v>
      </c>
      <c r="W32" s="27">
        <v>30</v>
      </c>
      <c r="X32" s="27">
        <f>SUM(U32:W32)</f>
        <v>60</v>
      </c>
      <c r="Y32" s="20"/>
      <c r="Z32" s="24"/>
      <c r="AA32" s="27">
        <v>30</v>
      </c>
      <c r="AB32" s="27">
        <v>15</v>
      </c>
      <c r="AC32" s="27">
        <v>30</v>
      </c>
      <c r="AD32" s="27">
        <f>SUM(AA32:AC32)</f>
        <v>75</v>
      </c>
      <c r="AE32" s="20"/>
      <c r="AF32" s="8"/>
      <c r="AG32" s="27">
        <v>30</v>
      </c>
      <c r="AH32" s="27">
        <v>15</v>
      </c>
      <c r="AI32" s="27">
        <v>30</v>
      </c>
      <c r="AJ32" s="27">
        <f>SUM(AG32:AI32)</f>
        <v>75</v>
      </c>
      <c r="AK32" s="20"/>
      <c r="AL32" s="8"/>
      <c r="AM32" s="8"/>
      <c r="AN32" s="8"/>
      <c r="AO32" s="20"/>
      <c r="AP32" s="20"/>
      <c r="AQ32" s="20"/>
      <c r="AR32" s="20"/>
      <c r="AS32" s="20"/>
      <c r="AT32" s="20"/>
      <c r="AU32" s="20"/>
      <c r="AV32" s="20"/>
      <c r="AW32" s="20"/>
      <c r="AX32" s="20"/>
      <c r="AY32" s="20"/>
      <c r="AZ32" s="20"/>
      <c r="BA32" s="8"/>
      <c r="BB32" s="8"/>
      <c r="BC32" s="8"/>
      <c r="BD32" s="8"/>
      <c r="BE32" s="40"/>
      <c r="BI32" s="8"/>
      <c r="BJ32" s="8"/>
      <c r="BK32" s="8"/>
      <c r="BL32" s="8"/>
      <c r="BM32" s="20"/>
      <c r="BN32" s="20"/>
      <c r="BO32" s="20"/>
      <c r="BP32" s="8"/>
      <c r="BQ32" s="8"/>
      <c r="BR32" s="8"/>
      <c r="BS32" s="8"/>
      <c r="BT32" s="8"/>
      <c r="BU32" s="8"/>
      <c r="BV32" s="8"/>
      <c r="BW32" s="8"/>
      <c r="BX32" s="8"/>
    </row>
    <row r="33" spans="1:57" ht="4.5" customHeight="1" x14ac:dyDescent="0.25">
      <c r="B33" s="19"/>
      <c r="C33" s="20"/>
      <c r="D33" s="20"/>
      <c r="E33" s="20"/>
      <c r="F33" s="20"/>
      <c r="G33" s="20"/>
      <c r="H33" s="20"/>
      <c r="I33" s="20"/>
      <c r="J33" s="20"/>
      <c r="K33" s="20"/>
      <c r="L33" s="20"/>
      <c r="M33" s="20"/>
      <c r="S33" s="20"/>
      <c r="T33" s="20"/>
      <c r="U33" s="20"/>
      <c r="V33" s="20"/>
      <c r="W33" s="20"/>
      <c r="X33" s="20"/>
      <c r="Y33" s="20"/>
      <c r="Z33" s="20"/>
      <c r="AA33" s="20"/>
      <c r="AB33" s="20"/>
      <c r="AC33" s="20"/>
      <c r="AD33" s="20"/>
      <c r="AE33" s="20"/>
      <c r="AF33" s="20"/>
      <c r="AG33" s="20"/>
      <c r="AH33" s="20"/>
      <c r="AI33" s="20"/>
      <c r="AJ33" s="20"/>
      <c r="AK33" s="20"/>
      <c r="AL33" s="8"/>
      <c r="AM33" s="8"/>
      <c r="AN33" s="8"/>
      <c r="AO33" s="8"/>
      <c r="AP33" s="20"/>
      <c r="AQ33" s="20"/>
      <c r="AR33" s="20"/>
      <c r="AS33" s="20"/>
      <c r="AT33" s="20"/>
      <c r="AU33" s="20"/>
      <c r="AV33" s="20"/>
      <c r="AW33" s="20"/>
      <c r="AX33" s="20"/>
      <c r="AY33" s="20"/>
      <c r="AZ33" s="20"/>
      <c r="BA33" s="8"/>
      <c r="BB33" s="8"/>
      <c r="BC33" s="8"/>
      <c r="BD33" s="8"/>
      <c r="BE33" s="40"/>
    </row>
    <row r="34" spans="1:57" ht="18" customHeight="1" x14ac:dyDescent="0.25">
      <c r="B34" s="19"/>
      <c r="C34" s="111" t="str">
        <f>TEXT(INT(LEFT(C29,2))+1,"0") &amp; " - Sistemas Digitais"</f>
        <v>6 - Sistemas Digitais</v>
      </c>
      <c r="D34" s="88"/>
      <c r="E34" s="88"/>
      <c r="F34" s="89"/>
      <c r="G34" s="20"/>
      <c r="H34" s="20"/>
      <c r="I34" s="111" t="str">
        <f>TEXT(INT(LEFT(I29,2))+1,"0") &amp; " - Arquitetura de software em Sistemas Embarcados"</f>
        <v>13 - Arquitetura de software em Sistemas Embarcados</v>
      </c>
      <c r="J34" s="88"/>
      <c r="K34" s="88"/>
      <c r="L34" s="89"/>
      <c r="M34" s="20"/>
      <c r="N34" s="20"/>
      <c r="O34" s="87" t="str">
        <f>TEXT(INT(LEFT(O24,2))+1,"0") &amp; " - Informática Industrial I"</f>
        <v>18 - Informática Industrial I</v>
      </c>
      <c r="P34" s="88"/>
      <c r="Q34" s="88"/>
      <c r="R34" s="89"/>
      <c r="S34" s="20"/>
      <c r="T34" s="24"/>
      <c r="U34" s="87" t="str">
        <f>TEXT(INT(LEFT(U29,2))+1,"0") &amp; " - Redes Industriais para Controle e Automação I"</f>
        <v>24 - Redes Industriais para Controle e Automação I</v>
      </c>
      <c r="V34" s="88"/>
      <c r="W34" s="88"/>
      <c r="X34" s="89"/>
      <c r="Y34" s="20"/>
      <c r="Z34" s="24"/>
      <c r="AA34" s="87" t="str">
        <f>TEXT(INT(LEFT(AA29,2))+1,"0") &amp; " - Sistemas de Controle Realimentado"</f>
        <v>31 - Sistemas de Controle Realimentado</v>
      </c>
      <c r="AB34" s="88"/>
      <c r="AC34" s="88"/>
      <c r="AD34" s="89"/>
      <c r="AE34" s="20"/>
      <c r="AF34" s="114" t="s">
        <v>451</v>
      </c>
      <c r="AG34" s="87" t="str">
        <f>TEXT(INT(LEFT(AG24,2))+1,"0") &amp; " - Estágio Supervisionado Obrigatório (**)"</f>
        <v>36 - Estágio Supervisionado Obrigatório (**)</v>
      </c>
      <c r="AH34" s="88"/>
      <c r="AI34" s="88"/>
      <c r="AJ34" s="89"/>
      <c r="AK34" s="20"/>
      <c r="AL34" s="8"/>
      <c r="AM34" s="8"/>
      <c r="AN34" s="8"/>
      <c r="AO34" s="8"/>
      <c r="AP34" s="20"/>
      <c r="AQ34" s="20"/>
      <c r="AR34" s="20"/>
      <c r="AS34" s="20"/>
      <c r="AT34" s="20"/>
      <c r="AU34" s="20"/>
      <c r="AV34" s="20"/>
      <c r="AW34" s="20"/>
      <c r="AX34" s="20"/>
      <c r="AY34" s="20"/>
      <c r="AZ34" s="20"/>
      <c r="BA34" s="8"/>
      <c r="BB34" s="8"/>
      <c r="BC34" s="8"/>
      <c r="BD34" s="8"/>
      <c r="BE34" s="40"/>
    </row>
    <row r="35" spans="1:57" ht="18" customHeight="1" thickBot="1" x14ac:dyDescent="0.3">
      <c r="B35" s="19"/>
      <c r="C35" s="90"/>
      <c r="D35" s="91"/>
      <c r="E35" s="91"/>
      <c r="F35" s="92"/>
      <c r="G35" s="20"/>
      <c r="H35" s="20"/>
      <c r="I35" s="90"/>
      <c r="J35" s="91"/>
      <c r="K35" s="91"/>
      <c r="L35" s="92"/>
      <c r="M35" s="20"/>
      <c r="N35" s="25" t="str">
        <f>LEFT(C44,2)</f>
        <v/>
      </c>
      <c r="O35" s="90"/>
      <c r="P35" s="91"/>
      <c r="Q35" s="91"/>
      <c r="R35" s="92"/>
      <c r="S35" s="20"/>
      <c r="T35" s="33" t="str">
        <f>LEFT(I34,2)</f>
        <v>13</v>
      </c>
      <c r="U35" s="90"/>
      <c r="V35" s="91"/>
      <c r="W35" s="91"/>
      <c r="X35" s="92"/>
      <c r="Y35" s="20"/>
      <c r="Z35" s="31" t="str">
        <f>LEFT(AA19,2)</f>
        <v>28</v>
      </c>
      <c r="AA35" s="90"/>
      <c r="AB35" s="91"/>
      <c r="AC35" s="91"/>
      <c r="AD35" s="92"/>
      <c r="AE35" s="20"/>
      <c r="AF35" s="92"/>
      <c r="AG35" s="90"/>
      <c r="AH35" s="91"/>
      <c r="AI35" s="91"/>
      <c r="AJ35" s="92"/>
      <c r="AK35" s="20"/>
      <c r="AL35" s="8"/>
      <c r="AM35" s="8"/>
      <c r="AN35" s="8"/>
      <c r="AO35" s="8"/>
      <c r="AP35" s="20"/>
      <c r="AQ35" s="20"/>
      <c r="AR35" s="20"/>
      <c r="AS35" s="20"/>
      <c r="AT35" s="20"/>
      <c r="AU35" s="8"/>
      <c r="AV35" s="20"/>
      <c r="AW35" s="20"/>
      <c r="AX35" s="20"/>
      <c r="AY35" s="20"/>
      <c r="AZ35" s="20"/>
      <c r="BA35" s="8"/>
      <c r="BB35" s="8"/>
      <c r="BC35" s="8"/>
      <c r="BD35" s="8"/>
      <c r="BE35" s="40"/>
    </row>
    <row r="36" spans="1:57" ht="22.5" customHeight="1" thickTop="1" thickBot="1" x14ac:dyDescent="0.3">
      <c r="B36" s="44" t="str">
        <f>LEFT(C14,2)</f>
        <v xml:space="preserve">2 </v>
      </c>
      <c r="C36" s="93"/>
      <c r="D36" s="94"/>
      <c r="E36" s="94"/>
      <c r="F36" s="95"/>
      <c r="G36" s="20"/>
      <c r="H36" s="25" t="str">
        <f>LEFT(C34,2)</f>
        <v xml:space="preserve">6 </v>
      </c>
      <c r="I36" s="93"/>
      <c r="J36" s="94"/>
      <c r="K36" s="94"/>
      <c r="L36" s="95"/>
      <c r="M36" s="20"/>
      <c r="N36" s="25" t="str">
        <f>LEFT(I34,2)</f>
        <v>13</v>
      </c>
      <c r="O36" s="93"/>
      <c r="P36" s="94"/>
      <c r="Q36" s="94"/>
      <c r="R36" s="95"/>
      <c r="S36" s="20"/>
      <c r="T36" s="33" t="str">
        <f>LEFT(O39,2)</f>
        <v/>
      </c>
      <c r="U36" s="93"/>
      <c r="V36" s="94"/>
      <c r="W36" s="94"/>
      <c r="X36" s="95"/>
      <c r="Y36" s="20"/>
      <c r="Z36" s="25" t="str">
        <f>LEFT(U39,2)</f>
        <v>25</v>
      </c>
      <c r="AA36" s="93"/>
      <c r="AB36" s="94"/>
      <c r="AC36" s="94"/>
      <c r="AD36" s="95"/>
      <c r="AE36" s="20"/>
      <c r="AF36" s="95"/>
      <c r="AG36" s="93"/>
      <c r="AH36" s="94"/>
      <c r="AI36" s="94"/>
      <c r="AJ36" s="95"/>
      <c r="AK36" s="20"/>
      <c r="AL36" s="8"/>
      <c r="AM36" s="8"/>
      <c r="AN36" s="8"/>
      <c r="AO36" s="8"/>
      <c r="AP36" s="20"/>
      <c r="AQ36" s="20"/>
      <c r="AR36" s="20"/>
      <c r="AS36" s="20"/>
      <c r="AT36" s="20"/>
      <c r="AU36" s="8"/>
      <c r="AV36" s="20"/>
      <c r="AW36" s="20"/>
      <c r="AX36" s="20"/>
      <c r="AY36" s="20"/>
      <c r="AZ36" s="20"/>
      <c r="BA36" s="8"/>
      <c r="BB36" s="8"/>
      <c r="BC36" s="8"/>
      <c r="BD36" s="8"/>
      <c r="BE36" s="40"/>
    </row>
    <row r="37" spans="1:57" ht="12" customHeight="1" thickTop="1" x14ac:dyDescent="0.25">
      <c r="A37" s="35"/>
      <c r="C37" s="34">
        <v>30</v>
      </c>
      <c r="D37" s="34">
        <v>0</v>
      </c>
      <c r="E37" s="34">
        <v>30</v>
      </c>
      <c r="F37" s="34">
        <f>C37+E37</f>
        <v>60</v>
      </c>
      <c r="G37" s="20"/>
      <c r="H37" s="20"/>
      <c r="I37" s="34">
        <v>15</v>
      </c>
      <c r="J37" s="34">
        <v>30</v>
      </c>
      <c r="K37" s="34">
        <v>30</v>
      </c>
      <c r="L37" s="34">
        <f>SUM(I37:K37)</f>
        <v>75</v>
      </c>
      <c r="M37" s="20"/>
      <c r="N37" s="20"/>
      <c r="O37" s="27">
        <v>30</v>
      </c>
      <c r="P37" s="27">
        <v>0</v>
      </c>
      <c r="Q37" s="27">
        <v>30</v>
      </c>
      <c r="R37" s="27">
        <f>SUM(O37:Q37)</f>
        <v>60</v>
      </c>
      <c r="S37" s="20"/>
      <c r="T37" s="24"/>
      <c r="U37" s="27">
        <v>60</v>
      </c>
      <c r="V37" s="27">
        <v>0</v>
      </c>
      <c r="W37" s="27">
        <v>30</v>
      </c>
      <c r="X37" s="27">
        <f>SUM(U37:W37)</f>
        <v>90</v>
      </c>
      <c r="Y37" s="20"/>
      <c r="Z37" s="24"/>
      <c r="AA37" s="27">
        <v>60</v>
      </c>
      <c r="AB37" s="27">
        <v>0</v>
      </c>
      <c r="AC37" s="27">
        <v>30</v>
      </c>
      <c r="AD37" s="27">
        <f>SUM(AA37:AC37)</f>
        <v>90</v>
      </c>
      <c r="AE37" s="20"/>
      <c r="AF37" s="20"/>
      <c r="AG37" s="27">
        <v>0</v>
      </c>
      <c r="AH37" s="27"/>
      <c r="AI37" s="27">
        <v>160</v>
      </c>
      <c r="AJ37" s="27">
        <f>SUM(AG37:AI37)</f>
        <v>160</v>
      </c>
      <c r="AK37" s="20"/>
      <c r="AL37" s="8"/>
      <c r="AM37" s="8"/>
      <c r="AN37" s="8"/>
      <c r="AO37" s="8"/>
      <c r="AP37" s="20"/>
      <c r="AQ37" s="20"/>
      <c r="AR37" s="20"/>
      <c r="AS37" s="20"/>
      <c r="AT37" s="20"/>
      <c r="AU37" s="8"/>
      <c r="AV37" s="20"/>
      <c r="AW37" s="20"/>
      <c r="AX37" s="20"/>
      <c r="AY37" s="20"/>
      <c r="AZ37" s="20"/>
      <c r="BA37" s="8"/>
      <c r="BB37" s="8"/>
      <c r="BC37" s="8"/>
      <c r="BD37" s="8"/>
      <c r="BE37" s="40"/>
    </row>
    <row r="38" spans="1:57" ht="4.5" customHeight="1" x14ac:dyDescent="0.25">
      <c r="A38" s="35"/>
      <c r="B38" s="20"/>
      <c r="C38" s="20"/>
      <c r="D38" s="20"/>
      <c r="E38" s="20"/>
      <c r="F38" s="20"/>
      <c r="G38" s="20"/>
      <c r="H38" s="20"/>
      <c r="I38" s="20"/>
      <c r="J38" s="20"/>
      <c r="K38" s="20"/>
      <c r="L38" s="20"/>
      <c r="M38" s="20"/>
      <c r="N38" s="24"/>
      <c r="O38" s="20"/>
      <c r="P38" s="20"/>
      <c r="Q38" s="20"/>
      <c r="R38" s="20"/>
      <c r="S38" s="20"/>
      <c r="T38" s="24"/>
      <c r="U38" s="20"/>
      <c r="V38" s="20"/>
      <c r="W38" s="20"/>
      <c r="X38" s="20"/>
      <c r="Y38" s="20"/>
      <c r="AA38" s="20"/>
      <c r="AB38" s="20"/>
      <c r="AC38" s="20"/>
      <c r="AD38" s="20"/>
      <c r="AE38" s="20"/>
      <c r="AF38" s="8"/>
      <c r="AG38" s="8"/>
      <c r="AH38" s="8"/>
      <c r="AI38" s="8"/>
      <c r="AJ38" s="8"/>
      <c r="AK38" s="20"/>
      <c r="AL38" s="38"/>
      <c r="AM38" s="8"/>
      <c r="AN38" s="8"/>
      <c r="AO38" s="8"/>
      <c r="AP38" s="20"/>
      <c r="AQ38" s="38"/>
      <c r="AR38" s="8"/>
      <c r="AS38" s="8"/>
      <c r="AT38" s="8"/>
      <c r="AU38" s="8"/>
      <c r="AV38" s="20"/>
      <c r="AW38" s="20"/>
      <c r="AX38" s="20"/>
      <c r="AY38" s="20"/>
      <c r="AZ38" s="20"/>
      <c r="BA38" s="8"/>
      <c r="BB38" s="8"/>
      <c r="BC38" s="8"/>
      <c r="BD38" s="8"/>
      <c r="BE38" s="40"/>
    </row>
    <row r="39" spans="1:57" ht="15.75" customHeight="1" thickBot="1" x14ac:dyDescent="0.3">
      <c r="A39" s="35"/>
      <c r="B39" s="20"/>
      <c r="C39" s="20"/>
      <c r="D39" s="20"/>
      <c r="E39" s="20"/>
      <c r="F39" s="20"/>
      <c r="G39" s="20"/>
      <c r="H39" s="20"/>
      <c r="I39" s="20"/>
      <c r="J39" s="20"/>
      <c r="K39" s="20"/>
      <c r="L39" s="20"/>
      <c r="M39" s="20"/>
      <c r="N39" s="8"/>
      <c r="O39" s="8"/>
      <c r="P39" s="8"/>
      <c r="Q39" s="8"/>
      <c r="R39" s="8"/>
      <c r="S39" s="20"/>
      <c r="T39" s="24"/>
      <c r="U39" s="87" t="str">
        <f>TEXT(INT(LEFT(U34,2))+1,"0") &amp; " - Sinais e Sistemas II"</f>
        <v>25 - Sinais e Sistemas II</v>
      </c>
      <c r="V39" s="88"/>
      <c r="W39" s="88"/>
      <c r="X39" s="89"/>
      <c r="Y39" s="8"/>
      <c r="Z39" s="20"/>
      <c r="AA39" s="20"/>
      <c r="AB39" s="20"/>
      <c r="AC39" s="20"/>
      <c r="AD39" s="20"/>
      <c r="AE39" s="8"/>
      <c r="AF39" s="20"/>
      <c r="AG39" s="113" t="str">
        <f>TEXT(INT(LEFT(AG34,2))+1,"0") &amp; " - Atividades Complementares"</f>
        <v>37 - Atividades Complementares</v>
      </c>
      <c r="AH39" s="88"/>
      <c r="AI39" s="88"/>
      <c r="AJ39" s="89"/>
      <c r="AK39" s="45"/>
      <c r="AL39" s="20"/>
      <c r="AM39" s="20"/>
      <c r="AN39" s="20"/>
      <c r="AO39" s="20"/>
      <c r="AP39" s="20"/>
      <c r="AQ39" s="20"/>
      <c r="AR39" s="20"/>
      <c r="AS39" s="20"/>
      <c r="AT39" s="20"/>
      <c r="AU39" s="46"/>
      <c r="AV39" s="8"/>
      <c r="AW39" s="8"/>
      <c r="AX39" s="8"/>
      <c r="AY39" s="8"/>
      <c r="AZ39" s="8"/>
      <c r="BA39" s="8"/>
      <c r="BB39" s="8"/>
      <c r="BC39" s="47"/>
      <c r="BD39" s="47"/>
      <c r="BE39" s="40"/>
    </row>
    <row r="40" spans="1:57" ht="15" customHeight="1" x14ac:dyDescent="0.25">
      <c r="A40" s="35"/>
      <c r="B40" s="20"/>
      <c r="C40" s="20"/>
      <c r="D40" s="20"/>
      <c r="E40" s="20"/>
      <c r="F40" s="20"/>
      <c r="G40" s="20"/>
      <c r="H40" s="20"/>
      <c r="I40" s="20"/>
      <c r="J40" s="20"/>
      <c r="K40" s="20"/>
      <c r="L40" s="20"/>
      <c r="M40" s="20"/>
      <c r="N40" s="8"/>
      <c r="O40" s="8"/>
      <c r="P40" s="8"/>
      <c r="Q40" s="8"/>
      <c r="R40" s="8"/>
      <c r="S40" s="20"/>
      <c r="T40" s="24"/>
      <c r="U40" s="90"/>
      <c r="V40" s="91"/>
      <c r="W40" s="91"/>
      <c r="X40" s="92"/>
      <c r="Y40" s="8"/>
      <c r="Z40" s="20"/>
      <c r="AA40" s="20"/>
      <c r="AB40" s="20"/>
      <c r="AC40" s="20"/>
      <c r="AD40" s="20"/>
      <c r="AE40" s="8"/>
      <c r="AF40" s="20"/>
      <c r="AG40" s="90"/>
      <c r="AH40" s="91"/>
      <c r="AI40" s="91"/>
      <c r="AJ40" s="92"/>
      <c r="AK40" s="45"/>
      <c r="AL40" s="20"/>
      <c r="AM40" s="48"/>
      <c r="AN40" s="20" t="s">
        <v>452</v>
      </c>
      <c r="AO40" s="20"/>
      <c r="AP40" s="20"/>
      <c r="AQ40" s="20"/>
      <c r="AR40" s="20"/>
      <c r="AS40" s="20"/>
      <c r="AT40" s="20"/>
      <c r="AU40" s="46"/>
      <c r="AV40" s="49"/>
      <c r="AW40" s="50" t="s">
        <v>453</v>
      </c>
      <c r="AX40" s="51"/>
      <c r="AY40" s="51"/>
      <c r="AZ40" s="52"/>
      <c r="BA40" s="53"/>
      <c r="BB40" s="8"/>
      <c r="BC40" s="20"/>
      <c r="BD40" s="20"/>
      <c r="BE40" s="40"/>
    </row>
    <row r="41" spans="1:57" ht="15" customHeight="1" x14ac:dyDescent="0.25">
      <c r="A41" s="35"/>
      <c r="B41" s="20"/>
      <c r="C41" s="20"/>
      <c r="D41" s="20"/>
      <c r="E41" s="20"/>
      <c r="F41" s="20"/>
      <c r="G41" s="20"/>
      <c r="H41" s="20"/>
      <c r="I41" s="20"/>
      <c r="J41" s="20"/>
      <c r="K41" s="20"/>
      <c r="L41" s="20"/>
      <c r="M41" s="20"/>
      <c r="N41" s="8"/>
      <c r="O41" s="8"/>
      <c r="P41" s="8"/>
      <c r="Q41" s="8"/>
      <c r="R41" s="8"/>
      <c r="S41" s="20"/>
      <c r="T41" s="25" t="str">
        <f>LEFT(O9,2)</f>
        <v>14</v>
      </c>
      <c r="U41" s="93"/>
      <c r="V41" s="94"/>
      <c r="W41" s="94"/>
      <c r="X41" s="95"/>
      <c r="Y41" s="8"/>
      <c r="Z41" s="20"/>
      <c r="AA41" s="20"/>
      <c r="AB41" s="20"/>
      <c r="AC41" s="20"/>
      <c r="AD41" s="20"/>
      <c r="AE41" s="8"/>
      <c r="AF41" s="20"/>
      <c r="AG41" s="93"/>
      <c r="AH41" s="94"/>
      <c r="AI41" s="94"/>
      <c r="AJ41" s="95"/>
      <c r="AK41" s="45"/>
      <c r="AL41" s="20"/>
      <c r="AM41" s="54"/>
      <c r="AN41" s="20" t="s">
        <v>454</v>
      </c>
      <c r="AO41" s="20"/>
      <c r="AP41" s="20"/>
      <c r="AQ41" s="20"/>
      <c r="AR41" s="20"/>
      <c r="AS41" s="20"/>
      <c r="AT41" s="20"/>
      <c r="AU41" s="46"/>
      <c r="AV41" s="55"/>
      <c r="AW41" s="56"/>
      <c r="AX41" s="57" t="s">
        <v>455</v>
      </c>
      <c r="AY41" s="57"/>
      <c r="AZ41" s="8"/>
      <c r="BA41" s="21"/>
      <c r="BB41" s="8"/>
      <c r="BC41" s="57"/>
      <c r="BD41" s="57"/>
      <c r="BE41" s="58"/>
    </row>
    <row r="42" spans="1:57" ht="14.25" customHeight="1" thickBot="1" x14ac:dyDescent="0.3">
      <c r="A42" s="35"/>
      <c r="B42" s="20"/>
      <c r="C42" s="20"/>
      <c r="D42" s="20"/>
      <c r="E42" s="20"/>
      <c r="F42" s="20"/>
      <c r="G42" s="20"/>
      <c r="H42" s="20"/>
      <c r="I42" s="20"/>
      <c r="J42" s="20"/>
      <c r="K42" s="20"/>
      <c r="L42" s="20"/>
      <c r="M42" s="20"/>
      <c r="N42" s="8"/>
      <c r="O42" s="8"/>
      <c r="P42" s="8"/>
      <c r="Q42" s="8"/>
      <c r="R42" s="8"/>
      <c r="S42" s="20"/>
      <c r="T42" s="24"/>
      <c r="U42" s="27">
        <v>60</v>
      </c>
      <c r="V42" s="27">
        <v>0</v>
      </c>
      <c r="W42" s="27">
        <v>0</v>
      </c>
      <c r="X42" s="27">
        <f>SUM(U42:W42)</f>
        <v>60</v>
      </c>
      <c r="Y42" s="8"/>
      <c r="Z42" s="20"/>
      <c r="AA42" s="20"/>
      <c r="AB42" s="20"/>
      <c r="AC42" s="20"/>
      <c r="AD42" s="20"/>
      <c r="AE42" s="8"/>
      <c r="AF42" s="20"/>
      <c r="AG42" s="28">
        <v>0</v>
      </c>
      <c r="AH42" s="28">
        <v>0</v>
      </c>
      <c r="AI42" s="28">
        <v>80</v>
      </c>
      <c r="AJ42" s="26">
        <f>SUM(AG42:AI42)</f>
        <v>80</v>
      </c>
      <c r="AK42" s="45"/>
      <c r="AL42" s="20"/>
      <c r="AM42" s="59"/>
      <c r="AN42" s="20" t="s">
        <v>456</v>
      </c>
      <c r="AO42" s="20"/>
      <c r="AP42" s="20"/>
      <c r="AQ42" s="20"/>
      <c r="AR42" s="20"/>
      <c r="AS42" s="20"/>
      <c r="AT42" s="20"/>
      <c r="AU42" s="60"/>
      <c r="AV42" s="19"/>
      <c r="AW42" s="61"/>
      <c r="AX42" s="57" t="s">
        <v>457</v>
      </c>
      <c r="AY42" s="57"/>
      <c r="AZ42" s="8"/>
      <c r="BA42" s="21"/>
      <c r="BB42" s="8"/>
      <c r="BC42" s="60"/>
      <c r="BD42" s="60"/>
      <c r="BE42" s="62"/>
    </row>
    <row r="43" spans="1:57" ht="6.75" customHeight="1" thickTop="1" x14ac:dyDescent="0.25">
      <c r="B43" s="19"/>
      <c r="C43" s="20"/>
      <c r="D43" s="20"/>
      <c r="E43" s="20"/>
      <c r="F43" s="20"/>
      <c r="G43" s="20"/>
      <c r="H43" s="20"/>
      <c r="I43" s="20"/>
      <c r="J43" s="20"/>
      <c r="K43" s="20"/>
      <c r="L43" s="20"/>
      <c r="M43" s="20"/>
      <c r="N43" s="8"/>
      <c r="O43" s="8"/>
      <c r="P43" s="8"/>
      <c r="Q43" s="8"/>
      <c r="R43" s="8"/>
      <c r="S43" s="20"/>
      <c r="T43" s="8"/>
      <c r="U43" s="8"/>
      <c r="V43" s="8"/>
      <c r="W43" s="8"/>
      <c r="X43" s="8"/>
      <c r="Y43" s="8"/>
      <c r="Z43" s="8"/>
      <c r="AA43" s="20"/>
      <c r="AB43" s="20"/>
      <c r="AC43" s="20"/>
      <c r="AD43" s="20"/>
      <c r="AE43" s="8"/>
      <c r="AF43" s="24"/>
      <c r="AG43" s="20"/>
      <c r="AH43" s="20"/>
      <c r="AI43" s="20"/>
      <c r="AJ43" s="20"/>
      <c r="AK43" s="8"/>
      <c r="AL43" s="20"/>
      <c r="AM43" s="20"/>
      <c r="AN43" s="20"/>
      <c r="AO43" s="20"/>
      <c r="AP43" s="20"/>
      <c r="AQ43" s="20"/>
      <c r="AR43" s="20"/>
      <c r="AS43" s="60"/>
      <c r="AT43" s="60"/>
      <c r="AU43" s="20"/>
      <c r="AV43" s="19"/>
      <c r="AW43" s="63"/>
      <c r="AX43" s="63"/>
      <c r="AY43" s="63"/>
      <c r="AZ43" s="8"/>
      <c r="BA43" s="21"/>
      <c r="BB43" s="60"/>
      <c r="BC43" s="60"/>
      <c r="BD43" s="60"/>
      <c r="BE43" s="62"/>
    </row>
    <row r="44" spans="1:57" ht="15" customHeight="1" x14ac:dyDescent="0.25">
      <c r="A44" s="35"/>
      <c r="B44" s="8"/>
      <c r="C44" s="8"/>
      <c r="D44" s="8"/>
      <c r="E44" s="8"/>
      <c r="F44" s="8"/>
      <c r="G44" s="20"/>
      <c r="H44" s="20"/>
      <c r="I44" s="121"/>
      <c r="J44" s="91"/>
      <c r="K44" s="91"/>
      <c r="L44" s="91"/>
      <c r="M44" s="20"/>
      <c r="N44" s="8"/>
      <c r="O44" s="8"/>
      <c r="P44" s="8"/>
      <c r="Q44" s="8"/>
      <c r="R44" s="8"/>
      <c r="S44" s="20"/>
      <c r="T44" s="8"/>
      <c r="U44" s="8"/>
      <c r="V44" s="8"/>
      <c r="W44" s="8"/>
      <c r="X44" s="8"/>
      <c r="Y44" s="8"/>
      <c r="Z44" s="8"/>
      <c r="AA44" s="20"/>
      <c r="AB44" s="20"/>
      <c r="AC44" s="20"/>
      <c r="AD44" s="20"/>
      <c r="AE44" s="8"/>
      <c r="AF44" s="20"/>
      <c r="AG44" s="20"/>
      <c r="AH44" s="20"/>
      <c r="AI44" s="20"/>
      <c r="AJ44" s="20"/>
      <c r="AK44" s="8"/>
      <c r="AL44" s="20"/>
      <c r="AM44" s="20"/>
      <c r="AN44" s="20"/>
      <c r="AO44" s="20"/>
      <c r="AP44" s="20"/>
      <c r="AQ44" s="20"/>
      <c r="AR44" s="20"/>
      <c r="AS44" s="20"/>
      <c r="AT44" s="20"/>
      <c r="AU44" s="20"/>
      <c r="AV44" s="19"/>
      <c r="AW44" s="63"/>
      <c r="AX44" s="63"/>
      <c r="AY44" s="63"/>
      <c r="AZ44" s="8"/>
      <c r="BA44" s="21"/>
      <c r="BB44" s="20"/>
      <c r="BC44" s="20"/>
      <c r="BD44" s="20"/>
      <c r="BE44" s="40"/>
    </row>
    <row r="45" spans="1:57" ht="15.75" customHeight="1" thickBot="1" x14ac:dyDescent="0.3">
      <c r="A45" s="35"/>
      <c r="B45" s="8"/>
      <c r="C45" s="8"/>
      <c r="D45" s="8"/>
      <c r="E45" s="8"/>
      <c r="F45" s="8"/>
      <c r="G45" s="20"/>
      <c r="H45" s="20"/>
      <c r="I45" s="91"/>
      <c r="J45" s="91"/>
      <c r="K45" s="91"/>
      <c r="L45" s="91"/>
      <c r="M45" s="20"/>
      <c r="N45" s="8"/>
      <c r="O45" s="8"/>
      <c r="P45" s="8"/>
      <c r="Q45" s="8"/>
      <c r="R45" s="8"/>
      <c r="S45" s="20"/>
      <c r="T45" s="8"/>
      <c r="U45" s="8"/>
      <c r="V45" s="8"/>
      <c r="W45" s="8"/>
      <c r="X45" s="8"/>
      <c r="Y45" s="8"/>
      <c r="Z45" s="8"/>
      <c r="AA45" s="20"/>
      <c r="AB45" s="20"/>
      <c r="AC45" s="20"/>
      <c r="AD45" s="20"/>
      <c r="AE45" s="8"/>
      <c r="AF45" s="20"/>
      <c r="AG45" s="20"/>
      <c r="AH45" s="20"/>
      <c r="AI45" s="20"/>
      <c r="AJ45" s="20"/>
      <c r="AK45" s="20"/>
      <c r="AL45" s="20"/>
      <c r="AM45" s="20"/>
      <c r="AN45" s="20"/>
      <c r="AO45" s="20"/>
      <c r="AP45" s="20"/>
      <c r="AQ45" s="24"/>
      <c r="AR45" s="20"/>
      <c r="AS45" s="47"/>
      <c r="AT45" s="47"/>
      <c r="AU45" s="46"/>
      <c r="AV45" s="64"/>
      <c r="AW45" s="65"/>
      <c r="AX45" s="65"/>
      <c r="AY45" s="65"/>
      <c r="AZ45" s="65"/>
      <c r="BA45" s="66"/>
      <c r="BB45" s="20"/>
      <c r="BC45" s="20"/>
      <c r="BD45" s="20"/>
      <c r="BE45" s="40"/>
    </row>
    <row r="46" spans="1:57" ht="12.75" customHeight="1" x14ac:dyDescent="0.25">
      <c r="A46" s="35"/>
      <c r="B46" s="8"/>
      <c r="C46" s="8"/>
      <c r="D46" s="8"/>
      <c r="E46" s="8"/>
      <c r="F46" s="8"/>
      <c r="G46" s="20"/>
      <c r="H46" s="20"/>
      <c r="I46" s="91"/>
      <c r="J46" s="91"/>
      <c r="K46" s="91"/>
      <c r="L46" s="91"/>
      <c r="M46" s="20"/>
      <c r="N46" s="20"/>
      <c r="O46" s="20"/>
      <c r="P46" s="20"/>
      <c r="Q46" s="20"/>
      <c r="R46" s="20"/>
      <c r="S46" s="20"/>
      <c r="T46" s="8"/>
      <c r="U46" s="8"/>
      <c r="V46" s="8"/>
      <c r="W46" s="8"/>
      <c r="X46" s="8"/>
      <c r="Y46" s="8"/>
      <c r="Z46" s="8"/>
      <c r="AA46" s="20"/>
      <c r="AB46" s="20"/>
      <c r="AC46" s="20"/>
      <c r="AD46" s="20"/>
      <c r="AE46" s="20"/>
      <c r="AF46" s="20"/>
      <c r="AG46" s="20"/>
      <c r="AH46" s="20"/>
      <c r="AI46" s="20"/>
      <c r="AJ46" s="20"/>
      <c r="AK46" s="46"/>
      <c r="AL46" s="20"/>
      <c r="AM46" s="20"/>
      <c r="AN46" s="20"/>
      <c r="AO46" s="20"/>
      <c r="AP46" s="46"/>
      <c r="AQ46" s="67"/>
      <c r="AR46" s="20"/>
      <c r="AS46" s="20"/>
      <c r="AT46" s="20"/>
      <c r="AU46" s="46"/>
      <c r="AV46" s="46"/>
      <c r="AW46" s="46"/>
      <c r="AX46" s="46"/>
      <c r="AY46" s="46"/>
      <c r="AZ46" s="46"/>
      <c r="BA46" s="20"/>
      <c r="BB46" s="20"/>
      <c r="BC46" s="20"/>
      <c r="BD46" s="20"/>
      <c r="BE46" s="40"/>
    </row>
    <row r="47" spans="1:57" ht="12.75" customHeight="1" x14ac:dyDescent="0.25">
      <c r="A47" s="35"/>
      <c r="B47" s="8"/>
      <c r="C47" s="8"/>
      <c r="D47" s="8"/>
      <c r="E47" s="8"/>
      <c r="F47" s="8"/>
      <c r="G47" s="20"/>
      <c r="H47" s="20"/>
      <c r="I47" s="68"/>
      <c r="J47" s="68"/>
      <c r="K47" s="68"/>
      <c r="L47" s="68"/>
      <c r="M47" s="20"/>
      <c r="N47" s="20"/>
      <c r="O47" s="20"/>
      <c r="P47" s="20"/>
      <c r="Q47" s="20"/>
      <c r="R47" s="20"/>
      <c r="S47" s="20"/>
      <c r="T47" s="8"/>
      <c r="U47" s="8"/>
      <c r="V47" s="8"/>
      <c r="W47" s="8"/>
      <c r="X47" s="8"/>
      <c r="Y47" s="8"/>
      <c r="Z47" s="8"/>
      <c r="AA47" s="20"/>
      <c r="AB47" s="20"/>
      <c r="AC47" s="20"/>
      <c r="AD47" s="20"/>
      <c r="AE47" s="20"/>
      <c r="AF47" s="20"/>
      <c r="AG47" s="20"/>
      <c r="AH47" s="20"/>
      <c r="AI47" s="20"/>
      <c r="AJ47" s="20"/>
      <c r="AK47" s="46"/>
      <c r="AL47" s="20"/>
      <c r="AM47" s="20"/>
      <c r="AN47" s="20"/>
      <c r="AO47" s="20"/>
      <c r="AP47" s="46"/>
      <c r="AQ47" s="38"/>
      <c r="AR47" s="8"/>
      <c r="AS47" s="8"/>
      <c r="AT47" s="57"/>
      <c r="AU47" s="46"/>
      <c r="AV47" s="46"/>
      <c r="AW47" s="46"/>
      <c r="AX47" s="46"/>
      <c r="AY47" s="46"/>
      <c r="AZ47" s="46"/>
      <c r="BA47" s="20"/>
      <c r="BB47" s="20"/>
      <c r="BC47" s="20"/>
      <c r="BD47" s="20"/>
      <c r="BE47" s="40"/>
    </row>
    <row r="48" spans="1:57" ht="5.25" customHeight="1" thickBot="1" x14ac:dyDescent="0.3">
      <c r="B48" s="64"/>
      <c r="C48" s="65"/>
      <c r="D48" s="65"/>
      <c r="E48" s="65"/>
      <c r="F48" s="65"/>
      <c r="G48" s="69"/>
      <c r="H48" s="69"/>
      <c r="I48" s="69"/>
      <c r="J48" s="69"/>
      <c r="K48" s="69"/>
      <c r="L48" s="69"/>
      <c r="M48" s="69"/>
      <c r="N48" s="69"/>
      <c r="O48" s="70"/>
      <c r="P48" s="70"/>
      <c r="Q48" s="70"/>
      <c r="R48" s="70"/>
      <c r="S48" s="70"/>
      <c r="T48" s="70"/>
      <c r="U48" s="70"/>
      <c r="V48" s="70"/>
      <c r="W48" s="70"/>
      <c r="X48" s="70"/>
      <c r="Y48" s="70"/>
      <c r="Z48" s="70"/>
      <c r="AA48" s="70"/>
      <c r="AB48" s="70"/>
      <c r="AC48" s="70"/>
      <c r="AD48" s="70"/>
      <c r="AE48" s="69"/>
      <c r="AF48" s="65"/>
      <c r="AG48" s="65"/>
      <c r="AH48" s="65"/>
      <c r="AI48" s="65"/>
      <c r="AJ48" s="65"/>
      <c r="AK48" s="71"/>
      <c r="AL48" s="71"/>
      <c r="AM48" s="69"/>
      <c r="AN48" s="69"/>
      <c r="AO48" s="69"/>
      <c r="AP48" s="69"/>
      <c r="AQ48" s="65"/>
      <c r="AR48" s="65"/>
      <c r="AS48" s="65"/>
      <c r="AT48" s="71"/>
      <c r="AU48" s="71"/>
      <c r="AV48" s="71"/>
      <c r="AW48" s="69"/>
      <c r="AX48" s="69"/>
      <c r="AY48" s="69"/>
      <c r="AZ48" s="69"/>
      <c r="BA48" s="69"/>
      <c r="BB48" s="69"/>
      <c r="BC48" s="69"/>
      <c r="BD48" s="69"/>
      <c r="BE48" s="72"/>
    </row>
    <row r="49" spans="2:59" ht="0.75" customHeight="1" thickBot="1" x14ac:dyDescent="0.3">
      <c r="B49" s="73"/>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69"/>
      <c r="BA49" s="69"/>
      <c r="BB49" s="69"/>
      <c r="BC49" s="69"/>
      <c r="BD49" s="69"/>
      <c r="BE49" s="74"/>
    </row>
    <row r="50" spans="2:59" ht="3" customHeight="1" thickBot="1" x14ac:dyDescent="0.3">
      <c r="B50" s="75"/>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76"/>
    </row>
    <row r="51" spans="2:59" ht="15" customHeight="1" thickBot="1" x14ac:dyDescent="0.3">
      <c r="B51" s="19"/>
      <c r="C51" s="20"/>
      <c r="D51" s="20"/>
      <c r="E51" s="20"/>
      <c r="F51" s="20"/>
      <c r="G51" s="20"/>
      <c r="H51" s="20"/>
      <c r="I51" s="20"/>
      <c r="J51" s="20"/>
      <c r="K51" s="20"/>
      <c r="L51" s="20"/>
      <c r="M51" s="20"/>
      <c r="N51" s="20"/>
      <c r="O51" s="20"/>
      <c r="P51" s="20"/>
      <c r="Q51" s="20"/>
      <c r="R51" s="20"/>
      <c r="S51" s="20"/>
      <c r="T51" s="20"/>
      <c r="U51" s="116" t="s">
        <v>458</v>
      </c>
      <c r="V51" s="117"/>
      <c r="W51" s="117"/>
      <c r="X51" s="117"/>
      <c r="Y51" s="117"/>
      <c r="Z51" s="117"/>
      <c r="AA51" s="117"/>
      <c r="AB51" s="117"/>
      <c r="AC51" s="117"/>
      <c r="AD51" s="117"/>
      <c r="AE51" s="117"/>
      <c r="AF51" s="117"/>
      <c r="AG51" s="117"/>
      <c r="AH51" s="117"/>
      <c r="AI51" s="117"/>
      <c r="AJ51" s="117"/>
      <c r="AK51" s="117"/>
      <c r="AL51" s="117"/>
      <c r="AM51" s="117"/>
      <c r="AN51" s="117"/>
      <c r="AO51" s="118"/>
      <c r="AP51" s="20"/>
      <c r="AQ51" s="20"/>
      <c r="AR51" s="20"/>
      <c r="AS51" s="20"/>
      <c r="AT51" s="20"/>
      <c r="AU51" s="20"/>
      <c r="AV51" s="20"/>
      <c r="AW51" s="20"/>
      <c r="AX51" s="20"/>
      <c r="AY51" s="20"/>
      <c r="AZ51" s="20"/>
      <c r="BA51" s="20"/>
      <c r="BB51" s="20"/>
      <c r="BC51" s="20"/>
      <c r="BD51" s="20"/>
      <c r="BE51" s="40"/>
      <c r="BG51" s="77"/>
    </row>
    <row r="52" spans="2:59" ht="6" customHeight="1" x14ac:dyDescent="0.25">
      <c r="B52" s="19"/>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40"/>
      <c r="BG52" s="77"/>
    </row>
    <row r="53" spans="2:59" ht="14.45" customHeight="1" x14ac:dyDescent="0.25">
      <c r="B53" s="19"/>
      <c r="C53" s="87" t="s">
        <v>459</v>
      </c>
      <c r="D53" s="88"/>
      <c r="E53" s="88"/>
      <c r="F53" s="89"/>
      <c r="G53" s="20"/>
      <c r="H53" s="78">
        <v>30</v>
      </c>
      <c r="I53" s="87" t="str">
        <f>TEXT(INT(LEFT(C53,2))+1,"0") &amp; " - Automação Residencial e Predial"</f>
        <v>2 - Automação Residencial e Predial</v>
      </c>
      <c r="J53" s="88"/>
      <c r="K53" s="88"/>
      <c r="L53" s="89"/>
      <c r="M53" s="20"/>
      <c r="N53" s="20"/>
      <c r="O53" s="87" t="str">
        <f>TEXT(INT(LEFT(I53,2))+1,"0") &amp; " - Eficiência em Sistemas de Energia"</f>
        <v>3 - Eficiência em Sistemas de Energia</v>
      </c>
      <c r="P53" s="88"/>
      <c r="Q53" s="88"/>
      <c r="R53" s="89"/>
      <c r="S53" s="20"/>
      <c r="T53" s="20"/>
      <c r="U53" s="87" t="str">
        <f>TEXT(INT(LEFT(O53,2))+1,"0") &amp; " - Fabricação Assistida por Computador"</f>
        <v>4 - Fabricação Assistida por Computador</v>
      </c>
      <c r="V53" s="88"/>
      <c r="W53" s="88"/>
      <c r="X53" s="89"/>
      <c r="Y53" s="20"/>
      <c r="Z53" s="20"/>
      <c r="AA53" s="87" t="str">
        <f>TEXT(INT(LEFT(U53,2))+1,"0") &amp; " - Fontes Renováveis não Convencionais - Técnicas e Aplicações"</f>
        <v>5 - Fontes Renováveis não Convencionais - Técnicas e Aplicações</v>
      </c>
      <c r="AB53" s="88"/>
      <c r="AC53" s="88"/>
      <c r="AD53" s="89"/>
      <c r="AE53" s="20"/>
      <c r="AF53" s="20"/>
      <c r="AG53" s="87" t="str">
        <f>TEXT(INT(LEFT(AA53,2))+1,"0") &amp; " - Gestão dos Sistemas de Produção"</f>
        <v>6 - Gestão dos Sistemas de Produção</v>
      </c>
      <c r="AH53" s="88"/>
      <c r="AI53" s="88"/>
      <c r="AJ53" s="89"/>
      <c r="AK53" s="20"/>
      <c r="AL53" s="79"/>
      <c r="AM53" s="87" t="str">
        <f>TEXT(INT(LEFT(AG53,2))+1,"0") &amp; " - Língua 
Brasileira de
Sinais - LIBRAS I"</f>
        <v>7 - Língua 
Brasileira de
Sinais - LIBRAS I</v>
      </c>
      <c r="AN53" s="88"/>
      <c r="AO53" s="89"/>
      <c r="AQ53" s="79"/>
      <c r="AR53" s="87" t="str">
        <f>TEXT(INT(LEFT(AM53,2))+1,"0") &amp; " - Materiais e Equip. Elétricos e Eletrônicos"</f>
        <v>8 - Materiais e Equip. Elétricos e Eletrônicos</v>
      </c>
      <c r="AS53" s="88"/>
      <c r="AT53" s="89"/>
      <c r="AU53" s="20"/>
      <c r="AV53" s="114" t="s">
        <v>460</v>
      </c>
      <c r="AW53" s="87" t="str">
        <f>TEXT(INT(LEFT(AR53,2))+1,"0") &amp; " - Metodologia da Pesquisa e Escrita Científica"</f>
        <v>9 - Metodologia da Pesquisa e Escrita Científica</v>
      </c>
      <c r="AX53" s="88"/>
      <c r="AY53" s="89"/>
      <c r="AZ53" s="79"/>
      <c r="BA53" s="79"/>
      <c r="BB53" s="87" t="str">
        <f>TEXT(INT(LEFT(AW53,2))+1,"0") &amp; " - Processamento Digital de Sinais"</f>
        <v>10 - Processamento Digital de Sinais</v>
      </c>
      <c r="BC53" s="88"/>
      <c r="BD53" s="89"/>
      <c r="BE53" s="40"/>
      <c r="BG53" s="77"/>
    </row>
    <row r="54" spans="2:59" x14ac:dyDescent="0.25">
      <c r="B54" s="19"/>
      <c r="C54" s="90"/>
      <c r="D54" s="91"/>
      <c r="E54" s="91"/>
      <c r="F54" s="92"/>
      <c r="G54" s="20"/>
      <c r="H54" s="78">
        <v>40</v>
      </c>
      <c r="I54" s="90"/>
      <c r="J54" s="91"/>
      <c r="K54" s="91"/>
      <c r="L54" s="92"/>
      <c r="M54" s="20"/>
      <c r="N54" s="78">
        <v>42</v>
      </c>
      <c r="O54" s="90"/>
      <c r="P54" s="91"/>
      <c r="Q54" s="91"/>
      <c r="R54" s="92"/>
      <c r="S54" s="20"/>
      <c r="T54" s="20"/>
      <c r="U54" s="90"/>
      <c r="V54" s="91"/>
      <c r="W54" s="91"/>
      <c r="X54" s="92"/>
      <c r="Y54" s="20"/>
      <c r="Z54" s="20"/>
      <c r="AA54" s="90"/>
      <c r="AB54" s="91"/>
      <c r="AC54" s="91"/>
      <c r="AD54" s="92"/>
      <c r="AE54" s="20"/>
      <c r="AF54" s="20"/>
      <c r="AG54" s="90"/>
      <c r="AH54" s="91"/>
      <c r="AI54" s="91"/>
      <c r="AJ54" s="92"/>
      <c r="AK54" s="20"/>
      <c r="AL54" s="79"/>
      <c r="AM54" s="90"/>
      <c r="AN54" s="91"/>
      <c r="AO54" s="92"/>
      <c r="AQ54" s="78">
        <v>18</v>
      </c>
      <c r="AR54" s="90"/>
      <c r="AS54" s="91"/>
      <c r="AT54" s="92"/>
      <c r="AU54" s="20"/>
      <c r="AV54" s="92"/>
      <c r="AW54" s="90"/>
      <c r="AX54" s="91"/>
      <c r="AY54" s="92"/>
      <c r="AZ54" s="79"/>
      <c r="BA54" s="79"/>
      <c r="BB54" s="90"/>
      <c r="BC54" s="91"/>
      <c r="BD54" s="92"/>
      <c r="BE54" s="40"/>
      <c r="BG54" s="77"/>
    </row>
    <row r="55" spans="2:59" ht="26.25" customHeight="1" x14ac:dyDescent="0.25">
      <c r="B55" s="80">
        <v>37</v>
      </c>
      <c r="C55" s="93"/>
      <c r="D55" s="94"/>
      <c r="E55" s="94"/>
      <c r="F55" s="95"/>
      <c r="G55" s="20"/>
      <c r="H55" s="78">
        <v>49</v>
      </c>
      <c r="I55" s="93"/>
      <c r="J55" s="94"/>
      <c r="K55" s="94"/>
      <c r="L55" s="95"/>
      <c r="M55" s="20"/>
      <c r="N55" s="78">
        <v>40</v>
      </c>
      <c r="O55" s="93"/>
      <c r="P55" s="94"/>
      <c r="Q55" s="94"/>
      <c r="R55" s="95"/>
      <c r="S55" s="20"/>
      <c r="T55" s="78">
        <v>46</v>
      </c>
      <c r="U55" s="93"/>
      <c r="V55" s="94"/>
      <c r="W55" s="94"/>
      <c r="X55" s="95"/>
      <c r="Y55" s="20"/>
      <c r="Z55" s="78">
        <v>45</v>
      </c>
      <c r="AA55" s="93"/>
      <c r="AB55" s="94"/>
      <c r="AC55" s="94"/>
      <c r="AD55" s="95"/>
      <c r="AE55" s="20"/>
      <c r="AF55" s="78">
        <v>35</v>
      </c>
      <c r="AG55" s="93"/>
      <c r="AH55" s="94"/>
      <c r="AI55" s="94"/>
      <c r="AJ55" s="95"/>
      <c r="AK55" s="20"/>
      <c r="AL55" s="79"/>
      <c r="AM55" s="93"/>
      <c r="AN55" s="94"/>
      <c r="AO55" s="95"/>
      <c r="AQ55" s="78">
        <v>20</v>
      </c>
      <c r="AR55" s="93"/>
      <c r="AS55" s="94"/>
      <c r="AT55" s="95"/>
      <c r="AU55" s="20"/>
      <c r="AV55" s="95"/>
      <c r="AW55" s="93"/>
      <c r="AX55" s="94"/>
      <c r="AY55" s="95"/>
      <c r="AZ55" s="79"/>
      <c r="BA55" s="78">
        <v>37</v>
      </c>
      <c r="BB55" s="93"/>
      <c r="BC55" s="94"/>
      <c r="BD55" s="95"/>
      <c r="BE55" s="40"/>
      <c r="BG55" s="77"/>
    </row>
    <row r="56" spans="2:59" x14ac:dyDescent="0.25">
      <c r="B56" s="80"/>
      <c r="C56" s="27">
        <v>45</v>
      </c>
      <c r="D56" s="27"/>
      <c r="E56" s="27">
        <v>30</v>
      </c>
      <c r="F56" s="27">
        <f>C56+E56</f>
        <v>75</v>
      </c>
      <c r="G56" s="20"/>
      <c r="H56" s="20"/>
      <c r="I56" s="27">
        <v>45</v>
      </c>
      <c r="J56" s="27"/>
      <c r="K56" s="27">
        <v>15</v>
      </c>
      <c r="L56" s="27">
        <f>I56+K56</f>
        <v>60</v>
      </c>
      <c r="M56" s="20"/>
      <c r="N56" s="81"/>
      <c r="O56" s="27">
        <v>45</v>
      </c>
      <c r="P56" s="27"/>
      <c r="Q56" s="27">
        <v>15</v>
      </c>
      <c r="R56" s="27">
        <f>O56+Q56</f>
        <v>60</v>
      </c>
      <c r="S56" s="20"/>
      <c r="T56" s="20"/>
      <c r="U56" s="27">
        <v>30</v>
      </c>
      <c r="V56" s="27"/>
      <c r="W56" s="27">
        <v>0</v>
      </c>
      <c r="X56" s="27">
        <f>U56+W56</f>
        <v>30</v>
      </c>
      <c r="Y56" s="20"/>
      <c r="Z56" s="20"/>
      <c r="AA56" s="27">
        <v>45</v>
      </c>
      <c r="AB56" s="27"/>
      <c r="AC56" s="27">
        <v>15</v>
      </c>
      <c r="AD56" s="27">
        <f>AA56+AC56</f>
        <v>60</v>
      </c>
      <c r="AE56" s="20"/>
      <c r="AF56" s="20"/>
      <c r="AG56" s="27">
        <v>45</v>
      </c>
      <c r="AH56" s="27"/>
      <c r="AI56" s="27">
        <v>0</v>
      </c>
      <c r="AJ56" s="27">
        <f>AG56+AI56</f>
        <v>45</v>
      </c>
      <c r="AK56" s="20"/>
      <c r="AL56" s="79"/>
      <c r="AM56" s="27">
        <v>30</v>
      </c>
      <c r="AN56" s="27">
        <v>30</v>
      </c>
      <c r="AO56" s="27">
        <f>AM56+AN56</f>
        <v>60</v>
      </c>
      <c r="AQ56" s="79"/>
      <c r="AR56" s="27">
        <v>45</v>
      </c>
      <c r="AS56" s="27">
        <v>15</v>
      </c>
      <c r="AT56" s="27">
        <f>AR56+AS56</f>
        <v>60</v>
      </c>
      <c r="AU56" s="20"/>
      <c r="AV56" s="20"/>
      <c r="AW56" s="27">
        <v>60</v>
      </c>
      <c r="AX56" s="27">
        <v>0</v>
      </c>
      <c r="AY56" s="27">
        <f>AW56+AX56</f>
        <v>60</v>
      </c>
      <c r="AZ56" s="79"/>
      <c r="BA56" s="79"/>
      <c r="BB56" s="27">
        <v>45</v>
      </c>
      <c r="BC56" s="27">
        <v>15</v>
      </c>
      <c r="BD56" s="27">
        <f>BB56+BC56</f>
        <v>60</v>
      </c>
      <c r="BE56" s="40"/>
      <c r="BG56" s="77"/>
    </row>
    <row r="57" spans="2:59" ht="4.5" customHeight="1" x14ac:dyDescent="0.25">
      <c r="B57" s="19"/>
      <c r="C57" s="47"/>
      <c r="D57" s="47"/>
      <c r="E57" s="47"/>
      <c r="F57" s="47"/>
      <c r="G57" s="20"/>
      <c r="H57" s="20"/>
      <c r="I57" s="47"/>
      <c r="J57" s="47"/>
      <c r="K57" s="47"/>
      <c r="L57" s="47"/>
      <c r="M57" s="20"/>
      <c r="N57" s="20"/>
      <c r="O57" s="47"/>
      <c r="P57" s="47"/>
      <c r="Q57" s="47"/>
      <c r="R57" s="47"/>
      <c r="S57" s="20"/>
      <c r="T57" s="20"/>
      <c r="U57" s="47"/>
      <c r="V57" s="47"/>
      <c r="W57" s="47"/>
      <c r="X57" s="47"/>
      <c r="Y57" s="20"/>
      <c r="Z57" s="20"/>
      <c r="AA57" s="47"/>
      <c r="AB57" s="47"/>
      <c r="AC57" s="47"/>
      <c r="AD57" s="47"/>
      <c r="AE57" s="20"/>
      <c r="AG57" s="47"/>
      <c r="AH57" s="47"/>
      <c r="AI57" s="47"/>
      <c r="AJ57" s="47"/>
      <c r="AK57" s="20"/>
      <c r="AL57" s="20"/>
      <c r="AM57" s="82"/>
      <c r="AN57" s="82"/>
      <c r="AO57" s="82"/>
      <c r="AP57" s="82"/>
      <c r="AQ57" s="82"/>
      <c r="AR57" s="82"/>
      <c r="AS57" s="82"/>
      <c r="AT57" s="82"/>
      <c r="AU57" s="20"/>
      <c r="AV57" s="20"/>
      <c r="AW57" s="82"/>
      <c r="AX57" s="82"/>
      <c r="AY57" s="82"/>
      <c r="AZ57" s="82"/>
      <c r="BA57" s="82"/>
      <c r="BB57" s="82"/>
      <c r="BC57" s="82"/>
      <c r="BD57" s="82"/>
      <c r="BE57" s="40"/>
      <c r="BG57" s="77"/>
    </row>
    <row r="58" spans="2:59" ht="14.45" customHeight="1" x14ac:dyDescent="0.25">
      <c r="B58" s="19"/>
      <c r="C58" s="87" t="str">
        <f>TEXT(INT(LEFT(BB53,2))+1,"0") &amp; " - Programação Orientada a Objetos"</f>
        <v>11 - Programação Orientada a Objetos</v>
      </c>
      <c r="D58" s="88"/>
      <c r="E58" s="88"/>
      <c r="F58" s="89"/>
      <c r="G58" s="20"/>
      <c r="H58" s="20"/>
      <c r="I58" s="87" t="str">
        <f>TEXT(INT(LEFT(C58,2))+1,"0") &amp; " - Sistemas Computacionais em Tempo Real"</f>
        <v>12 - Sistemas Computacionais em Tempo Real</v>
      </c>
      <c r="J58" s="88"/>
      <c r="K58" s="88"/>
      <c r="L58" s="89"/>
      <c r="M58" s="20"/>
      <c r="N58" s="20"/>
      <c r="O58" s="87" t="str">
        <f>TEXT(INT(LEFT(I58,2))+1,"0") &amp; " - Sistemas de Gestão e Manutenção na Automação"</f>
        <v>13 - Sistemas de Gestão e Manutenção na Automação</v>
      </c>
      <c r="P58" s="88"/>
      <c r="Q58" s="88"/>
      <c r="R58" s="89"/>
      <c r="S58" s="20"/>
      <c r="T58" s="20"/>
      <c r="U58" s="87" t="str">
        <f>TEXT(INT(LEFT(O58,2))+1,"0") &amp; " - Sistemas Distribuídos"</f>
        <v>14 - Sistemas Distribuídos</v>
      </c>
      <c r="V58" s="88"/>
      <c r="W58" s="88"/>
      <c r="X58" s="89"/>
      <c r="Y58" s="20"/>
      <c r="Z58" s="20"/>
      <c r="AA58" s="87" t="str">
        <f>TEXT(INT(LEFT(U58,2))+1,"0") &amp; " - Instalações Industriais"</f>
        <v>15 - Instalações Industriais</v>
      </c>
      <c r="AB58" s="88"/>
      <c r="AC58" s="88"/>
      <c r="AD58" s="89"/>
      <c r="AF58" s="96" t="s">
        <v>460</v>
      </c>
      <c r="AG58" s="119" t="str">
        <f>TEXT(INT(LEFT(AA58,2))+1,"0") &amp; " - Tópicos Especiais em Engenharia de Controle e Automação I (***)"</f>
        <v>16 - Tópicos Especiais em Engenharia de Controle e Automação I (***)</v>
      </c>
      <c r="AH58" s="88"/>
      <c r="AI58" s="88"/>
      <c r="AJ58" s="89"/>
      <c r="AK58" s="20"/>
      <c r="AL58" s="96" t="s">
        <v>460</v>
      </c>
      <c r="AM58" s="119" t="str">
        <f>TEXT(INT(LEFT(AG58,2))+1,"0") &amp; " -  Tópicos Especiais em Engenharia de Controle e Automação II (***)"</f>
        <v>17 -  Tópicos Especiais em Engenharia de Controle e Automação II (***)</v>
      </c>
      <c r="AN58" s="88"/>
      <c r="AO58" s="89"/>
      <c r="AP58" s="20"/>
      <c r="AQ58" s="96" t="s">
        <v>460</v>
      </c>
      <c r="AR58" s="119" t="str">
        <f>TEXT(INT(LEFT(AM58,2))+1,"0") &amp; " -  Tópicos Especiais em Engenharia de Controle e Automação III (***)"</f>
        <v>18 -  Tópicos Especiais em Engenharia de Controle e Automação III (***)</v>
      </c>
      <c r="AS58" s="88"/>
      <c r="AT58" s="89"/>
      <c r="AU58" s="79"/>
      <c r="AV58" s="96" t="s">
        <v>460</v>
      </c>
      <c r="AW58" s="119" t="str">
        <f>TEXT(INT(LEFT(AR58,2))+1,"0") &amp; " -  Tópicos Especiais em Engenharia de Controle e Automação IV (***)"</f>
        <v>19 -  Tópicos Especiais em Engenharia de Controle e Automação IV (***)</v>
      </c>
      <c r="AX58" s="88"/>
      <c r="AY58" s="89"/>
      <c r="AZ58" s="8"/>
      <c r="BA58" s="8"/>
      <c r="BB58" s="8"/>
      <c r="BC58" s="8"/>
      <c r="BD58" s="8"/>
      <c r="BE58" s="21"/>
      <c r="BG58" s="77"/>
    </row>
    <row r="59" spans="2:59" x14ac:dyDescent="0.25">
      <c r="B59" s="19"/>
      <c r="C59" s="90"/>
      <c r="D59" s="91"/>
      <c r="E59" s="91"/>
      <c r="F59" s="92"/>
      <c r="G59" s="20"/>
      <c r="H59" s="20"/>
      <c r="I59" s="90"/>
      <c r="J59" s="91"/>
      <c r="K59" s="91"/>
      <c r="L59" s="92"/>
      <c r="M59" s="20"/>
      <c r="N59" s="20"/>
      <c r="O59" s="90"/>
      <c r="P59" s="91"/>
      <c r="Q59" s="91"/>
      <c r="R59" s="92"/>
      <c r="S59" s="20"/>
      <c r="T59" s="20"/>
      <c r="U59" s="90"/>
      <c r="V59" s="91"/>
      <c r="W59" s="91"/>
      <c r="X59" s="92"/>
      <c r="Y59" s="20"/>
      <c r="Z59" s="20"/>
      <c r="AA59" s="90"/>
      <c r="AB59" s="91"/>
      <c r="AC59" s="91"/>
      <c r="AD59" s="92"/>
      <c r="AF59" s="92"/>
      <c r="AG59" s="90"/>
      <c r="AH59" s="91"/>
      <c r="AI59" s="91"/>
      <c r="AJ59" s="92"/>
      <c r="AK59" s="20"/>
      <c r="AL59" s="92"/>
      <c r="AM59" s="90"/>
      <c r="AN59" s="91"/>
      <c r="AO59" s="92"/>
      <c r="AP59" s="20"/>
      <c r="AQ59" s="92"/>
      <c r="AR59" s="90"/>
      <c r="AS59" s="91"/>
      <c r="AT59" s="92"/>
      <c r="AU59" s="79"/>
      <c r="AV59" s="92"/>
      <c r="AW59" s="90"/>
      <c r="AX59" s="91"/>
      <c r="AY59" s="92"/>
      <c r="AZ59" s="8"/>
      <c r="BA59" s="8"/>
      <c r="BB59" s="8"/>
      <c r="BC59" s="8"/>
      <c r="BD59" s="8"/>
      <c r="BE59" s="21"/>
      <c r="BG59" s="77"/>
    </row>
    <row r="60" spans="2:59" ht="27.75" customHeight="1" x14ac:dyDescent="0.25">
      <c r="B60" s="80">
        <v>15</v>
      </c>
      <c r="C60" s="93"/>
      <c r="D60" s="94"/>
      <c r="E60" s="94"/>
      <c r="F60" s="95"/>
      <c r="G60" s="20"/>
      <c r="H60" s="78">
        <v>37</v>
      </c>
      <c r="I60" s="93"/>
      <c r="J60" s="94"/>
      <c r="K60" s="94"/>
      <c r="L60" s="95"/>
      <c r="M60" s="20"/>
      <c r="N60" s="78">
        <v>35</v>
      </c>
      <c r="O60" s="93"/>
      <c r="P60" s="94"/>
      <c r="Q60" s="94"/>
      <c r="R60" s="95"/>
      <c r="S60" s="20"/>
      <c r="T60" s="78">
        <v>49</v>
      </c>
      <c r="U60" s="93"/>
      <c r="V60" s="94"/>
      <c r="W60" s="94"/>
      <c r="X60" s="95"/>
      <c r="Y60" s="20"/>
      <c r="Z60" s="25" t="str">
        <f>LEFT(O24,2)</f>
        <v>17</v>
      </c>
      <c r="AA60" s="93"/>
      <c r="AB60" s="94"/>
      <c r="AC60" s="94"/>
      <c r="AD60" s="95"/>
      <c r="AF60" s="95"/>
      <c r="AG60" s="93"/>
      <c r="AH60" s="94"/>
      <c r="AI60" s="94"/>
      <c r="AJ60" s="95"/>
      <c r="AK60" s="20"/>
      <c r="AL60" s="95"/>
      <c r="AM60" s="93"/>
      <c r="AN60" s="94"/>
      <c r="AO60" s="95"/>
      <c r="AP60" s="20"/>
      <c r="AQ60" s="95"/>
      <c r="AR60" s="93"/>
      <c r="AS60" s="94"/>
      <c r="AT60" s="95"/>
      <c r="AU60" s="79"/>
      <c r="AV60" s="95"/>
      <c r="AW60" s="93"/>
      <c r="AX60" s="94"/>
      <c r="AY60" s="95"/>
      <c r="AZ60" s="8"/>
      <c r="BA60" s="8"/>
      <c r="BB60" s="8"/>
      <c r="BC60" s="8"/>
      <c r="BD60" s="8"/>
      <c r="BE60" s="21"/>
      <c r="BG60" s="77"/>
    </row>
    <row r="61" spans="2:59" x14ac:dyDescent="0.25">
      <c r="B61" s="19"/>
      <c r="C61" s="27">
        <v>30</v>
      </c>
      <c r="D61" s="27"/>
      <c r="E61" s="27">
        <v>30</v>
      </c>
      <c r="F61" s="27">
        <f>C61+E61</f>
        <v>60</v>
      </c>
      <c r="G61" s="20"/>
      <c r="H61" s="20"/>
      <c r="I61" s="27">
        <v>30</v>
      </c>
      <c r="J61" s="27"/>
      <c r="K61" s="27">
        <v>15</v>
      </c>
      <c r="L61" s="27">
        <f>I61+K61</f>
        <v>45</v>
      </c>
      <c r="M61" s="20"/>
      <c r="N61" s="20"/>
      <c r="O61" s="27">
        <v>60</v>
      </c>
      <c r="P61" s="27"/>
      <c r="Q61" s="27">
        <v>0</v>
      </c>
      <c r="R61" s="27">
        <f>O61+Q61</f>
        <v>60</v>
      </c>
      <c r="S61" s="20"/>
      <c r="T61" s="20"/>
      <c r="U61" s="27">
        <v>30</v>
      </c>
      <c r="V61" s="27"/>
      <c r="W61" s="27">
        <v>15</v>
      </c>
      <c r="X61" s="27">
        <f>U61+W61</f>
        <v>45</v>
      </c>
      <c r="Y61" s="20"/>
      <c r="Z61" s="20"/>
      <c r="AA61" s="27">
        <v>45</v>
      </c>
      <c r="AB61" s="27"/>
      <c r="AC61" s="27">
        <v>15</v>
      </c>
      <c r="AD61" s="27">
        <f>AA61+AC61</f>
        <v>60</v>
      </c>
      <c r="AF61" s="20"/>
      <c r="AG61" s="27">
        <v>60</v>
      </c>
      <c r="AH61" s="27"/>
      <c r="AI61" s="27">
        <v>0</v>
      </c>
      <c r="AJ61" s="27">
        <f>AG61+AI61</f>
        <v>60</v>
      </c>
      <c r="AK61" s="20"/>
      <c r="AL61" s="81"/>
      <c r="AM61" s="27">
        <v>60</v>
      </c>
      <c r="AN61" s="27">
        <v>0</v>
      </c>
      <c r="AO61" s="27">
        <f>AM61+AN61</f>
        <v>60</v>
      </c>
      <c r="AP61" s="20"/>
      <c r="AQ61" s="20"/>
      <c r="AR61" s="27">
        <v>60</v>
      </c>
      <c r="AS61" s="27">
        <v>0</v>
      </c>
      <c r="AT61" s="27">
        <f>AR61+AS61</f>
        <v>60</v>
      </c>
      <c r="AU61" s="79"/>
      <c r="AV61" s="79"/>
      <c r="AW61" s="27">
        <v>60</v>
      </c>
      <c r="AX61" s="27">
        <v>0</v>
      </c>
      <c r="AY61" s="27">
        <f>AW61+AX61</f>
        <v>60</v>
      </c>
      <c r="AZ61" s="8"/>
      <c r="BA61" s="8"/>
      <c r="BB61" s="8"/>
      <c r="BC61" s="8"/>
      <c r="BD61" s="8"/>
      <c r="BE61" s="21"/>
      <c r="BG61" s="77"/>
    </row>
    <row r="62" spans="2:59" ht="4.5" customHeight="1" thickBot="1" x14ac:dyDescent="0.3">
      <c r="B62" s="83"/>
      <c r="C62" s="84"/>
      <c r="D62" s="84"/>
      <c r="E62" s="84"/>
      <c r="F62" s="84"/>
      <c r="G62" s="69"/>
      <c r="H62" s="69"/>
      <c r="I62" s="84"/>
      <c r="J62" s="84"/>
      <c r="K62" s="84"/>
      <c r="L62" s="84"/>
      <c r="M62" s="69"/>
      <c r="N62" s="69"/>
      <c r="O62" s="84"/>
      <c r="P62" s="84"/>
      <c r="Q62" s="84"/>
      <c r="R62" s="84"/>
      <c r="S62" s="69"/>
      <c r="T62" s="69"/>
      <c r="U62" s="84"/>
      <c r="V62" s="84"/>
      <c r="W62" s="84"/>
      <c r="X62" s="84"/>
      <c r="Y62" s="69"/>
      <c r="Z62" s="69"/>
      <c r="AA62" s="84"/>
      <c r="AB62" s="84"/>
      <c r="AC62" s="84"/>
      <c r="AD62" s="84"/>
      <c r="AE62" s="69"/>
      <c r="AF62" s="69"/>
      <c r="AG62" s="84"/>
      <c r="AH62" s="84"/>
      <c r="AI62" s="84"/>
      <c r="AJ62" s="84"/>
      <c r="AK62" s="69"/>
      <c r="AL62" s="69"/>
      <c r="AM62" s="85"/>
      <c r="AN62" s="85"/>
      <c r="AO62" s="85"/>
      <c r="AP62" s="85"/>
      <c r="AQ62" s="85"/>
      <c r="AR62" s="85"/>
      <c r="AS62" s="85"/>
      <c r="AT62" s="85"/>
      <c r="AU62" s="69"/>
      <c r="AV62" s="65"/>
      <c r="AW62" s="65"/>
      <c r="AX62" s="65"/>
      <c r="AY62" s="65"/>
      <c r="AZ62" s="65"/>
      <c r="BA62" s="65"/>
      <c r="BB62" s="65"/>
      <c r="BC62" s="65"/>
      <c r="BD62" s="65"/>
      <c r="BE62" s="66"/>
      <c r="BG62" s="77"/>
    </row>
    <row r="63" spans="2:59" ht="15" customHeight="1" x14ac:dyDescent="0.25">
      <c r="B63" s="100" t="s">
        <v>461</v>
      </c>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2"/>
      <c r="BG63" s="77"/>
    </row>
    <row r="64" spans="2:59" x14ac:dyDescent="0.25">
      <c r="B64" s="103"/>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104"/>
    </row>
    <row r="65" spans="1:76" x14ac:dyDescent="0.25">
      <c r="B65" s="103"/>
      <c r="C65" s="91"/>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91"/>
      <c r="BC65" s="91"/>
      <c r="BD65" s="91"/>
      <c r="BE65" s="104"/>
    </row>
    <row r="66" spans="1:76" s="2" customFormat="1" x14ac:dyDescent="0.25">
      <c r="A66" s="1"/>
      <c r="B66" s="103"/>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4"/>
      <c r="BG66" s="1"/>
      <c r="BH66" s="1"/>
      <c r="BI66" s="1"/>
      <c r="BJ66" s="1"/>
      <c r="BK66" s="1"/>
      <c r="BL66" s="1"/>
      <c r="BM66" s="1"/>
      <c r="BN66" s="1"/>
      <c r="BO66" s="1"/>
      <c r="BP66" s="1"/>
      <c r="BQ66" s="1"/>
      <c r="BR66" s="1"/>
      <c r="BS66" s="1"/>
      <c r="BT66" s="1"/>
      <c r="BU66" s="1"/>
      <c r="BV66" s="1"/>
      <c r="BW66" s="1"/>
      <c r="BX66" s="1"/>
    </row>
    <row r="67" spans="1:76" s="2" customFormat="1" x14ac:dyDescent="0.25">
      <c r="A67" s="1"/>
      <c r="B67" s="103"/>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4"/>
      <c r="BG67" s="1"/>
      <c r="BH67" s="1"/>
      <c r="BI67" s="1"/>
      <c r="BJ67" s="1"/>
      <c r="BK67" s="1"/>
      <c r="BL67" s="1"/>
      <c r="BM67" s="1"/>
      <c r="BN67" s="1"/>
      <c r="BO67" s="1"/>
      <c r="BP67" s="1"/>
      <c r="BQ67" s="1"/>
      <c r="BR67" s="1"/>
      <c r="BS67" s="1"/>
      <c r="BT67" s="1"/>
      <c r="BU67" s="1"/>
      <c r="BV67" s="1"/>
      <c r="BW67" s="1"/>
      <c r="BX67" s="1"/>
    </row>
    <row r="68" spans="1:76" s="2" customFormat="1" x14ac:dyDescent="0.25">
      <c r="A68" s="1"/>
      <c r="B68" s="103"/>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4"/>
      <c r="BG68" s="1"/>
      <c r="BH68" s="1"/>
      <c r="BI68" s="1"/>
      <c r="BJ68" s="1"/>
      <c r="BK68" s="1"/>
      <c r="BL68" s="1"/>
      <c r="BM68" s="1"/>
      <c r="BN68" s="1"/>
      <c r="BO68" s="1"/>
      <c r="BP68" s="1"/>
      <c r="BQ68" s="1"/>
      <c r="BR68" s="1"/>
      <c r="BS68" s="1"/>
      <c r="BT68" s="1"/>
      <c r="BU68" s="1"/>
      <c r="BV68" s="1"/>
      <c r="BW68" s="1"/>
      <c r="BX68" s="1"/>
    </row>
    <row r="69" spans="1:76" s="2" customFormat="1" x14ac:dyDescent="0.25">
      <c r="A69" s="1"/>
      <c r="B69" s="103"/>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4"/>
      <c r="BG69" s="1"/>
      <c r="BH69" s="1"/>
      <c r="BI69" s="1"/>
      <c r="BJ69" s="1"/>
      <c r="BK69" s="1"/>
      <c r="BL69" s="1"/>
      <c r="BM69" s="1"/>
      <c r="BN69" s="1"/>
      <c r="BO69" s="1"/>
      <c r="BP69" s="1"/>
      <c r="BQ69" s="1"/>
      <c r="BR69" s="1"/>
      <c r="BS69" s="1"/>
      <c r="BT69" s="1"/>
      <c r="BU69" s="1"/>
      <c r="BV69" s="1"/>
      <c r="BW69" s="1"/>
      <c r="BX69" s="1"/>
    </row>
    <row r="70" spans="1:76" s="2" customFormat="1" ht="15" customHeight="1" thickBot="1" x14ac:dyDescent="0.3">
      <c r="A70" s="1"/>
      <c r="B70" s="106"/>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c r="AR70" s="107"/>
      <c r="AS70" s="107"/>
      <c r="AT70" s="107"/>
      <c r="AU70" s="107"/>
      <c r="AV70" s="107"/>
      <c r="AW70" s="107"/>
      <c r="AX70" s="107"/>
      <c r="AY70" s="107"/>
      <c r="AZ70" s="107"/>
      <c r="BA70" s="107"/>
      <c r="BB70" s="107"/>
      <c r="BC70" s="107"/>
      <c r="BD70" s="107"/>
      <c r="BE70" s="108"/>
      <c r="BG70" s="1"/>
      <c r="BH70" s="1"/>
      <c r="BI70" s="1"/>
      <c r="BJ70" s="1"/>
      <c r="BK70" s="1"/>
      <c r="BL70" s="1"/>
      <c r="BM70" s="1"/>
      <c r="BN70" s="1"/>
      <c r="BO70" s="1"/>
      <c r="BP70" s="1"/>
      <c r="BQ70" s="1"/>
      <c r="BR70" s="1"/>
      <c r="BS70" s="1"/>
      <c r="BT70" s="1"/>
      <c r="BU70" s="1"/>
      <c r="BV70" s="1"/>
      <c r="BW70" s="1"/>
      <c r="BX70" s="1"/>
    </row>
    <row r="71" spans="1:76" s="2" customFormat="1" ht="6" customHeight="1" x14ac:dyDescent="0.25">
      <c r="A71" s="1"/>
      <c r="B71" s="1"/>
      <c r="K71" s="1"/>
      <c r="L71" s="1"/>
      <c r="M71" s="1"/>
      <c r="N71" s="20"/>
      <c r="O71" s="20"/>
      <c r="P71" s="20"/>
      <c r="Q71" s="20"/>
      <c r="R71" s="20"/>
      <c r="S71" s="1"/>
      <c r="T71" s="1"/>
      <c r="U71" s="20"/>
      <c r="V71" s="20"/>
      <c r="W71" s="20"/>
      <c r="X71" s="20"/>
      <c r="Y71" s="20"/>
      <c r="Z71" s="20"/>
      <c r="AA71" s="20"/>
      <c r="AB71" s="20"/>
      <c r="AC71" s="20"/>
      <c r="AD71" s="20"/>
      <c r="AE71" s="1"/>
      <c r="AF71" s="20"/>
      <c r="AG71" s="20"/>
      <c r="AH71" s="20"/>
      <c r="AI71" s="20"/>
      <c r="AJ71" s="20"/>
      <c r="AK71" s="1"/>
      <c r="AL71" s="20"/>
      <c r="AM71" s="20"/>
      <c r="AN71" s="20"/>
      <c r="AO71" s="20"/>
      <c r="AP71" s="1"/>
      <c r="AQ71" s="20"/>
      <c r="AR71" s="20"/>
      <c r="AS71" s="20"/>
      <c r="AT71" s="20"/>
      <c r="AU71" s="1"/>
      <c r="AV71" s="20"/>
      <c r="AW71" s="20"/>
      <c r="AX71" s="20"/>
      <c r="AY71" s="20"/>
      <c r="AZ71" s="1"/>
      <c r="BA71" s="1"/>
      <c r="BB71" s="1"/>
      <c r="BC71" s="1"/>
      <c r="BD71" s="1"/>
      <c r="BE71" s="1"/>
      <c r="BG71" s="1"/>
      <c r="BH71" s="1"/>
      <c r="BI71" s="1"/>
      <c r="BJ71" s="1"/>
      <c r="BK71" s="1"/>
      <c r="BL71" s="1"/>
      <c r="BM71" s="1"/>
      <c r="BN71" s="1"/>
      <c r="BO71" s="1"/>
      <c r="BP71" s="1"/>
      <c r="BQ71" s="1"/>
      <c r="BR71" s="1"/>
      <c r="BS71" s="1"/>
      <c r="BT71" s="1"/>
      <c r="BU71" s="1"/>
      <c r="BV71" s="1"/>
      <c r="BW71" s="1"/>
      <c r="BX71" s="1"/>
    </row>
    <row r="72" spans="1:76" s="2" customFormat="1" x14ac:dyDescent="0.25">
      <c r="A72" s="1"/>
      <c r="B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G72" s="1"/>
      <c r="BH72" s="1"/>
      <c r="BI72" s="1"/>
      <c r="BJ72" s="1"/>
      <c r="BK72" s="1"/>
      <c r="BL72" s="1"/>
      <c r="BM72" s="1"/>
      <c r="BN72" s="1"/>
      <c r="BO72" s="1"/>
      <c r="BP72" s="1"/>
      <c r="BQ72" s="1"/>
      <c r="BR72" s="1"/>
      <c r="BS72" s="1"/>
      <c r="BT72" s="1"/>
      <c r="BU72" s="1"/>
      <c r="BV72" s="1"/>
      <c r="BW72" s="1"/>
      <c r="BX72" s="1"/>
    </row>
    <row r="76" spans="1:76" s="2" customFormat="1" x14ac:dyDescent="0.25">
      <c r="A76" s="1"/>
      <c r="B76" s="1"/>
      <c r="C76" s="1"/>
      <c r="D76" s="1"/>
      <c r="E76" s="1"/>
      <c r="F76" s="1"/>
      <c r="G76" s="1"/>
      <c r="H76" s="1"/>
      <c r="I76" s="1"/>
      <c r="J76" s="1"/>
      <c r="K76" s="1"/>
      <c r="L76" s="1"/>
      <c r="M76" s="1"/>
      <c r="N76" s="20"/>
      <c r="O76" s="20"/>
      <c r="P76" s="20"/>
      <c r="Q76" s="20"/>
      <c r="R76" s="20"/>
      <c r="S76" s="1"/>
      <c r="T76" s="1"/>
      <c r="U76" s="20"/>
      <c r="V76" s="20"/>
      <c r="W76" s="20"/>
      <c r="X76" s="20"/>
      <c r="Y76" s="20"/>
      <c r="Z76" s="20"/>
      <c r="AA76" s="20"/>
      <c r="AB76" s="20"/>
      <c r="AC76" s="20"/>
      <c r="AD76" s="20"/>
      <c r="AE76" s="1"/>
      <c r="AF76" s="20"/>
      <c r="AG76" s="20"/>
      <c r="AH76" s="20"/>
      <c r="AI76" s="20"/>
      <c r="AJ76" s="20"/>
      <c r="AK76" s="1"/>
      <c r="AL76" s="20"/>
      <c r="AM76" s="20"/>
      <c r="AN76" s="20"/>
      <c r="AO76" s="20"/>
      <c r="AP76" s="1"/>
      <c r="AQ76" s="20"/>
      <c r="AR76" s="20"/>
      <c r="AS76" s="20"/>
      <c r="AT76" s="20"/>
      <c r="AU76" s="1"/>
      <c r="AV76" s="20"/>
      <c r="AW76" s="20"/>
      <c r="AX76" s="20"/>
      <c r="AY76" s="20"/>
      <c r="AZ76" s="1"/>
      <c r="BA76" s="1"/>
      <c r="BB76" s="1"/>
      <c r="BC76" s="1"/>
      <c r="BD76" s="1"/>
      <c r="BE76" s="1"/>
      <c r="BG76" s="1"/>
      <c r="BH76" s="1"/>
      <c r="BI76" s="1"/>
      <c r="BJ76" s="1"/>
      <c r="BK76" s="1"/>
      <c r="BL76" s="1"/>
      <c r="BM76" s="1"/>
      <c r="BN76" s="1"/>
      <c r="BO76" s="1"/>
      <c r="BP76" s="1"/>
      <c r="BQ76" s="1"/>
      <c r="BR76" s="1"/>
      <c r="BS76" s="1"/>
      <c r="BT76" s="1"/>
      <c r="BU76" s="1"/>
      <c r="BV76" s="1"/>
      <c r="BW76" s="1"/>
      <c r="BX76" s="1"/>
    </row>
    <row r="81" spans="1:76" s="2" customFormat="1" x14ac:dyDescent="0.25">
      <c r="A81" s="1"/>
      <c r="B81" s="1"/>
      <c r="C81" s="1"/>
      <c r="D81" s="1"/>
      <c r="E81" s="1"/>
      <c r="F81" s="1"/>
      <c r="G81" s="1"/>
      <c r="H81" s="1"/>
      <c r="I81" s="1"/>
      <c r="J81" s="1"/>
      <c r="K81" s="1"/>
      <c r="L81" s="1"/>
      <c r="M81" s="1"/>
      <c r="N81" s="20"/>
      <c r="O81" s="20"/>
      <c r="P81" s="20"/>
      <c r="Q81" s="20"/>
      <c r="R81" s="20"/>
      <c r="S81" s="1"/>
      <c r="T81" s="1"/>
      <c r="U81" s="20"/>
      <c r="V81" s="20"/>
      <c r="W81" s="20"/>
      <c r="X81" s="20"/>
      <c r="Y81" s="20"/>
      <c r="Z81" s="20"/>
      <c r="AA81" s="20"/>
      <c r="AB81" s="20"/>
      <c r="AC81" s="20"/>
      <c r="AD81" s="20"/>
      <c r="AE81" s="1"/>
      <c r="AF81" s="20"/>
      <c r="AG81" s="20"/>
      <c r="AH81" s="20"/>
      <c r="AI81" s="20"/>
      <c r="AJ81" s="20"/>
      <c r="AK81" s="1"/>
      <c r="AL81" s="20"/>
      <c r="AM81" s="20"/>
      <c r="AN81" s="20"/>
      <c r="AO81" s="20"/>
      <c r="AP81" s="1"/>
      <c r="AQ81" s="1"/>
      <c r="AR81" s="1"/>
      <c r="AS81" s="1"/>
      <c r="AT81" s="1"/>
      <c r="AU81" s="1"/>
      <c r="AV81" s="20"/>
      <c r="AW81" s="20"/>
      <c r="AX81" s="20"/>
      <c r="AY81" s="20"/>
      <c r="AZ81" s="1"/>
      <c r="BA81" s="1"/>
      <c r="BB81" s="1"/>
      <c r="BC81" s="1"/>
      <c r="BD81" s="1"/>
      <c r="BE81" s="1"/>
      <c r="BG81" s="1"/>
      <c r="BH81" s="1"/>
      <c r="BI81" s="1"/>
      <c r="BJ81" s="1"/>
      <c r="BK81" s="1"/>
      <c r="BL81" s="1"/>
      <c r="BM81" s="1"/>
      <c r="BN81" s="1"/>
      <c r="BO81" s="1"/>
      <c r="BP81" s="1"/>
      <c r="BQ81" s="1"/>
      <c r="BR81" s="1"/>
      <c r="BS81" s="1"/>
      <c r="BT81" s="1"/>
      <c r="BU81" s="1"/>
      <c r="BV81" s="1"/>
      <c r="BW81" s="1"/>
      <c r="BX81" s="1"/>
    </row>
    <row r="86" spans="1:76" x14ac:dyDescent="0.25">
      <c r="N86" s="20"/>
      <c r="O86" s="20"/>
      <c r="P86" s="20"/>
      <c r="Q86" s="20"/>
      <c r="R86" s="20"/>
      <c r="U86" s="20"/>
      <c r="V86" s="20"/>
      <c r="W86" s="20"/>
      <c r="X86" s="20"/>
      <c r="Y86" s="20"/>
      <c r="Z86" s="20"/>
      <c r="AA86" s="20"/>
      <c r="AB86" s="20"/>
      <c r="AC86" s="20"/>
      <c r="AD86" s="20"/>
      <c r="AF86" s="20"/>
      <c r="AG86" s="20"/>
      <c r="AH86" s="20"/>
      <c r="AI86" s="20"/>
      <c r="AJ86" s="20"/>
      <c r="AL86" s="20"/>
      <c r="AM86" s="20"/>
      <c r="AN86" s="20"/>
      <c r="AO86" s="20"/>
    </row>
    <row r="91" spans="1:76" x14ac:dyDescent="0.25">
      <c r="U91" s="20"/>
      <c r="V91" s="20"/>
      <c r="W91" s="20"/>
      <c r="X91" s="20"/>
      <c r="Y91" s="20"/>
      <c r="AF91" s="20"/>
      <c r="AG91" s="20"/>
      <c r="AH91" s="20"/>
      <c r="AI91" s="20"/>
      <c r="AJ91" s="20"/>
    </row>
    <row r="96" spans="1:76" x14ac:dyDescent="0.25">
      <c r="U96" s="20"/>
      <c r="V96" s="20"/>
      <c r="W96" s="20"/>
      <c r="X96" s="20"/>
      <c r="Y96" s="20"/>
    </row>
    <row r="97" spans="21:25" x14ac:dyDescent="0.25">
      <c r="U97" s="20"/>
      <c r="V97" s="20"/>
      <c r="W97" s="20"/>
      <c r="X97" s="20"/>
      <c r="Y97" s="20"/>
    </row>
  </sheetData>
  <mergeCells count="91">
    <mergeCell ref="B2:BE2"/>
    <mergeCell ref="O24:R26"/>
    <mergeCell ref="AC6:AC7"/>
    <mergeCell ref="AA24:AD26"/>
    <mergeCell ref="AF58:AF60"/>
    <mergeCell ref="AA53:AD55"/>
    <mergeCell ref="AM53:AO55"/>
    <mergeCell ref="O6:O7"/>
    <mergeCell ref="C9:F11"/>
    <mergeCell ref="AW53:AY55"/>
    <mergeCell ref="I53:L55"/>
    <mergeCell ref="AA4:AD4"/>
    <mergeCell ref="O29:R31"/>
    <mergeCell ref="AR58:AT60"/>
    <mergeCell ref="D6:D7"/>
    <mergeCell ref="J6:J7"/>
    <mergeCell ref="AM58:AO60"/>
    <mergeCell ref="AR53:AT55"/>
    <mergeCell ref="V6:V7"/>
    <mergeCell ref="O14:R16"/>
    <mergeCell ref="E6:E7"/>
    <mergeCell ref="AA29:AD31"/>
    <mergeCell ref="C58:F60"/>
    <mergeCell ref="AA58:AD60"/>
    <mergeCell ref="AG34:AJ36"/>
    <mergeCell ref="AG9:AJ11"/>
    <mergeCell ref="AA19:AD21"/>
    <mergeCell ref="AA34:AD36"/>
    <mergeCell ref="AV58:AV60"/>
    <mergeCell ref="AA9:AD11"/>
    <mergeCell ref="AB6:AB7"/>
    <mergeCell ref="BB53:BD55"/>
    <mergeCell ref="I58:L60"/>
    <mergeCell ref="AW58:AY60"/>
    <mergeCell ref="AV53:AV55"/>
    <mergeCell ref="U24:X26"/>
    <mergeCell ref="AI6:AI7"/>
    <mergeCell ref="O58:R60"/>
    <mergeCell ref="AG24:AJ26"/>
    <mergeCell ref="AG58:AJ60"/>
    <mergeCell ref="I44:L46"/>
    <mergeCell ref="I34:L36"/>
    <mergeCell ref="Q6:Q7"/>
    <mergeCell ref="U19:X21"/>
    <mergeCell ref="I9:L11"/>
    <mergeCell ref="O53:R55"/>
    <mergeCell ref="U4:X4"/>
    <mergeCell ref="C19:F21"/>
    <mergeCell ref="C34:F36"/>
    <mergeCell ref="U34:X36"/>
    <mergeCell ref="O19:R21"/>
    <mergeCell ref="O9:R11"/>
    <mergeCell ref="C4:F4"/>
    <mergeCell ref="C14:F16"/>
    <mergeCell ref="C29:F31"/>
    <mergeCell ref="C24:F26"/>
    <mergeCell ref="U9:X11"/>
    <mergeCell ref="O34:R36"/>
    <mergeCell ref="O4:R4"/>
    <mergeCell ref="AA14:AD16"/>
    <mergeCell ref="AQ58:AQ60"/>
    <mergeCell ref="I6:I7"/>
    <mergeCell ref="K6:K7"/>
    <mergeCell ref="C6:C7"/>
    <mergeCell ref="U6:U7"/>
    <mergeCell ref="I24:L26"/>
    <mergeCell ref="W6:W7"/>
    <mergeCell ref="AG6:AG7"/>
    <mergeCell ref="U58:X60"/>
    <mergeCell ref="AA6:AA7"/>
    <mergeCell ref="AG19:AJ21"/>
    <mergeCell ref="I19:L21"/>
    <mergeCell ref="C53:F55"/>
    <mergeCell ref="AG14:AJ16"/>
    <mergeCell ref="U51:AO51"/>
    <mergeCell ref="U53:X55"/>
    <mergeCell ref="AL58:AL60"/>
    <mergeCell ref="AG53:AJ55"/>
    <mergeCell ref="I4:L4"/>
    <mergeCell ref="B63:BE70"/>
    <mergeCell ref="P6:P7"/>
    <mergeCell ref="I14:L16"/>
    <mergeCell ref="I29:L31"/>
    <mergeCell ref="U39:X41"/>
    <mergeCell ref="U14:X16"/>
    <mergeCell ref="AG39:AJ41"/>
    <mergeCell ref="AG4:AJ4"/>
    <mergeCell ref="U29:X31"/>
    <mergeCell ref="AF34:AF36"/>
    <mergeCell ref="AG29:AJ31"/>
    <mergeCell ref="AH6:AH7"/>
  </mergeCells>
  <printOptions horizontalCentered="1"/>
  <pageMargins left="0.23622047244094491" right="0.23622047244094491" top="6.0778985507246377E-2" bottom="0.74803149606299213" header="0.31496062992125978" footer="0.31496062992125978"/>
  <pageSetup paperSize="9" scale="59" orientation="landscape" horizontalDpi="360" verticalDpi="360" r:id="rId1"/>
  <rowBreaks count="1" manualBreakCount="1">
    <brk id="5" max="56" man="1"/>
  </rowBreaks>
  <colBreaks count="1" manualBreakCount="1">
    <brk id="5" max="70"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0"/>
  <sheetViews>
    <sheetView workbookViewId="0">
      <selection activeCell="N17" sqref="N17"/>
    </sheetView>
  </sheetViews>
  <sheetFormatPr defaultRowHeight="15" x14ac:dyDescent="0.25"/>
  <cols>
    <col min="1" max="1" width="9.140625" style="124"/>
    <col min="2" max="2" width="14" style="124" bestFit="1" customWidth="1"/>
    <col min="3" max="3" width="48.140625" style="124" customWidth="1"/>
    <col min="4" max="4" width="8" style="124" bestFit="1" customWidth="1"/>
    <col min="5" max="5" width="3.7109375" style="124" bestFit="1" customWidth="1"/>
    <col min="6" max="8" width="4.140625" style="124" bestFit="1" customWidth="1"/>
    <col min="9" max="9" width="4" style="124" bestFit="1" customWidth="1"/>
    <col min="10" max="10" width="23.7109375" style="124" bestFit="1" customWidth="1"/>
    <col min="11" max="11" width="16" style="124" bestFit="1" customWidth="1"/>
    <col min="12" max="12" width="12.42578125" style="124" bestFit="1" customWidth="1"/>
    <col min="13" max="13" width="14.85546875" style="124" bestFit="1" customWidth="1"/>
    <col min="14" max="14" width="45.85546875" style="124" bestFit="1" customWidth="1"/>
    <col min="16" max="16" width="25" style="124" bestFit="1" customWidth="1"/>
    <col min="17" max="17" width="12.5703125" style="124" bestFit="1" customWidth="1"/>
    <col min="18" max="18" width="38.28515625" style="124" bestFit="1" customWidth="1"/>
    <col min="19" max="19" width="57" style="124" customWidth="1"/>
    <col min="20" max="20" width="56.5703125" style="124" customWidth="1"/>
    <col min="21" max="21" width="21.28515625" style="124" customWidth="1"/>
    <col min="22" max="22" width="12.42578125" style="124" bestFit="1" customWidth="1"/>
    <col min="23" max="23" width="17" style="124" bestFit="1" customWidth="1"/>
    <col min="24" max="24" width="12" style="124" bestFit="1" customWidth="1"/>
    <col min="25" max="16384" width="9.140625" style="124"/>
  </cols>
  <sheetData>
    <row r="1" spans="1:24" s="125" customFormat="1" x14ac:dyDescent="0.25">
      <c r="A1" s="125" t="s">
        <v>480</v>
      </c>
      <c r="B1" s="125" t="s">
        <v>0</v>
      </c>
      <c r="C1" s="125" t="s">
        <v>1</v>
      </c>
      <c r="D1" s="125" t="s">
        <v>3</v>
      </c>
      <c r="E1" s="125" t="s">
        <v>7</v>
      </c>
      <c r="F1" s="125" t="s">
        <v>8</v>
      </c>
      <c r="G1" s="125" t="s">
        <v>9</v>
      </c>
      <c r="H1" s="125" t="s">
        <v>10</v>
      </c>
      <c r="I1" s="125" t="s">
        <v>11</v>
      </c>
      <c r="J1" s="125" t="s">
        <v>2</v>
      </c>
      <c r="K1" s="125" t="s">
        <v>12</v>
      </c>
      <c r="L1" s="125" t="s">
        <v>5</v>
      </c>
      <c r="M1" s="125" t="s">
        <v>13</v>
      </c>
      <c r="N1" s="125" t="s">
        <v>14</v>
      </c>
      <c r="P1" s="125" t="s">
        <v>16</v>
      </c>
      <c r="Q1" s="125" t="s">
        <v>17</v>
      </c>
      <c r="R1" s="125" t="s">
        <v>18</v>
      </c>
      <c r="S1" s="125" t="s">
        <v>19</v>
      </c>
      <c r="T1" s="125" t="s">
        <v>20</v>
      </c>
      <c r="U1" s="125" t="s">
        <v>21</v>
      </c>
      <c r="V1" s="125" t="s">
        <v>4</v>
      </c>
      <c r="W1" s="125" t="s">
        <v>6</v>
      </c>
      <c r="X1" s="125" t="s">
        <v>15</v>
      </c>
    </row>
    <row r="2" spans="1:24" x14ac:dyDescent="0.25">
      <c r="A2" s="124">
        <v>1</v>
      </c>
      <c r="B2" s="124" t="s">
        <v>22</v>
      </c>
      <c r="C2" s="124" t="s">
        <v>23</v>
      </c>
      <c r="E2" s="124">
        <v>60</v>
      </c>
      <c r="F2" s="124">
        <v>0</v>
      </c>
      <c r="G2" s="124">
        <v>0</v>
      </c>
      <c r="H2" s="124">
        <v>0</v>
      </c>
      <c r="I2" s="124">
        <v>60</v>
      </c>
      <c r="J2" s="124" t="s">
        <v>24</v>
      </c>
      <c r="L2" s="124" t="b">
        <v>1</v>
      </c>
      <c r="N2" s="124" t="s">
        <v>25</v>
      </c>
      <c r="V2" s="124" t="b">
        <v>0</v>
      </c>
      <c r="W2" s="124" t="b">
        <v>0</v>
      </c>
    </row>
    <row r="3" spans="1:24" x14ac:dyDescent="0.25">
      <c r="A3" s="124">
        <v>2</v>
      </c>
      <c r="B3" s="124" t="s">
        <v>26</v>
      </c>
      <c r="C3" s="124" t="s">
        <v>27</v>
      </c>
      <c r="D3" s="124">
        <v>2</v>
      </c>
      <c r="E3" s="124">
        <v>45</v>
      </c>
      <c r="F3" s="124">
        <v>0</v>
      </c>
      <c r="G3" s="124">
        <v>0</v>
      </c>
      <c r="H3" s="124">
        <v>0</v>
      </c>
      <c r="I3" s="124">
        <v>45</v>
      </c>
      <c r="J3" s="124" t="s">
        <v>24</v>
      </c>
      <c r="K3" s="124" t="s">
        <v>28</v>
      </c>
      <c r="L3" s="124" t="b">
        <v>1</v>
      </c>
      <c r="P3" s="124" t="s">
        <v>29</v>
      </c>
      <c r="R3" s="124" t="s">
        <v>30</v>
      </c>
      <c r="T3" s="124" t="s">
        <v>31</v>
      </c>
      <c r="V3" s="124" t="b">
        <v>1</v>
      </c>
      <c r="W3" s="124" t="b">
        <v>0</v>
      </c>
    </row>
    <row r="4" spans="1:24" x14ac:dyDescent="0.25">
      <c r="A4" s="124">
        <v>3</v>
      </c>
      <c r="B4" s="124" t="s">
        <v>32</v>
      </c>
      <c r="C4" s="124" t="s">
        <v>33</v>
      </c>
      <c r="E4" s="124">
        <v>45</v>
      </c>
      <c r="F4" s="124">
        <v>15</v>
      </c>
      <c r="G4" s="124">
        <v>0</v>
      </c>
      <c r="H4" s="124">
        <v>0</v>
      </c>
      <c r="I4" s="124">
        <v>60</v>
      </c>
      <c r="J4" s="124" t="s">
        <v>24</v>
      </c>
      <c r="L4" s="124" t="b">
        <v>1</v>
      </c>
      <c r="N4" s="124" t="s">
        <v>34</v>
      </c>
      <c r="V4" s="124" t="b">
        <v>0</v>
      </c>
      <c r="W4" s="124" t="b">
        <v>0</v>
      </c>
    </row>
    <row r="5" spans="1:24" x14ac:dyDescent="0.25">
      <c r="A5" s="124">
        <v>4</v>
      </c>
      <c r="B5" s="124" t="s">
        <v>35</v>
      </c>
      <c r="C5" s="124" t="s">
        <v>36</v>
      </c>
      <c r="E5" s="124">
        <v>60</v>
      </c>
      <c r="F5" s="124">
        <v>0</v>
      </c>
      <c r="G5" s="124">
        <v>0</v>
      </c>
      <c r="H5" s="124">
        <v>0</v>
      </c>
      <c r="I5" s="124">
        <v>60</v>
      </c>
      <c r="J5" s="124" t="s">
        <v>24</v>
      </c>
      <c r="L5" s="124" t="b">
        <v>1</v>
      </c>
      <c r="N5" s="124" t="s">
        <v>37</v>
      </c>
      <c r="V5" s="124" t="b">
        <v>0</v>
      </c>
      <c r="W5" s="124" t="b">
        <v>0</v>
      </c>
    </row>
    <row r="6" spans="1:24" x14ac:dyDescent="0.25">
      <c r="A6" s="124">
        <v>5</v>
      </c>
      <c r="B6" s="124" t="s">
        <v>38</v>
      </c>
      <c r="C6" s="124" t="s">
        <v>39</v>
      </c>
      <c r="D6" s="124">
        <v>4</v>
      </c>
      <c r="E6" s="124">
        <v>60</v>
      </c>
      <c r="F6" s="124">
        <v>0</v>
      </c>
      <c r="G6" s="124">
        <v>0</v>
      </c>
      <c r="H6" s="124">
        <v>0</v>
      </c>
      <c r="I6" s="124">
        <v>60</v>
      </c>
      <c r="J6" s="124" t="s">
        <v>24</v>
      </c>
      <c r="K6" s="124" t="s">
        <v>40</v>
      </c>
      <c r="L6" s="124" t="b">
        <v>1</v>
      </c>
      <c r="N6" s="124" t="s">
        <v>41</v>
      </c>
      <c r="P6" s="124" t="s">
        <v>42</v>
      </c>
      <c r="R6" s="124" t="s">
        <v>43</v>
      </c>
      <c r="T6" s="124" t="s">
        <v>44</v>
      </c>
      <c r="V6" s="124" t="b">
        <v>1</v>
      </c>
      <c r="W6" s="124" t="b">
        <v>1</v>
      </c>
    </row>
    <row r="7" spans="1:24" x14ac:dyDescent="0.25">
      <c r="A7" s="124">
        <v>6</v>
      </c>
      <c r="B7" s="124" t="s">
        <v>45</v>
      </c>
      <c r="C7" s="124" t="s">
        <v>46</v>
      </c>
      <c r="D7" s="124">
        <v>7</v>
      </c>
      <c r="E7" s="124">
        <v>30</v>
      </c>
      <c r="F7" s="124">
        <v>15</v>
      </c>
      <c r="G7" s="124">
        <v>0</v>
      </c>
      <c r="H7" s="124">
        <v>0</v>
      </c>
      <c r="I7" s="124">
        <v>45</v>
      </c>
      <c r="J7" s="124" t="s">
        <v>24</v>
      </c>
      <c r="K7" s="124" t="s">
        <v>40</v>
      </c>
      <c r="L7" s="124" t="b">
        <v>1</v>
      </c>
      <c r="P7" s="124" t="s">
        <v>47</v>
      </c>
      <c r="R7" s="124" t="s">
        <v>48</v>
      </c>
      <c r="T7" s="124" t="s">
        <v>49</v>
      </c>
      <c r="V7" s="124" t="b">
        <v>1</v>
      </c>
      <c r="W7" s="124" t="b">
        <v>1</v>
      </c>
    </row>
    <row r="8" spans="1:24" x14ac:dyDescent="0.25">
      <c r="A8" s="124">
        <v>7</v>
      </c>
      <c r="B8" s="124" t="s">
        <v>47</v>
      </c>
      <c r="C8" s="124" t="s">
        <v>50</v>
      </c>
      <c r="D8" s="124">
        <v>6</v>
      </c>
      <c r="E8" s="124">
        <v>30</v>
      </c>
      <c r="F8" s="124">
        <v>15</v>
      </c>
      <c r="G8" s="124">
        <v>0</v>
      </c>
      <c r="H8" s="124">
        <v>0</v>
      </c>
      <c r="I8" s="124">
        <v>45</v>
      </c>
      <c r="J8" s="124" t="s">
        <v>24</v>
      </c>
      <c r="K8" s="124" t="s">
        <v>40</v>
      </c>
      <c r="L8" s="124" t="b">
        <v>1</v>
      </c>
      <c r="P8" s="124" t="s">
        <v>51</v>
      </c>
      <c r="R8" s="124" t="s">
        <v>48</v>
      </c>
      <c r="T8" s="124" t="s">
        <v>52</v>
      </c>
      <c r="V8" s="124" t="b">
        <v>1</v>
      </c>
      <c r="W8" s="124" t="b">
        <v>1</v>
      </c>
    </row>
    <row r="9" spans="1:24" x14ac:dyDescent="0.25">
      <c r="A9" s="124">
        <v>8</v>
      </c>
      <c r="B9" s="124" t="s">
        <v>53</v>
      </c>
      <c r="C9" s="124" t="s">
        <v>54</v>
      </c>
      <c r="E9" s="124">
        <v>60</v>
      </c>
      <c r="F9" s="124">
        <v>0</v>
      </c>
      <c r="G9" s="124">
        <v>0</v>
      </c>
      <c r="H9" s="124">
        <v>0</v>
      </c>
      <c r="I9" s="124">
        <v>60</v>
      </c>
      <c r="J9" s="124" t="s">
        <v>24</v>
      </c>
      <c r="L9" s="124" t="b">
        <v>1</v>
      </c>
      <c r="N9" s="124" t="s">
        <v>55</v>
      </c>
      <c r="V9" s="124" t="b">
        <v>0</v>
      </c>
      <c r="W9" s="124" t="b">
        <v>0</v>
      </c>
    </row>
    <row r="10" spans="1:24" x14ac:dyDescent="0.25">
      <c r="A10" s="124">
        <v>9</v>
      </c>
      <c r="B10" s="124" t="s">
        <v>56</v>
      </c>
      <c r="C10" s="124" t="s">
        <v>57</v>
      </c>
      <c r="E10" s="124">
        <v>30</v>
      </c>
      <c r="F10" s="124">
        <v>30</v>
      </c>
      <c r="G10" s="124">
        <v>0</v>
      </c>
      <c r="H10" s="124">
        <v>0</v>
      </c>
      <c r="I10" s="124">
        <v>60</v>
      </c>
      <c r="J10" s="124" t="s">
        <v>24</v>
      </c>
      <c r="L10" s="124" t="b">
        <v>1</v>
      </c>
      <c r="N10" s="124" t="s">
        <v>58</v>
      </c>
      <c r="V10" s="124" t="b">
        <v>0</v>
      </c>
      <c r="W10" s="124" t="b">
        <v>0</v>
      </c>
    </row>
    <row r="11" spans="1:24" x14ac:dyDescent="0.25">
      <c r="A11" s="124">
        <v>10</v>
      </c>
      <c r="B11" s="124" t="s">
        <v>59</v>
      </c>
      <c r="C11" s="124" t="s">
        <v>60</v>
      </c>
      <c r="D11" s="124">
        <v>8</v>
      </c>
      <c r="E11" s="124">
        <v>15</v>
      </c>
      <c r="F11" s="124">
        <v>45</v>
      </c>
      <c r="G11" s="124">
        <v>0</v>
      </c>
      <c r="H11" s="124">
        <v>0</v>
      </c>
      <c r="I11" s="124">
        <v>60</v>
      </c>
      <c r="J11" s="124" t="s">
        <v>24</v>
      </c>
      <c r="K11" s="124" t="s">
        <v>40</v>
      </c>
      <c r="L11" s="124" t="b">
        <v>1</v>
      </c>
      <c r="N11" s="124" t="s">
        <v>61</v>
      </c>
      <c r="P11" s="124" t="s">
        <v>62</v>
      </c>
      <c r="R11" s="124" t="s">
        <v>48</v>
      </c>
      <c r="T11" s="124" t="s">
        <v>63</v>
      </c>
      <c r="V11" s="124" t="b">
        <v>1</v>
      </c>
      <c r="W11" s="124" t="b">
        <v>1</v>
      </c>
    </row>
    <row r="12" spans="1:24" x14ac:dyDescent="0.25">
      <c r="A12" s="124">
        <v>11</v>
      </c>
      <c r="B12" s="124" t="s">
        <v>64</v>
      </c>
      <c r="C12" s="124" t="s">
        <v>65</v>
      </c>
      <c r="D12" s="124">
        <v>4</v>
      </c>
      <c r="E12" s="124">
        <v>60</v>
      </c>
      <c r="F12" s="124">
        <v>0</v>
      </c>
      <c r="G12" s="124">
        <v>0</v>
      </c>
      <c r="H12" s="124">
        <v>0</v>
      </c>
      <c r="I12" s="124">
        <v>60</v>
      </c>
      <c r="J12" s="124" t="s">
        <v>24</v>
      </c>
      <c r="K12" s="124" t="s">
        <v>40</v>
      </c>
      <c r="L12" s="124" t="b">
        <v>1</v>
      </c>
      <c r="P12" s="124" t="s">
        <v>66</v>
      </c>
      <c r="R12" s="124" t="s">
        <v>67</v>
      </c>
      <c r="T12" s="124" t="s">
        <v>68</v>
      </c>
      <c r="V12" s="124" t="b">
        <v>1</v>
      </c>
      <c r="W12" s="124" t="b">
        <v>1</v>
      </c>
    </row>
    <row r="13" spans="1:24" x14ac:dyDescent="0.25">
      <c r="A13" s="124">
        <v>12</v>
      </c>
      <c r="B13" s="124" t="s">
        <v>69</v>
      </c>
      <c r="C13" s="124" t="s">
        <v>70</v>
      </c>
      <c r="D13" s="124">
        <v>3</v>
      </c>
      <c r="E13" s="124">
        <v>45</v>
      </c>
      <c r="F13" s="124">
        <v>15</v>
      </c>
      <c r="G13" s="124">
        <v>0</v>
      </c>
      <c r="H13" s="124">
        <v>0</v>
      </c>
      <c r="I13" s="124">
        <v>60</v>
      </c>
      <c r="J13" s="124" t="s">
        <v>24</v>
      </c>
      <c r="K13" s="124" t="s">
        <v>40</v>
      </c>
      <c r="L13" s="124" t="b">
        <v>0</v>
      </c>
      <c r="P13" s="124" t="s">
        <v>71</v>
      </c>
      <c r="V13" s="124" t="b">
        <v>0</v>
      </c>
      <c r="W13" s="124" t="b">
        <v>1</v>
      </c>
    </row>
    <row r="14" spans="1:24" x14ac:dyDescent="0.25">
      <c r="A14" s="124">
        <v>13</v>
      </c>
      <c r="B14" s="124" t="s">
        <v>72</v>
      </c>
      <c r="C14" s="124" t="s">
        <v>73</v>
      </c>
      <c r="I14" s="124">
        <v>90</v>
      </c>
      <c r="J14" s="124" t="s">
        <v>74</v>
      </c>
      <c r="K14" s="124" t="s">
        <v>75</v>
      </c>
      <c r="L14" s="124" t="b">
        <v>1</v>
      </c>
      <c r="R14" s="124" t="s">
        <v>76</v>
      </c>
      <c r="V14" s="124" t="b">
        <v>1</v>
      </c>
      <c r="W14" s="124" t="b">
        <v>0</v>
      </c>
    </row>
    <row r="15" spans="1:24" x14ac:dyDescent="0.25">
      <c r="A15" s="124">
        <v>14</v>
      </c>
      <c r="B15" s="124" t="s">
        <v>77</v>
      </c>
      <c r="C15" s="124" t="s">
        <v>78</v>
      </c>
      <c r="I15" s="124">
        <v>300</v>
      </c>
      <c r="J15" s="124" t="s">
        <v>79</v>
      </c>
      <c r="K15" s="124" t="s">
        <v>40</v>
      </c>
      <c r="L15" s="124" t="b">
        <v>1</v>
      </c>
      <c r="P15" s="124" t="s">
        <v>80</v>
      </c>
      <c r="R15" s="124" t="s">
        <v>81</v>
      </c>
      <c r="V15" s="124" t="b">
        <v>1</v>
      </c>
      <c r="W15" s="124" t="b">
        <v>0</v>
      </c>
    </row>
    <row r="16" spans="1:24" x14ac:dyDescent="0.25">
      <c r="A16" s="124">
        <v>15</v>
      </c>
      <c r="B16" s="124" t="s">
        <v>82</v>
      </c>
      <c r="C16" s="124" t="s">
        <v>83</v>
      </c>
      <c r="D16" s="124">
        <v>4</v>
      </c>
      <c r="E16" s="124">
        <v>0</v>
      </c>
      <c r="F16" s="124">
        <v>0</v>
      </c>
      <c r="G16" s="124">
        <v>0</v>
      </c>
      <c r="H16" s="124">
        <v>90</v>
      </c>
      <c r="I16" s="124">
        <v>90</v>
      </c>
      <c r="J16" s="124" t="s">
        <v>84</v>
      </c>
      <c r="K16" s="124" t="s">
        <v>85</v>
      </c>
      <c r="L16" s="124" t="b">
        <v>0</v>
      </c>
      <c r="R16" s="124" t="s">
        <v>86</v>
      </c>
      <c r="T16" s="124" t="s">
        <v>87</v>
      </c>
      <c r="V16" s="124" t="b">
        <v>1</v>
      </c>
      <c r="W16" s="124" t="b">
        <v>0</v>
      </c>
    </row>
    <row r="17" spans="1:23" x14ac:dyDescent="0.25">
      <c r="A17" s="124">
        <v>16</v>
      </c>
      <c r="B17" s="124" t="s">
        <v>88</v>
      </c>
      <c r="C17" s="124" t="s">
        <v>89</v>
      </c>
      <c r="D17" s="124">
        <v>5</v>
      </c>
      <c r="E17" s="124">
        <v>0</v>
      </c>
      <c r="F17" s="124">
        <v>0</v>
      </c>
      <c r="G17" s="124">
        <v>0</v>
      </c>
      <c r="H17" s="124">
        <v>90</v>
      </c>
      <c r="I17" s="124">
        <v>90</v>
      </c>
      <c r="J17" s="124" t="s">
        <v>84</v>
      </c>
      <c r="K17" s="124" t="s">
        <v>85</v>
      </c>
      <c r="L17" s="124" t="b">
        <v>0</v>
      </c>
      <c r="P17" s="124" t="s">
        <v>82</v>
      </c>
      <c r="R17" s="124" t="s">
        <v>86</v>
      </c>
      <c r="T17" s="124" t="s">
        <v>87</v>
      </c>
      <c r="V17" s="124" t="b">
        <v>1</v>
      </c>
      <c r="W17" s="124" t="b">
        <v>0</v>
      </c>
    </row>
    <row r="18" spans="1:23" x14ac:dyDescent="0.25">
      <c r="A18" s="124">
        <v>17</v>
      </c>
      <c r="B18" s="124" t="s">
        <v>90</v>
      </c>
      <c r="C18" s="124" t="s">
        <v>91</v>
      </c>
      <c r="D18" s="124">
        <v>6</v>
      </c>
      <c r="E18" s="124">
        <v>0</v>
      </c>
      <c r="F18" s="124">
        <v>0</v>
      </c>
      <c r="G18" s="124">
        <v>0</v>
      </c>
      <c r="H18" s="124">
        <v>75</v>
      </c>
      <c r="I18" s="124">
        <v>75</v>
      </c>
      <c r="J18" s="124" t="s">
        <v>84</v>
      </c>
      <c r="K18" s="124" t="s">
        <v>85</v>
      </c>
      <c r="L18" s="124" t="b">
        <v>0</v>
      </c>
      <c r="P18" s="124" t="s">
        <v>88</v>
      </c>
      <c r="R18" s="124" t="s">
        <v>86</v>
      </c>
      <c r="T18" s="124" t="s">
        <v>87</v>
      </c>
      <c r="V18" s="124" t="b">
        <v>1</v>
      </c>
      <c r="W18" s="124" t="b">
        <v>0</v>
      </c>
    </row>
    <row r="19" spans="1:23" x14ac:dyDescent="0.25">
      <c r="A19" s="124">
        <v>18</v>
      </c>
      <c r="B19" s="124" t="s">
        <v>92</v>
      </c>
      <c r="C19" s="124" t="s">
        <v>93</v>
      </c>
      <c r="D19" s="124">
        <v>7</v>
      </c>
      <c r="E19" s="124">
        <v>0</v>
      </c>
      <c r="F19" s="124">
        <v>0</v>
      </c>
      <c r="G19" s="124">
        <v>0</v>
      </c>
      <c r="H19" s="124">
        <v>60</v>
      </c>
      <c r="I19" s="124">
        <v>60</v>
      </c>
      <c r="J19" s="124" t="s">
        <v>84</v>
      </c>
      <c r="K19" s="124" t="s">
        <v>85</v>
      </c>
      <c r="L19" s="124" t="b">
        <v>0</v>
      </c>
      <c r="P19" s="124" t="s">
        <v>90</v>
      </c>
      <c r="R19" s="124" t="s">
        <v>86</v>
      </c>
      <c r="T19" s="124" t="s">
        <v>87</v>
      </c>
      <c r="V19" s="124" t="b">
        <v>1</v>
      </c>
      <c r="W19" s="124" t="b">
        <v>0</v>
      </c>
    </row>
    <row r="20" spans="1:23" x14ac:dyDescent="0.25">
      <c r="A20" s="124">
        <v>19</v>
      </c>
      <c r="B20" s="124" t="s">
        <v>94</v>
      </c>
      <c r="C20" s="124" t="s">
        <v>95</v>
      </c>
      <c r="D20" s="124">
        <v>4</v>
      </c>
      <c r="E20" s="124">
        <v>15</v>
      </c>
      <c r="F20" s="124">
        <v>45</v>
      </c>
      <c r="G20" s="124">
        <v>0</v>
      </c>
      <c r="H20" s="124">
        <v>0</v>
      </c>
      <c r="I20" s="124">
        <v>60</v>
      </c>
      <c r="J20" s="124" t="s">
        <v>24</v>
      </c>
      <c r="K20" s="124" t="s">
        <v>40</v>
      </c>
      <c r="L20" s="124" t="b">
        <v>1</v>
      </c>
      <c r="P20" s="124" t="s">
        <v>42</v>
      </c>
      <c r="R20" s="124" t="s">
        <v>96</v>
      </c>
      <c r="T20" s="124" t="s">
        <v>97</v>
      </c>
      <c r="V20" s="124" t="b">
        <v>1</v>
      </c>
      <c r="W20" s="124" t="b">
        <v>1</v>
      </c>
    </row>
    <row r="21" spans="1:23" x14ac:dyDescent="0.25">
      <c r="A21" s="124">
        <v>20</v>
      </c>
      <c r="B21" s="124" t="s">
        <v>98</v>
      </c>
      <c r="C21" s="124" t="s">
        <v>99</v>
      </c>
      <c r="E21" s="124">
        <v>60</v>
      </c>
      <c r="F21" s="124">
        <v>0</v>
      </c>
      <c r="G21" s="124">
        <v>0</v>
      </c>
      <c r="H21" s="124">
        <v>0</v>
      </c>
      <c r="I21" s="124">
        <v>60</v>
      </c>
      <c r="J21" s="124" t="s">
        <v>24</v>
      </c>
      <c r="L21" s="124" t="b">
        <v>0</v>
      </c>
      <c r="V21" s="124" t="b">
        <v>0</v>
      </c>
      <c r="W21" s="124" t="b">
        <v>0</v>
      </c>
    </row>
    <row r="22" spans="1:23" x14ac:dyDescent="0.25">
      <c r="A22" s="124">
        <v>21</v>
      </c>
      <c r="B22" s="124" t="s">
        <v>100</v>
      </c>
      <c r="C22" s="124" t="s">
        <v>101</v>
      </c>
      <c r="D22" s="124">
        <v>1</v>
      </c>
      <c r="E22" s="124">
        <v>90</v>
      </c>
      <c r="F22" s="124">
        <v>0</v>
      </c>
      <c r="G22" s="124">
        <v>0</v>
      </c>
      <c r="H22" s="124">
        <v>0</v>
      </c>
      <c r="I22" s="124">
        <v>90</v>
      </c>
      <c r="J22" s="124" t="s">
        <v>24</v>
      </c>
      <c r="K22" s="124" t="s">
        <v>28</v>
      </c>
      <c r="L22" s="124" t="b">
        <v>1</v>
      </c>
      <c r="R22" s="124" t="s">
        <v>30</v>
      </c>
      <c r="T22" s="124" t="s">
        <v>102</v>
      </c>
      <c r="V22" s="124" t="b">
        <v>1</v>
      </c>
      <c r="W22" s="124" t="b">
        <v>0</v>
      </c>
    </row>
    <row r="23" spans="1:23" x14ac:dyDescent="0.25">
      <c r="A23" s="124">
        <v>22</v>
      </c>
      <c r="B23" s="124" t="s">
        <v>103</v>
      </c>
      <c r="C23" s="124" t="s">
        <v>104</v>
      </c>
      <c r="D23" s="124">
        <v>2</v>
      </c>
      <c r="E23" s="124">
        <v>90</v>
      </c>
      <c r="F23" s="124">
        <v>0</v>
      </c>
      <c r="G23" s="124">
        <v>0</v>
      </c>
      <c r="H23" s="124">
        <v>0</v>
      </c>
      <c r="I23" s="124">
        <v>90</v>
      </c>
      <c r="J23" s="124" t="s">
        <v>24</v>
      </c>
      <c r="K23" s="124" t="s">
        <v>28</v>
      </c>
      <c r="L23" s="124" t="b">
        <v>1</v>
      </c>
      <c r="P23" s="124" t="s">
        <v>100</v>
      </c>
      <c r="R23" s="124" t="s">
        <v>30</v>
      </c>
      <c r="T23" s="124" t="s">
        <v>102</v>
      </c>
      <c r="V23" s="124" t="b">
        <v>1</v>
      </c>
      <c r="W23" s="124" t="b">
        <v>0</v>
      </c>
    </row>
    <row r="24" spans="1:23" x14ac:dyDescent="0.25">
      <c r="A24" s="124">
        <v>23</v>
      </c>
      <c r="B24" s="124" t="s">
        <v>105</v>
      </c>
      <c r="C24" s="124" t="s">
        <v>106</v>
      </c>
      <c r="D24" s="124">
        <v>3</v>
      </c>
      <c r="E24" s="124">
        <v>90</v>
      </c>
      <c r="F24" s="124">
        <v>0</v>
      </c>
      <c r="G24" s="124">
        <v>0</v>
      </c>
      <c r="H24" s="124">
        <v>0</v>
      </c>
      <c r="I24" s="124">
        <v>90</v>
      </c>
      <c r="J24" s="124" t="s">
        <v>24</v>
      </c>
      <c r="K24" s="124" t="s">
        <v>28</v>
      </c>
      <c r="L24" s="124" t="b">
        <v>1</v>
      </c>
      <c r="P24" s="124" t="s">
        <v>103</v>
      </c>
      <c r="R24" s="124" t="s">
        <v>30</v>
      </c>
      <c r="T24" s="124" t="s">
        <v>102</v>
      </c>
      <c r="V24" s="124" t="b">
        <v>1</v>
      </c>
      <c r="W24" s="124" t="b">
        <v>0</v>
      </c>
    </row>
    <row r="25" spans="1:23" x14ac:dyDescent="0.25">
      <c r="A25" s="124">
        <v>24</v>
      </c>
      <c r="B25" s="124" t="s">
        <v>107</v>
      </c>
      <c r="C25" s="124" t="s">
        <v>108</v>
      </c>
      <c r="D25" s="124">
        <v>5</v>
      </c>
      <c r="E25" s="124">
        <v>60</v>
      </c>
      <c r="F25" s="124">
        <v>0</v>
      </c>
      <c r="G25" s="124">
        <v>0</v>
      </c>
      <c r="H25" s="124">
        <v>0</v>
      </c>
      <c r="I25" s="124">
        <v>60</v>
      </c>
      <c r="J25" s="124" t="s">
        <v>24</v>
      </c>
      <c r="K25" s="124" t="s">
        <v>28</v>
      </c>
      <c r="L25" s="124" t="b">
        <v>1</v>
      </c>
      <c r="P25" s="124" t="s">
        <v>109</v>
      </c>
      <c r="R25" s="124" t="s">
        <v>30</v>
      </c>
      <c r="T25" s="124" t="s">
        <v>110</v>
      </c>
      <c r="V25" s="124" t="b">
        <v>1</v>
      </c>
      <c r="W25" s="124" t="b">
        <v>0</v>
      </c>
    </row>
    <row r="26" spans="1:23" x14ac:dyDescent="0.25">
      <c r="A26" s="124">
        <v>25</v>
      </c>
      <c r="B26" s="124" t="s">
        <v>111</v>
      </c>
      <c r="C26" s="124" t="s">
        <v>112</v>
      </c>
      <c r="E26" s="124">
        <v>30</v>
      </c>
      <c r="F26" s="124">
        <v>30</v>
      </c>
      <c r="G26" s="124">
        <v>0</v>
      </c>
      <c r="H26" s="124">
        <v>0</v>
      </c>
      <c r="I26" s="124">
        <v>60</v>
      </c>
      <c r="J26" s="124" t="s">
        <v>24</v>
      </c>
      <c r="L26" s="124" t="b">
        <v>0</v>
      </c>
      <c r="V26" s="124" t="b">
        <v>0</v>
      </c>
      <c r="W26" s="124" t="b">
        <v>0</v>
      </c>
    </row>
    <row r="27" spans="1:23" x14ac:dyDescent="0.25">
      <c r="A27" s="124">
        <v>26</v>
      </c>
      <c r="B27" s="124" t="s">
        <v>113</v>
      </c>
      <c r="C27" s="124" t="s">
        <v>114</v>
      </c>
      <c r="E27" s="124">
        <v>30</v>
      </c>
      <c r="F27" s="124">
        <v>30</v>
      </c>
      <c r="G27" s="124">
        <v>0</v>
      </c>
      <c r="H27" s="124">
        <v>0</v>
      </c>
      <c r="I27" s="124">
        <v>60</v>
      </c>
      <c r="J27" s="124" t="s">
        <v>24</v>
      </c>
      <c r="L27" s="124" t="b">
        <v>0</v>
      </c>
      <c r="V27" s="124" t="b">
        <v>0</v>
      </c>
      <c r="W27" s="124" t="b">
        <v>0</v>
      </c>
    </row>
    <row r="28" spans="1:23" x14ac:dyDescent="0.25">
      <c r="A28" s="124">
        <v>27</v>
      </c>
      <c r="B28" s="124" t="s">
        <v>115</v>
      </c>
      <c r="C28" s="124" t="s">
        <v>116</v>
      </c>
      <c r="E28" s="124">
        <v>60</v>
      </c>
      <c r="F28" s="124">
        <v>0</v>
      </c>
      <c r="G28" s="124">
        <v>0</v>
      </c>
      <c r="H28" s="124">
        <v>0</v>
      </c>
      <c r="I28" s="124">
        <v>60</v>
      </c>
      <c r="J28" s="124" t="s">
        <v>24</v>
      </c>
      <c r="L28" s="124" t="b">
        <v>1</v>
      </c>
      <c r="N28" s="124" t="s">
        <v>117</v>
      </c>
      <c r="V28" s="124" t="b">
        <v>0</v>
      </c>
      <c r="W28" s="124" t="b">
        <v>0</v>
      </c>
    </row>
    <row r="29" spans="1:23" x14ac:dyDescent="0.25">
      <c r="A29" s="124">
        <v>28</v>
      </c>
      <c r="B29" s="124" t="s">
        <v>118</v>
      </c>
      <c r="C29" s="124" t="s">
        <v>116</v>
      </c>
      <c r="E29" s="124">
        <v>60</v>
      </c>
      <c r="F29" s="124">
        <v>0</v>
      </c>
      <c r="G29" s="124">
        <v>0</v>
      </c>
      <c r="H29" s="124">
        <v>0</v>
      </c>
      <c r="I29" s="124">
        <v>60</v>
      </c>
      <c r="J29" s="124" t="s">
        <v>24</v>
      </c>
      <c r="L29" s="124" t="b">
        <v>1</v>
      </c>
      <c r="N29" s="124" t="s">
        <v>117</v>
      </c>
      <c r="V29" s="124" t="b">
        <v>0</v>
      </c>
      <c r="W29" s="124" t="b">
        <v>0</v>
      </c>
    </row>
    <row r="30" spans="1:23" x14ac:dyDescent="0.25">
      <c r="A30" s="124">
        <v>29</v>
      </c>
      <c r="B30" s="124" t="s">
        <v>119</v>
      </c>
      <c r="C30" s="124" t="s">
        <v>120</v>
      </c>
      <c r="E30" s="124">
        <v>60</v>
      </c>
      <c r="F30" s="124">
        <v>0</v>
      </c>
      <c r="G30" s="124">
        <v>0</v>
      </c>
      <c r="H30" s="124">
        <v>0</v>
      </c>
      <c r="I30" s="124">
        <v>60</v>
      </c>
      <c r="J30" s="124" t="s">
        <v>24</v>
      </c>
      <c r="L30" s="124" t="b">
        <v>0</v>
      </c>
      <c r="V30" s="124" t="b">
        <v>0</v>
      </c>
      <c r="W30" s="124" t="b">
        <v>0</v>
      </c>
    </row>
    <row r="31" spans="1:23" x14ac:dyDescent="0.25">
      <c r="A31" s="124">
        <v>30</v>
      </c>
      <c r="B31" s="124" t="s">
        <v>121</v>
      </c>
      <c r="C31" s="124" t="s">
        <v>122</v>
      </c>
      <c r="E31" s="124">
        <v>60</v>
      </c>
      <c r="F31" s="124">
        <v>0</v>
      </c>
      <c r="G31" s="124">
        <v>0</v>
      </c>
      <c r="H31" s="124">
        <v>0</v>
      </c>
      <c r="I31" s="124">
        <v>60</v>
      </c>
      <c r="J31" s="124" t="s">
        <v>24</v>
      </c>
      <c r="L31" s="124" t="b">
        <v>0</v>
      </c>
      <c r="V31" s="124" t="b">
        <v>0</v>
      </c>
      <c r="W31" s="124" t="b">
        <v>0</v>
      </c>
    </row>
    <row r="32" spans="1:23" x14ac:dyDescent="0.25">
      <c r="A32" s="124">
        <v>31</v>
      </c>
      <c r="B32" s="124" t="s">
        <v>123</v>
      </c>
      <c r="C32" s="124" t="s">
        <v>124</v>
      </c>
      <c r="E32" s="124">
        <v>0</v>
      </c>
      <c r="F32" s="124">
        <v>30</v>
      </c>
      <c r="G32" s="124">
        <v>0</v>
      </c>
      <c r="H32" s="124">
        <v>0</v>
      </c>
      <c r="I32" s="124">
        <v>30</v>
      </c>
      <c r="J32" s="124" t="s">
        <v>24</v>
      </c>
      <c r="L32" s="124" t="b">
        <v>0</v>
      </c>
      <c r="V32" s="124" t="b">
        <v>0</v>
      </c>
      <c r="W32" s="124" t="b">
        <v>0</v>
      </c>
    </row>
    <row r="33" spans="1:23" x14ac:dyDescent="0.25">
      <c r="A33" s="124">
        <v>32</v>
      </c>
      <c r="B33" s="124" t="s">
        <v>125</v>
      </c>
      <c r="C33" s="124" t="s">
        <v>126</v>
      </c>
      <c r="D33" s="124">
        <v>4</v>
      </c>
      <c r="E33" s="124">
        <v>75</v>
      </c>
      <c r="F33" s="124">
        <v>0</v>
      </c>
      <c r="G33" s="124">
        <v>0</v>
      </c>
      <c r="H33" s="124">
        <v>0</v>
      </c>
      <c r="I33" s="124">
        <v>75</v>
      </c>
      <c r="J33" s="124" t="s">
        <v>24</v>
      </c>
      <c r="K33" s="124" t="s">
        <v>40</v>
      </c>
      <c r="L33" s="124" t="b">
        <v>1</v>
      </c>
      <c r="P33" s="124" t="s">
        <v>127</v>
      </c>
      <c r="R33" s="124" t="s">
        <v>67</v>
      </c>
      <c r="T33" s="124" t="s">
        <v>128</v>
      </c>
      <c r="V33" s="124" t="b">
        <v>1</v>
      </c>
      <c r="W33" s="124" t="b">
        <v>0</v>
      </c>
    </row>
    <row r="34" spans="1:23" x14ac:dyDescent="0.25">
      <c r="A34" s="124">
        <v>33</v>
      </c>
      <c r="B34" s="124" t="s">
        <v>129</v>
      </c>
      <c r="C34" s="124" t="s">
        <v>130</v>
      </c>
      <c r="D34" s="124">
        <v>4</v>
      </c>
      <c r="E34" s="124">
        <v>0</v>
      </c>
      <c r="F34" s="124">
        <v>15</v>
      </c>
      <c r="G34" s="124">
        <v>0</v>
      </c>
      <c r="H34" s="124">
        <v>0</v>
      </c>
      <c r="I34" s="124">
        <v>15</v>
      </c>
      <c r="J34" s="124" t="s">
        <v>24</v>
      </c>
      <c r="K34" s="124" t="s">
        <v>40</v>
      </c>
      <c r="L34" s="124" t="b">
        <v>1</v>
      </c>
      <c r="P34" s="124" t="s">
        <v>131</v>
      </c>
      <c r="Q34" s="124" t="s">
        <v>125</v>
      </c>
      <c r="R34" s="124" t="s">
        <v>67</v>
      </c>
      <c r="S34" s="124" t="s">
        <v>132</v>
      </c>
      <c r="T34" s="124" t="s">
        <v>128</v>
      </c>
      <c r="V34" s="124" t="b">
        <v>1</v>
      </c>
      <c r="W34" s="124" t="b">
        <v>0</v>
      </c>
    </row>
    <row r="35" spans="1:23" x14ac:dyDescent="0.25">
      <c r="A35" s="124">
        <v>34</v>
      </c>
      <c r="B35" s="124" t="s">
        <v>133</v>
      </c>
      <c r="C35" s="124" t="s">
        <v>134</v>
      </c>
      <c r="E35" s="124">
        <v>0</v>
      </c>
      <c r="F35" s="124">
        <v>0</v>
      </c>
      <c r="G35" s="124">
        <v>45</v>
      </c>
      <c r="H35" s="124">
        <v>0</v>
      </c>
      <c r="I35" s="124">
        <v>45</v>
      </c>
      <c r="J35" s="124" t="s">
        <v>24</v>
      </c>
      <c r="L35" s="124" t="b">
        <v>0</v>
      </c>
      <c r="V35" s="124" t="b">
        <v>0</v>
      </c>
      <c r="W35" s="124" t="b">
        <v>1</v>
      </c>
    </row>
    <row r="36" spans="1:23" x14ac:dyDescent="0.25">
      <c r="A36" s="124">
        <v>35</v>
      </c>
      <c r="B36" s="124" t="s">
        <v>135</v>
      </c>
      <c r="C36" s="124" t="s">
        <v>136</v>
      </c>
      <c r="E36" s="124">
        <v>60</v>
      </c>
      <c r="F36" s="124">
        <v>0</v>
      </c>
      <c r="G36" s="124">
        <v>0</v>
      </c>
      <c r="H36" s="124">
        <v>0</v>
      </c>
      <c r="I36" s="124">
        <v>60</v>
      </c>
      <c r="J36" s="124" t="s">
        <v>24</v>
      </c>
      <c r="L36" s="124" t="b">
        <v>0</v>
      </c>
      <c r="T36" s="124" t="s">
        <v>137</v>
      </c>
      <c r="V36" s="124" t="b">
        <v>0</v>
      </c>
      <c r="W36" s="124" t="b">
        <v>0</v>
      </c>
    </row>
    <row r="37" spans="1:23" x14ac:dyDescent="0.25">
      <c r="A37" s="124">
        <v>36</v>
      </c>
      <c r="B37" s="124" t="s">
        <v>138</v>
      </c>
      <c r="C37" s="124" t="s">
        <v>139</v>
      </c>
      <c r="D37" s="124">
        <v>2</v>
      </c>
      <c r="E37" s="124">
        <v>30</v>
      </c>
      <c r="F37" s="124">
        <v>0</v>
      </c>
      <c r="G37" s="124">
        <v>0</v>
      </c>
      <c r="H37" s="124">
        <v>0</v>
      </c>
      <c r="I37" s="124">
        <v>30</v>
      </c>
      <c r="J37" s="124" t="s">
        <v>24</v>
      </c>
      <c r="K37" s="124" t="s">
        <v>85</v>
      </c>
      <c r="L37" s="124" t="b">
        <v>0</v>
      </c>
      <c r="R37" s="124" t="s">
        <v>140</v>
      </c>
      <c r="V37" s="124" t="b">
        <v>0</v>
      </c>
      <c r="W37" s="124" t="b">
        <v>1</v>
      </c>
    </row>
    <row r="38" spans="1:23" x14ac:dyDescent="0.25">
      <c r="A38" s="124">
        <v>37</v>
      </c>
      <c r="B38" s="124" t="s">
        <v>141</v>
      </c>
      <c r="C38" s="124" t="s">
        <v>142</v>
      </c>
      <c r="E38" s="124">
        <v>30</v>
      </c>
      <c r="F38" s="124">
        <v>15</v>
      </c>
      <c r="G38" s="124">
        <v>0</v>
      </c>
      <c r="H38" s="124">
        <v>0</v>
      </c>
      <c r="I38" s="124">
        <v>45</v>
      </c>
      <c r="J38" s="124" t="s">
        <v>24</v>
      </c>
      <c r="L38" s="124" t="b">
        <v>0</v>
      </c>
      <c r="P38" s="124" t="s">
        <v>143</v>
      </c>
      <c r="V38" s="124" t="b">
        <v>0</v>
      </c>
      <c r="W38" s="124" t="b">
        <v>1</v>
      </c>
    </row>
    <row r="39" spans="1:23" x14ac:dyDescent="0.25">
      <c r="A39" s="124">
        <v>38</v>
      </c>
      <c r="B39" s="124" t="s">
        <v>144</v>
      </c>
      <c r="C39" s="124" t="s">
        <v>142</v>
      </c>
      <c r="E39" s="124">
        <v>60</v>
      </c>
      <c r="F39" s="124">
        <v>0</v>
      </c>
      <c r="G39" s="124">
        <v>0</v>
      </c>
      <c r="H39" s="124">
        <v>0</v>
      </c>
      <c r="I39" s="124">
        <v>60</v>
      </c>
      <c r="J39" s="124" t="s">
        <v>24</v>
      </c>
      <c r="L39" s="124" t="b">
        <v>0</v>
      </c>
      <c r="V39" s="124" t="b">
        <v>0</v>
      </c>
      <c r="W39" s="124" t="b">
        <v>0</v>
      </c>
    </row>
    <row r="40" spans="1:23" x14ac:dyDescent="0.25">
      <c r="A40" s="124">
        <v>39</v>
      </c>
      <c r="B40" s="124" t="s">
        <v>145</v>
      </c>
      <c r="C40" s="124" t="s">
        <v>146</v>
      </c>
      <c r="E40" s="124">
        <v>60</v>
      </c>
      <c r="F40" s="124">
        <v>0</v>
      </c>
      <c r="G40" s="124">
        <v>0</v>
      </c>
      <c r="H40" s="124">
        <v>0</v>
      </c>
      <c r="I40" s="124">
        <v>60</v>
      </c>
      <c r="J40" s="124" t="s">
        <v>24</v>
      </c>
      <c r="L40" s="124" t="b">
        <v>0</v>
      </c>
      <c r="V40" s="124" t="b">
        <v>0</v>
      </c>
      <c r="W40" s="124" t="b">
        <v>0</v>
      </c>
    </row>
    <row r="41" spans="1:23" x14ac:dyDescent="0.25">
      <c r="A41" s="124">
        <v>40</v>
      </c>
      <c r="B41" s="124" t="s">
        <v>147</v>
      </c>
      <c r="C41" s="124" t="s">
        <v>148</v>
      </c>
      <c r="E41" s="124">
        <v>30</v>
      </c>
      <c r="F41" s="124">
        <v>15</v>
      </c>
      <c r="G41" s="124">
        <v>0</v>
      </c>
      <c r="H41" s="124">
        <v>0</v>
      </c>
      <c r="I41" s="124">
        <v>45</v>
      </c>
      <c r="J41" s="124" t="s">
        <v>24</v>
      </c>
      <c r="L41" s="124" t="b">
        <v>0</v>
      </c>
      <c r="P41" s="124" t="s">
        <v>26</v>
      </c>
      <c r="T41" s="124" t="s">
        <v>149</v>
      </c>
      <c r="V41" s="124" t="b">
        <v>0</v>
      </c>
      <c r="W41" s="124" t="b">
        <v>0</v>
      </c>
    </row>
    <row r="42" spans="1:23" x14ac:dyDescent="0.25">
      <c r="A42" s="124">
        <v>41</v>
      </c>
      <c r="B42" s="124" t="s">
        <v>150</v>
      </c>
      <c r="C42" s="124" t="s">
        <v>151</v>
      </c>
      <c r="E42" s="124">
        <v>30</v>
      </c>
      <c r="F42" s="124">
        <v>15</v>
      </c>
      <c r="G42" s="124">
        <v>0</v>
      </c>
      <c r="H42" s="124">
        <v>0</v>
      </c>
      <c r="I42" s="124">
        <v>45</v>
      </c>
      <c r="J42" s="124" t="s">
        <v>24</v>
      </c>
      <c r="L42" s="124" t="b">
        <v>0</v>
      </c>
      <c r="V42" s="124" t="b">
        <v>0</v>
      </c>
      <c r="W42" s="124" t="b">
        <v>1</v>
      </c>
    </row>
    <row r="43" spans="1:23" x14ac:dyDescent="0.25">
      <c r="A43" s="124">
        <v>42</v>
      </c>
      <c r="B43" s="124" t="s">
        <v>152</v>
      </c>
      <c r="C43" s="124" t="s">
        <v>153</v>
      </c>
      <c r="E43" s="124">
        <v>60</v>
      </c>
      <c r="F43" s="124">
        <v>0</v>
      </c>
      <c r="G43" s="124">
        <v>0</v>
      </c>
      <c r="H43" s="124">
        <v>0</v>
      </c>
      <c r="I43" s="124">
        <v>60</v>
      </c>
      <c r="J43" s="124" t="s">
        <v>24</v>
      </c>
      <c r="L43" s="124" t="b">
        <v>0</v>
      </c>
      <c r="V43" s="124" t="b">
        <v>0</v>
      </c>
      <c r="W43" s="124" t="b">
        <v>0</v>
      </c>
    </row>
    <row r="44" spans="1:23" x14ac:dyDescent="0.25">
      <c r="A44" s="124">
        <v>43</v>
      </c>
      <c r="B44" s="124" t="s">
        <v>154</v>
      </c>
      <c r="C44" s="124" t="s">
        <v>155</v>
      </c>
      <c r="E44" s="124">
        <v>30</v>
      </c>
      <c r="F44" s="124">
        <v>15</v>
      </c>
      <c r="G44" s="124">
        <v>0</v>
      </c>
      <c r="H44" s="124">
        <v>0</v>
      </c>
      <c r="I44" s="124">
        <v>45</v>
      </c>
      <c r="J44" s="124" t="s">
        <v>24</v>
      </c>
      <c r="L44" s="124" t="b">
        <v>0</v>
      </c>
      <c r="V44" s="124" t="b">
        <v>0</v>
      </c>
      <c r="W44" s="124" t="b">
        <v>0</v>
      </c>
    </row>
    <row r="45" spans="1:23" x14ac:dyDescent="0.25">
      <c r="A45" s="124">
        <v>44</v>
      </c>
      <c r="B45" s="124" t="s">
        <v>156</v>
      </c>
      <c r="C45" s="124" t="s">
        <v>157</v>
      </c>
      <c r="E45" s="124">
        <v>60</v>
      </c>
      <c r="F45" s="124">
        <v>0</v>
      </c>
      <c r="G45" s="124">
        <v>0</v>
      </c>
      <c r="H45" s="124">
        <v>0</v>
      </c>
      <c r="I45" s="124">
        <v>60</v>
      </c>
      <c r="J45" s="124" t="s">
        <v>24</v>
      </c>
      <c r="L45" s="124" t="b">
        <v>0</v>
      </c>
      <c r="V45" s="124" t="b">
        <v>0</v>
      </c>
      <c r="W45" s="124" t="b">
        <v>0</v>
      </c>
    </row>
    <row r="46" spans="1:23" x14ac:dyDescent="0.25">
      <c r="A46" s="124">
        <v>45</v>
      </c>
      <c r="B46" s="124" t="s">
        <v>158</v>
      </c>
      <c r="C46" s="124" t="s">
        <v>159</v>
      </c>
      <c r="E46" s="124">
        <v>60</v>
      </c>
      <c r="F46" s="124">
        <v>0</v>
      </c>
      <c r="G46" s="124">
        <v>0</v>
      </c>
      <c r="H46" s="124">
        <v>0</v>
      </c>
      <c r="I46" s="124">
        <v>60</v>
      </c>
      <c r="J46" s="124" t="s">
        <v>24</v>
      </c>
      <c r="L46" s="124" t="b">
        <v>0</v>
      </c>
      <c r="V46" s="124" t="b">
        <v>0</v>
      </c>
      <c r="W46" s="124" t="b">
        <v>0</v>
      </c>
    </row>
    <row r="47" spans="1:23" x14ac:dyDescent="0.25">
      <c r="A47" s="124">
        <v>46</v>
      </c>
      <c r="B47" s="124" t="s">
        <v>160</v>
      </c>
      <c r="C47" s="124" t="s">
        <v>161</v>
      </c>
      <c r="E47" s="124">
        <v>30</v>
      </c>
      <c r="F47" s="124">
        <v>15</v>
      </c>
      <c r="G47" s="124">
        <v>0</v>
      </c>
      <c r="H47" s="124">
        <v>0</v>
      </c>
      <c r="I47" s="124">
        <v>45</v>
      </c>
      <c r="J47" s="124" t="s">
        <v>24</v>
      </c>
      <c r="L47" s="124" t="b">
        <v>0</v>
      </c>
      <c r="V47" s="124" t="b">
        <v>0</v>
      </c>
      <c r="W47" s="124" t="b">
        <v>0</v>
      </c>
    </row>
    <row r="48" spans="1:23" x14ac:dyDescent="0.25">
      <c r="A48" s="124">
        <v>47</v>
      </c>
      <c r="B48" s="124" t="s">
        <v>162</v>
      </c>
      <c r="C48" s="124" t="s">
        <v>163</v>
      </c>
      <c r="E48" s="124">
        <v>30</v>
      </c>
      <c r="F48" s="124">
        <v>15</v>
      </c>
      <c r="G48" s="124">
        <v>0</v>
      </c>
      <c r="H48" s="124">
        <v>0</v>
      </c>
      <c r="I48" s="124">
        <v>45</v>
      </c>
      <c r="J48" s="124" t="s">
        <v>24</v>
      </c>
      <c r="L48" s="124" t="b">
        <v>0</v>
      </c>
      <c r="V48" s="124" t="b">
        <v>0</v>
      </c>
      <c r="W48" s="124" t="b">
        <v>0</v>
      </c>
    </row>
    <row r="49" spans="1:23" x14ac:dyDescent="0.25">
      <c r="A49" s="124">
        <v>48</v>
      </c>
      <c r="B49" s="124" t="s">
        <v>164</v>
      </c>
      <c r="C49" s="124" t="s">
        <v>165</v>
      </c>
      <c r="E49" s="124">
        <v>30</v>
      </c>
      <c r="F49" s="124">
        <v>0</v>
      </c>
      <c r="G49" s="124">
        <v>0</v>
      </c>
      <c r="H49" s="124">
        <v>0</v>
      </c>
      <c r="I49" s="124">
        <v>30</v>
      </c>
      <c r="J49" s="124" t="s">
        <v>24</v>
      </c>
      <c r="L49" s="124" t="b">
        <v>0</v>
      </c>
      <c r="S49" s="124" t="s">
        <v>166</v>
      </c>
      <c r="V49" s="124" t="b">
        <v>0</v>
      </c>
      <c r="W49" s="124" t="b">
        <v>0</v>
      </c>
    </row>
    <row r="50" spans="1:23" x14ac:dyDescent="0.25">
      <c r="A50" s="124">
        <v>49</v>
      </c>
      <c r="B50" s="124" t="s">
        <v>167</v>
      </c>
      <c r="C50" s="124" t="s">
        <v>168</v>
      </c>
      <c r="I50" s="124">
        <v>90</v>
      </c>
      <c r="J50" s="124" t="s">
        <v>169</v>
      </c>
      <c r="K50" s="124" t="s">
        <v>75</v>
      </c>
      <c r="L50" s="124" t="b">
        <v>0</v>
      </c>
      <c r="R50" s="124" t="s">
        <v>76</v>
      </c>
      <c r="V50" s="124" t="b">
        <v>1</v>
      </c>
      <c r="W50" s="124" t="b">
        <v>0</v>
      </c>
    </row>
    <row r="51" spans="1:23" x14ac:dyDescent="0.25">
      <c r="A51" s="124">
        <v>50</v>
      </c>
      <c r="B51" s="124" t="s">
        <v>66</v>
      </c>
      <c r="C51" s="124" t="s">
        <v>170</v>
      </c>
      <c r="D51" s="124">
        <v>3</v>
      </c>
      <c r="E51" s="124">
        <v>30</v>
      </c>
      <c r="F51" s="124">
        <v>0</v>
      </c>
      <c r="G51" s="124">
        <v>30</v>
      </c>
      <c r="H51" s="124">
        <v>0</v>
      </c>
      <c r="I51" s="124">
        <v>60</v>
      </c>
      <c r="J51" s="124" t="s">
        <v>24</v>
      </c>
      <c r="K51" s="124" t="s">
        <v>40</v>
      </c>
      <c r="L51" s="124" t="b">
        <v>1</v>
      </c>
      <c r="P51" s="124" t="s">
        <v>171</v>
      </c>
      <c r="R51" s="124" t="s">
        <v>67</v>
      </c>
      <c r="T51" s="124" t="s">
        <v>172</v>
      </c>
      <c r="V51" s="124" t="b">
        <v>1</v>
      </c>
      <c r="W51" s="124" t="b">
        <v>1</v>
      </c>
    </row>
    <row r="52" spans="1:23" x14ac:dyDescent="0.25">
      <c r="A52" s="124">
        <v>51</v>
      </c>
      <c r="B52" s="124" t="s">
        <v>173</v>
      </c>
      <c r="C52" s="124" t="s">
        <v>174</v>
      </c>
      <c r="D52" s="124">
        <v>5</v>
      </c>
      <c r="E52" s="124">
        <v>60</v>
      </c>
      <c r="F52" s="124">
        <v>0</v>
      </c>
      <c r="G52" s="124">
        <v>0</v>
      </c>
      <c r="H52" s="124">
        <v>0</v>
      </c>
      <c r="I52" s="124">
        <v>60</v>
      </c>
      <c r="J52" s="124" t="s">
        <v>24</v>
      </c>
      <c r="K52" s="124" t="s">
        <v>40</v>
      </c>
      <c r="L52" s="124" t="b">
        <v>1</v>
      </c>
      <c r="P52" s="124" t="s">
        <v>125</v>
      </c>
      <c r="R52" s="124" t="s">
        <v>67</v>
      </c>
      <c r="T52" s="124" t="s">
        <v>175</v>
      </c>
      <c r="V52" s="124" t="b">
        <v>1</v>
      </c>
      <c r="W52" s="124" t="b">
        <v>0</v>
      </c>
    </row>
    <row r="53" spans="1:23" x14ac:dyDescent="0.25">
      <c r="A53" s="124">
        <v>52</v>
      </c>
      <c r="B53" s="124" t="s">
        <v>176</v>
      </c>
      <c r="C53" s="124" t="s">
        <v>177</v>
      </c>
      <c r="D53" s="124">
        <v>5</v>
      </c>
      <c r="E53" s="124">
        <v>0</v>
      </c>
      <c r="F53" s="124">
        <v>30</v>
      </c>
      <c r="G53" s="124">
        <v>0</v>
      </c>
      <c r="H53" s="124">
        <v>0</v>
      </c>
      <c r="I53" s="124">
        <v>30</v>
      </c>
      <c r="J53" s="124" t="s">
        <v>24</v>
      </c>
      <c r="K53" s="124" t="s">
        <v>40</v>
      </c>
      <c r="L53" s="124" t="b">
        <v>1</v>
      </c>
      <c r="Q53" s="124" t="s">
        <v>173</v>
      </c>
      <c r="R53" s="124" t="s">
        <v>67</v>
      </c>
      <c r="T53" s="124" t="s">
        <v>175</v>
      </c>
      <c r="V53" s="124" t="b">
        <v>1</v>
      </c>
      <c r="W53" s="124" t="b">
        <v>0</v>
      </c>
    </row>
    <row r="54" spans="1:23" x14ac:dyDescent="0.25">
      <c r="A54" s="124">
        <v>53</v>
      </c>
      <c r="B54" s="124" t="s">
        <v>178</v>
      </c>
      <c r="C54" s="124" t="s">
        <v>179</v>
      </c>
      <c r="E54" s="124">
        <v>60</v>
      </c>
      <c r="F54" s="124">
        <v>0</v>
      </c>
      <c r="G54" s="124">
        <v>0</v>
      </c>
      <c r="H54" s="124">
        <v>0</v>
      </c>
      <c r="I54" s="124">
        <v>60</v>
      </c>
      <c r="J54" s="124" t="s">
        <v>24</v>
      </c>
      <c r="L54" s="124" t="b">
        <v>0</v>
      </c>
      <c r="P54" s="124" t="s">
        <v>173</v>
      </c>
      <c r="V54" s="124" t="b">
        <v>0</v>
      </c>
      <c r="W54" s="124" t="b">
        <v>0</v>
      </c>
    </row>
    <row r="55" spans="1:23" x14ac:dyDescent="0.25">
      <c r="A55" s="124">
        <v>54</v>
      </c>
      <c r="B55" s="124" t="s">
        <v>180</v>
      </c>
      <c r="C55" s="124" t="s">
        <v>181</v>
      </c>
      <c r="E55" s="124">
        <v>0</v>
      </c>
      <c r="F55" s="124">
        <v>30</v>
      </c>
      <c r="G55" s="124">
        <v>0</v>
      </c>
      <c r="H55" s="124">
        <v>0</v>
      </c>
      <c r="I55" s="124">
        <v>30</v>
      </c>
      <c r="J55" s="124" t="s">
        <v>24</v>
      </c>
      <c r="L55" s="124" t="b">
        <v>0</v>
      </c>
      <c r="Q55" s="124" t="s">
        <v>178</v>
      </c>
      <c r="V55" s="124" t="b">
        <v>0</v>
      </c>
      <c r="W55" s="124" t="b">
        <v>0</v>
      </c>
    </row>
    <row r="56" spans="1:23" x14ac:dyDescent="0.25">
      <c r="A56" s="124">
        <v>55</v>
      </c>
      <c r="B56" s="124" t="s">
        <v>182</v>
      </c>
      <c r="C56" s="124" t="s">
        <v>183</v>
      </c>
      <c r="D56" s="124">
        <v>5</v>
      </c>
      <c r="E56" s="124">
        <v>30</v>
      </c>
      <c r="F56" s="124">
        <v>0</v>
      </c>
      <c r="G56" s="124">
        <v>0</v>
      </c>
      <c r="H56" s="124">
        <v>0</v>
      </c>
      <c r="I56" s="124">
        <v>30</v>
      </c>
      <c r="J56" s="124" t="s">
        <v>24</v>
      </c>
      <c r="K56" s="124" t="s">
        <v>40</v>
      </c>
      <c r="L56" s="124" t="b">
        <v>1</v>
      </c>
      <c r="R56" s="124" t="s">
        <v>140</v>
      </c>
      <c r="T56" s="124" t="s">
        <v>184</v>
      </c>
      <c r="V56" s="124" t="b">
        <v>1</v>
      </c>
      <c r="W56" s="124" t="b">
        <v>0</v>
      </c>
    </row>
    <row r="57" spans="1:23" x14ac:dyDescent="0.25">
      <c r="A57" s="124">
        <v>56</v>
      </c>
      <c r="B57" s="124" t="s">
        <v>185</v>
      </c>
      <c r="C57" s="124" t="s">
        <v>186</v>
      </c>
      <c r="D57" s="124">
        <v>8</v>
      </c>
      <c r="E57" s="124">
        <v>15</v>
      </c>
      <c r="F57" s="124">
        <v>0</v>
      </c>
      <c r="G57" s="124">
        <v>30</v>
      </c>
      <c r="H57" s="124">
        <v>0</v>
      </c>
      <c r="I57" s="124">
        <v>45</v>
      </c>
      <c r="J57" s="124" t="s">
        <v>24</v>
      </c>
      <c r="K57" s="124" t="s">
        <v>40</v>
      </c>
      <c r="L57" s="124" t="b">
        <v>1</v>
      </c>
      <c r="P57" s="124" t="s">
        <v>45</v>
      </c>
      <c r="R57" s="124" t="s">
        <v>48</v>
      </c>
      <c r="T57" s="124" t="s">
        <v>187</v>
      </c>
      <c r="V57" s="124" t="b">
        <v>1</v>
      </c>
      <c r="W57" s="124" t="b">
        <v>1</v>
      </c>
    </row>
    <row r="58" spans="1:23" x14ac:dyDescent="0.25">
      <c r="A58" s="124">
        <v>57</v>
      </c>
      <c r="B58" s="124" t="s">
        <v>188</v>
      </c>
      <c r="C58" s="124" t="s">
        <v>189</v>
      </c>
      <c r="D58" s="124">
        <v>5</v>
      </c>
      <c r="E58" s="124">
        <v>45</v>
      </c>
      <c r="F58" s="124">
        <v>0</v>
      </c>
      <c r="G58" s="124">
        <v>0</v>
      </c>
      <c r="H58" s="124">
        <v>0</v>
      </c>
      <c r="I58" s="124">
        <v>45</v>
      </c>
      <c r="J58" s="124" t="s">
        <v>24</v>
      </c>
      <c r="K58" s="124" t="s">
        <v>40</v>
      </c>
      <c r="L58" s="124" t="b">
        <v>1</v>
      </c>
      <c r="N58" s="124" t="s">
        <v>190</v>
      </c>
      <c r="P58" s="124" t="s">
        <v>191</v>
      </c>
      <c r="R58" s="124" t="s">
        <v>192</v>
      </c>
      <c r="T58" s="124" t="s">
        <v>193</v>
      </c>
      <c r="V58" s="124" t="b">
        <v>1</v>
      </c>
      <c r="W58" s="124" t="b">
        <v>1</v>
      </c>
    </row>
    <row r="59" spans="1:23" x14ac:dyDescent="0.25">
      <c r="A59" s="124">
        <v>58</v>
      </c>
      <c r="B59" s="124" t="s">
        <v>194</v>
      </c>
      <c r="C59" s="124" t="s">
        <v>195</v>
      </c>
      <c r="D59" s="124">
        <v>8</v>
      </c>
      <c r="E59" s="124">
        <v>30</v>
      </c>
      <c r="F59" s="124">
        <v>0</v>
      </c>
      <c r="G59" s="124">
        <v>0</v>
      </c>
      <c r="H59" s="124">
        <v>0</v>
      </c>
      <c r="I59" s="124">
        <v>30</v>
      </c>
      <c r="J59" s="124" t="s">
        <v>24</v>
      </c>
      <c r="K59" s="124" t="s">
        <v>40</v>
      </c>
      <c r="L59" s="124" t="b">
        <v>1</v>
      </c>
      <c r="R59" s="124" t="s">
        <v>140</v>
      </c>
      <c r="T59" s="124" t="s">
        <v>196</v>
      </c>
      <c r="V59" s="124" t="b">
        <v>1</v>
      </c>
      <c r="W59" s="124" t="b">
        <v>0</v>
      </c>
    </row>
    <row r="60" spans="1:23" x14ac:dyDescent="0.25">
      <c r="A60" s="124">
        <v>59</v>
      </c>
      <c r="B60" s="124" t="s">
        <v>197</v>
      </c>
      <c r="C60" s="124" t="s">
        <v>198</v>
      </c>
      <c r="D60" s="124">
        <v>4</v>
      </c>
      <c r="E60" s="124">
        <v>60</v>
      </c>
      <c r="F60" s="124">
        <v>0</v>
      </c>
      <c r="G60" s="124">
        <v>0</v>
      </c>
      <c r="H60" s="124">
        <v>0</v>
      </c>
      <c r="I60" s="124">
        <v>60</v>
      </c>
      <c r="J60" s="124" t="s">
        <v>24</v>
      </c>
      <c r="K60" s="124" t="s">
        <v>28</v>
      </c>
      <c r="L60" s="124" t="b">
        <v>1</v>
      </c>
      <c r="R60" s="124" t="s">
        <v>30</v>
      </c>
      <c r="T60" s="124" t="s">
        <v>199</v>
      </c>
      <c r="V60" s="124" t="b">
        <v>1</v>
      </c>
      <c r="W60" s="124" t="b">
        <v>0</v>
      </c>
    </row>
    <row r="61" spans="1:23" x14ac:dyDescent="0.25">
      <c r="A61" s="124">
        <v>60</v>
      </c>
      <c r="B61" s="124" t="s">
        <v>42</v>
      </c>
      <c r="C61" s="124" t="s">
        <v>200</v>
      </c>
      <c r="D61" s="124">
        <v>3</v>
      </c>
      <c r="E61" s="124">
        <v>60</v>
      </c>
      <c r="F61" s="124">
        <v>0</v>
      </c>
      <c r="G61" s="124">
        <v>0</v>
      </c>
      <c r="H61" s="124">
        <v>0</v>
      </c>
      <c r="I61" s="124">
        <v>60</v>
      </c>
      <c r="J61" s="124" t="s">
        <v>24</v>
      </c>
      <c r="K61" s="124" t="s">
        <v>40</v>
      </c>
      <c r="L61" s="124" t="b">
        <v>1</v>
      </c>
      <c r="N61" s="124" t="s">
        <v>201</v>
      </c>
      <c r="P61" s="124" t="s">
        <v>71</v>
      </c>
      <c r="R61" s="124" t="s">
        <v>43</v>
      </c>
      <c r="T61" s="124" t="s">
        <v>202</v>
      </c>
      <c r="V61" s="124" t="b">
        <v>1</v>
      </c>
      <c r="W61" s="124" t="b">
        <v>1</v>
      </c>
    </row>
    <row r="62" spans="1:23" x14ac:dyDescent="0.25">
      <c r="A62" s="124">
        <v>61</v>
      </c>
      <c r="B62" s="124" t="s">
        <v>203</v>
      </c>
      <c r="C62" s="124" t="s">
        <v>204</v>
      </c>
      <c r="E62" s="124">
        <v>0</v>
      </c>
      <c r="F62" s="124">
        <v>45</v>
      </c>
      <c r="G62" s="124">
        <v>0</v>
      </c>
      <c r="H62" s="124">
        <v>0</v>
      </c>
      <c r="I62" s="124">
        <v>45</v>
      </c>
      <c r="J62" s="124" t="s">
        <v>24</v>
      </c>
      <c r="L62" s="124" t="b">
        <v>0</v>
      </c>
      <c r="V62" s="124" t="b">
        <v>0</v>
      </c>
      <c r="W62" s="124" t="b">
        <v>1</v>
      </c>
    </row>
    <row r="63" spans="1:23" x14ac:dyDescent="0.25">
      <c r="A63" s="124">
        <v>62</v>
      </c>
      <c r="B63" s="124" t="s">
        <v>205</v>
      </c>
      <c r="C63" s="124" t="s">
        <v>206</v>
      </c>
      <c r="E63" s="124">
        <v>30</v>
      </c>
      <c r="F63" s="124">
        <v>0</v>
      </c>
      <c r="G63" s="124">
        <v>15</v>
      </c>
      <c r="H63" s="124">
        <v>0</v>
      </c>
      <c r="I63" s="124">
        <v>45</v>
      </c>
      <c r="J63" s="124" t="s">
        <v>24</v>
      </c>
      <c r="L63" s="124" t="b">
        <v>0</v>
      </c>
      <c r="V63" s="124" t="b">
        <v>0</v>
      </c>
      <c r="W63" s="124" t="b">
        <v>1</v>
      </c>
    </row>
    <row r="64" spans="1:23" x14ac:dyDescent="0.25">
      <c r="A64" s="124">
        <v>63</v>
      </c>
      <c r="B64" s="124" t="s">
        <v>127</v>
      </c>
      <c r="C64" s="124" t="s">
        <v>207</v>
      </c>
      <c r="D64" s="124">
        <v>3</v>
      </c>
      <c r="E64" s="124">
        <v>60</v>
      </c>
      <c r="F64" s="124">
        <v>0</v>
      </c>
      <c r="G64" s="124">
        <v>0</v>
      </c>
      <c r="H64" s="124">
        <v>0</v>
      </c>
      <c r="I64" s="124">
        <v>60</v>
      </c>
      <c r="J64" s="124" t="s">
        <v>24</v>
      </c>
      <c r="K64" s="124" t="s">
        <v>28</v>
      </c>
      <c r="L64" s="124" t="b">
        <v>1</v>
      </c>
      <c r="P64" s="124" t="s">
        <v>208</v>
      </c>
      <c r="R64" s="124" t="s">
        <v>30</v>
      </c>
      <c r="T64" s="124" t="s">
        <v>209</v>
      </c>
      <c r="V64" s="124" t="b">
        <v>1</v>
      </c>
      <c r="W64" s="124" t="b">
        <v>0</v>
      </c>
    </row>
    <row r="65" spans="1:23" x14ac:dyDescent="0.25">
      <c r="A65" s="124">
        <v>64</v>
      </c>
      <c r="B65" s="124" t="s">
        <v>210</v>
      </c>
      <c r="C65" s="124" t="s">
        <v>211</v>
      </c>
      <c r="D65" s="124">
        <v>3</v>
      </c>
      <c r="E65" s="124">
        <v>0</v>
      </c>
      <c r="F65" s="124">
        <v>30</v>
      </c>
      <c r="G65" s="124">
        <v>0</v>
      </c>
      <c r="H65" s="124">
        <v>0</v>
      </c>
      <c r="I65" s="124">
        <v>30</v>
      </c>
      <c r="J65" s="124" t="s">
        <v>24</v>
      </c>
      <c r="K65" s="124" t="s">
        <v>28</v>
      </c>
      <c r="L65" s="124" t="b">
        <v>1</v>
      </c>
      <c r="Q65" s="124" t="s">
        <v>127</v>
      </c>
      <c r="R65" s="124" t="s">
        <v>30</v>
      </c>
      <c r="T65" s="124" t="s">
        <v>209</v>
      </c>
      <c r="V65" s="124" t="b">
        <v>1</v>
      </c>
      <c r="W65" s="124" t="b">
        <v>0</v>
      </c>
    </row>
    <row r="66" spans="1:23" x14ac:dyDescent="0.25">
      <c r="A66" s="124">
        <v>65</v>
      </c>
      <c r="B66" s="124" t="s">
        <v>208</v>
      </c>
      <c r="C66" s="124" t="s">
        <v>212</v>
      </c>
      <c r="D66" s="124">
        <v>2</v>
      </c>
      <c r="E66" s="124">
        <v>60</v>
      </c>
      <c r="F66" s="124">
        <v>0</v>
      </c>
      <c r="G66" s="124">
        <v>0</v>
      </c>
      <c r="H66" s="124">
        <v>0</v>
      </c>
      <c r="I66" s="124">
        <v>60</v>
      </c>
      <c r="J66" s="124" t="s">
        <v>24</v>
      </c>
      <c r="K66" s="124" t="s">
        <v>28</v>
      </c>
      <c r="L66" s="124" t="b">
        <v>1</v>
      </c>
      <c r="P66" s="124" t="s">
        <v>100</v>
      </c>
      <c r="R66" s="124" t="s">
        <v>30</v>
      </c>
      <c r="T66" s="124" t="s">
        <v>213</v>
      </c>
      <c r="V66" s="124" t="b">
        <v>1</v>
      </c>
      <c r="W66" s="124" t="b">
        <v>0</v>
      </c>
    </row>
    <row r="67" spans="1:23" x14ac:dyDescent="0.25">
      <c r="A67" s="124">
        <v>66</v>
      </c>
      <c r="B67" s="124" t="s">
        <v>214</v>
      </c>
      <c r="C67" s="124" t="s">
        <v>215</v>
      </c>
      <c r="D67" s="124">
        <v>2</v>
      </c>
      <c r="E67" s="124">
        <v>0</v>
      </c>
      <c r="F67" s="124">
        <v>30</v>
      </c>
      <c r="G67" s="124">
        <v>0</v>
      </c>
      <c r="H67" s="124">
        <v>0</v>
      </c>
      <c r="I67" s="124">
        <v>30</v>
      </c>
      <c r="J67" s="124" t="s">
        <v>24</v>
      </c>
      <c r="K67" s="124" t="s">
        <v>28</v>
      </c>
      <c r="L67" s="124" t="b">
        <v>1</v>
      </c>
      <c r="Q67" s="124" t="s">
        <v>208</v>
      </c>
      <c r="R67" s="124" t="s">
        <v>30</v>
      </c>
      <c r="T67" s="124" t="s">
        <v>213</v>
      </c>
      <c r="V67" s="124" t="b">
        <v>1</v>
      </c>
      <c r="W67" s="124" t="b">
        <v>0</v>
      </c>
    </row>
    <row r="68" spans="1:23" x14ac:dyDescent="0.25">
      <c r="A68" s="124">
        <v>67</v>
      </c>
      <c r="B68" s="124" t="s">
        <v>216</v>
      </c>
      <c r="C68" s="124" t="s">
        <v>217</v>
      </c>
      <c r="D68" s="124">
        <v>4</v>
      </c>
      <c r="E68" s="124">
        <v>60</v>
      </c>
      <c r="F68" s="124">
        <v>0</v>
      </c>
      <c r="G68" s="124">
        <v>0</v>
      </c>
      <c r="H68" s="124">
        <v>0</v>
      </c>
      <c r="I68" s="124">
        <v>60</v>
      </c>
      <c r="J68" s="124" t="s">
        <v>24</v>
      </c>
      <c r="K68" s="124" t="s">
        <v>28</v>
      </c>
      <c r="L68" s="124" t="b">
        <v>0</v>
      </c>
      <c r="P68" s="124" t="s">
        <v>127</v>
      </c>
      <c r="Q68" s="124" t="s">
        <v>218</v>
      </c>
      <c r="R68" s="124" t="s">
        <v>67</v>
      </c>
      <c r="V68" s="124" t="b">
        <v>0</v>
      </c>
      <c r="W68" s="124" t="b">
        <v>0</v>
      </c>
    </row>
    <row r="69" spans="1:23" x14ac:dyDescent="0.25">
      <c r="A69" s="124">
        <v>68</v>
      </c>
      <c r="B69" s="124" t="s">
        <v>218</v>
      </c>
      <c r="C69" s="124" t="s">
        <v>219</v>
      </c>
      <c r="D69" s="124">
        <v>4</v>
      </c>
      <c r="E69" s="124">
        <v>0</v>
      </c>
      <c r="F69" s="124">
        <v>30</v>
      </c>
      <c r="G69" s="124">
        <v>0</v>
      </c>
      <c r="H69" s="124">
        <v>0</v>
      </c>
      <c r="I69" s="124">
        <v>30</v>
      </c>
      <c r="J69" s="124" t="s">
        <v>24</v>
      </c>
      <c r="K69" s="124" t="s">
        <v>28</v>
      </c>
      <c r="L69" s="124" t="b">
        <v>0</v>
      </c>
      <c r="Q69" s="124" t="s">
        <v>216</v>
      </c>
      <c r="R69" s="124" t="s">
        <v>67</v>
      </c>
      <c r="V69" s="124" t="b">
        <v>0</v>
      </c>
      <c r="W69" s="124" t="b">
        <v>0</v>
      </c>
    </row>
    <row r="70" spans="1:23" x14ac:dyDescent="0.25">
      <c r="A70" s="124">
        <v>69</v>
      </c>
      <c r="B70" s="124" t="s">
        <v>220</v>
      </c>
      <c r="C70" s="124" t="s">
        <v>221</v>
      </c>
      <c r="E70" s="124">
        <v>45</v>
      </c>
      <c r="F70" s="124">
        <v>15</v>
      </c>
      <c r="G70" s="124">
        <v>0</v>
      </c>
      <c r="H70" s="124">
        <v>0</v>
      </c>
      <c r="I70" s="124">
        <v>60</v>
      </c>
      <c r="J70" s="124" t="s">
        <v>24</v>
      </c>
      <c r="L70" s="124" t="b">
        <v>0</v>
      </c>
      <c r="V70" s="124" t="b">
        <v>0</v>
      </c>
      <c r="W70" s="124" t="b">
        <v>0</v>
      </c>
    </row>
    <row r="71" spans="1:23" x14ac:dyDescent="0.25">
      <c r="A71" s="124">
        <v>70</v>
      </c>
      <c r="B71" s="124" t="s">
        <v>143</v>
      </c>
      <c r="C71" s="124" t="s">
        <v>222</v>
      </c>
      <c r="D71" s="124">
        <v>5</v>
      </c>
      <c r="E71" s="124">
        <v>30</v>
      </c>
      <c r="F71" s="124">
        <v>15</v>
      </c>
      <c r="G71" s="124">
        <v>0</v>
      </c>
      <c r="H71" s="124">
        <v>0</v>
      </c>
      <c r="I71" s="124">
        <v>45</v>
      </c>
      <c r="J71" s="124" t="s">
        <v>24</v>
      </c>
      <c r="K71" s="124" t="s">
        <v>40</v>
      </c>
      <c r="L71" s="124" t="b">
        <v>1</v>
      </c>
      <c r="P71" s="124" t="s">
        <v>197</v>
      </c>
      <c r="R71" s="124" t="s">
        <v>48</v>
      </c>
      <c r="T71" s="124" t="s">
        <v>223</v>
      </c>
      <c r="V71" s="124" t="b">
        <v>1</v>
      </c>
      <c r="W71" s="124" t="b">
        <v>1</v>
      </c>
    </row>
    <row r="72" spans="1:23" x14ac:dyDescent="0.25">
      <c r="A72" s="124">
        <v>71</v>
      </c>
      <c r="B72" s="124" t="s">
        <v>29</v>
      </c>
      <c r="C72" s="124" t="s">
        <v>224</v>
      </c>
      <c r="D72" s="124">
        <v>1</v>
      </c>
      <c r="E72" s="124">
        <v>60</v>
      </c>
      <c r="F72" s="124">
        <v>0</v>
      </c>
      <c r="G72" s="124">
        <v>0</v>
      </c>
      <c r="H72" s="124">
        <v>0</v>
      </c>
      <c r="I72" s="124">
        <v>60</v>
      </c>
      <c r="J72" s="124" t="s">
        <v>24</v>
      </c>
      <c r="K72" s="124" t="s">
        <v>28</v>
      </c>
      <c r="L72" s="124" t="b">
        <v>1</v>
      </c>
      <c r="R72" s="124" t="s">
        <v>30</v>
      </c>
      <c r="T72" s="124" t="s">
        <v>102</v>
      </c>
      <c r="V72" s="124" t="b">
        <v>1</v>
      </c>
      <c r="W72" s="124" t="b">
        <v>0</v>
      </c>
    </row>
    <row r="73" spans="1:23" x14ac:dyDescent="0.25">
      <c r="A73" s="124">
        <v>72</v>
      </c>
      <c r="B73" s="124" t="s">
        <v>225</v>
      </c>
      <c r="C73" s="124" t="s">
        <v>226</v>
      </c>
      <c r="E73" s="124">
        <v>60</v>
      </c>
      <c r="F73" s="124">
        <v>0</v>
      </c>
      <c r="G73" s="124">
        <v>0</v>
      </c>
      <c r="H73" s="124">
        <v>0</v>
      </c>
      <c r="I73" s="124">
        <v>60</v>
      </c>
      <c r="J73" s="124" t="s">
        <v>24</v>
      </c>
      <c r="L73" s="124" t="b">
        <v>0</v>
      </c>
      <c r="V73" s="124" t="b">
        <v>0</v>
      </c>
      <c r="W73" s="124" t="b">
        <v>0</v>
      </c>
    </row>
    <row r="74" spans="1:23" x14ac:dyDescent="0.25">
      <c r="A74" s="124">
        <v>73</v>
      </c>
      <c r="B74" s="124" t="s">
        <v>227</v>
      </c>
      <c r="C74" s="124" t="s">
        <v>228</v>
      </c>
      <c r="E74" s="124">
        <v>30</v>
      </c>
      <c r="F74" s="124">
        <v>30</v>
      </c>
      <c r="G74" s="124">
        <v>0</v>
      </c>
      <c r="H74" s="124">
        <v>0</v>
      </c>
      <c r="I74" s="124">
        <v>60</v>
      </c>
      <c r="J74" s="124" t="s">
        <v>24</v>
      </c>
      <c r="L74" s="124" t="b">
        <v>1</v>
      </c>
      <c r="N74" s="124" t="s">
        <v>25</v>
      </c>
      <c r="V74" s="124" t="b">
        <v>0</v>
      </c>
      <c r="W74" s="124" t="b">
        <v>0</v>
      </c>
    </row>
    <row r="75" spans="1:23" x14ac:dyDescent="0.25">
      <c r="A75" s="124">
        <v>74</v>
      </c>
      <c r="B75" s="124" t="s">
        <v>229</v>
      </c>
      <c r="C75" s="124" t="s">
        <v>230</v>
      </c>
      <c r="D75" s="124">
        <v>8</v>
      </c>
      <c r="E75" s="124">
        <v>15</v>
      </c>
      <c r="F75" s="124">
        <v>0</v>
      </c>
      <c r="G75" s="124">
        <v>30</v>
      </c>
      <c r="H75" s="124">
        <v>0</v>
      </c>
      <c r="I75" s="124">
        <v>45</v>
      </c>
      <c r="J75" s="124" t="s">
        <v>24</v>
      </c>
      <c r="K75" s="124" t="s">
        <v>40</v>
      </c>
      <c r="L75" s="124" t="b">
        <v>1</v>
      </c>
      <c r="P75" s="124" t="s">
        <v>231</v>
      </c>
      <c r="R75" s="124" t="s">
        <v>48</v>
      </c>
      <c r="T75" s="124" t="s">
        <v>232</v>
      </c>
      <c r="V75" s="124" t="b">
        <v>1</v>
      </c>
      <c r="W75" s="124" t="b">
        <v>1</v>
      </c>
    </row>
    <row r="76" spans="1:23" x14ac:dyDescent="0.25">
      <c r="A76" s="124">
        <v>75</v>
      </c>
      <c r="B76" s="124" t="s">
        <v>233</v>
      </c>
      <c r="C76" s="124" t="s">
        <v>234</v>
      </c>
      <c r="E76" s="124">
        <v>30</v>
      </c>
      <c r="F76" s="124">
        <v>0</v>
      </c>
      <c r="G76" s="124">
        <v>0</v>
      </c>
      <c r="H76" s="124">
        <v>0</v>
      </c>
      <c r="I76" s="124">
        <v>30</v>
      </c>
      <c r="J76" s="124" t="s">
        <v>24</v>
      </c>
      <c r="L76" s="124" t="b">
        <v>0</v>
      </c>
      <c r="V76" s="124" t="b">
        <v>0</v>
      </c>
      <c r="W76" s="124" t="b">
        <v>0</v>
      </c>
    </row>
    <row r="77" spans="1:23" x14ac:dyDescent="0.25">
      <c r="A77" s="124">
        <v>76</v>
      </c>
      <c r="B77" s="124" t="s">
        <v>235</v>
      </c>
      <c r="C77" s="124" t="s">
        <v>236</v>
      </c>
      <c r="E77" s="124">
        <v>60</v>
      </c>
      <c r="F77" s="124">
        <v>0</v>
      </c>
      <c r="G77" s="124">
        <v>0</v>
      </c>
      <c r="H77" s="124">
        <v>0</v>
      </c>
      <c r="I77" s="124">
        <v>60</v>
      </c>
      <c r="J77" s="124" t="s">
        <v>24</v>
      </c>
      <c r="L77" s="124" t="b">
        <v>1</v>
      </c>
      <c r="N77" s="124" t="s">
        <v>237</v>
      </c>
      <c r="V77" s="124" t="b">
        <v>0</v>
      </c>
      <c r="W77" s="124" t="b">
        <v>0</v>
      </c>
    </row>
    <row r="78" spans="1:23" x14ac:dyDescent="0.25">
      <c r="A78" s="124">
        <v>77</v>
      </c>
      <c r="B78" s="124" t="s">
        <v>238</v>
      </c>
      <c r="C78" s="124" t="s">
        <v>236</v>
      </c>
      <c r="E78" s="124">
        <v>60</v>
      </c>
      <c r="F78" s="124">
        <v>0</v>
      </c>
      <c r="G78" s="124">
        <v>0</v>
      </c>
      <c r="H78" s="124">
        <v>0</v>
      </c>
      <c r="I78" s="124">
        <v>60</v>
      </c>
      <c r="J78" s="124" t="s">
        <v>24</v>
      </c>
      <c r="L78" s="124" t="b">
        <v>1</v>
      </c>
      <c r="N78" s="124" t="s">
        <v>237</v>
      </c>
      <c r="V78" s="124" t="b">
        <v>0</v>
      </c>
      <c r="W78" s="124" t="b">
        <v>0</v>
      </c>
    </row>
    <row r="79" spans="1:23" x14ac:dyDescent="0.25">
      <c r="A79" s="124">
        <v>78</v>
      </c>
      <c r="B79" s="124" t="s">
        <v>239</v>
      </c>
      <c r="C79" s="124" t="s">
        <v>240</v>
      </c>
      <c r="E79" s="124">
        <v>60</v>
      </c>
      <c r="F79" s="124">
        <v>0</v>
      </c>
      <c r="G79" s="124">
        <v>0</v>
      </c>
      <c r="H79" s="124">
        <v>0</v>
      </c>
      <c r="I79" s="124">
        <v>60</v>
      </c>
      <c r="J79" s="124" t="s">
        <v>24</v>
      </c>
      <c r="L79" s="124" t="b">
        <v>0</v>
      </c>
      <c r="V79" s="124" t="b">
        <v>0</v>
      </c>
      <c r="W79" s="124" t="b">
        <v>0</v>
      </c>
    </row>
    <row r="80" spans="1:23" x14ac:dyDescent="0.25">
      <c r="A80" s="124">
        <v>79</v>
      </c>
      <c r="B80" s="124" t="s">
        <v>241</v>
      </c>
      <c r="C80" s="124" t="s">
        <v>240</v>
      </c>
      <c r="E80" s="124">
        <v>60</v>
      </c>
      <c r="F80" s="124">
        <v>0</v>
      </c>
      <c r="G80" s="124">
        <v>0</v>
      </c>
      <c r="H80" s="124">
        <v>0</v>
      </c>
      <c r="I80" s="124">
        <v>60</v>
      </c>
      <c r="J80" s="124" t="s">
        <v>24</v>
      </c>
      <c r="L80" s="124" t="b">
        <v>0</v>
      </c>
      <c r="V80" s="124" t="b">
        <v>0</v>
      </c>
      <c r="W80" s="124" t="b">
        <v>0</v>
      </c>
    </row>
    <row r="81" spans="1:23" x14ac:dyDescent="0.25">
      <c r="A81" s="124">
        <v>80</v>
      </c>
      <c r="B81" s="124" t="s">
        <v>242</v>
      </c>
      <c r="C81" s="124" t="s">
        <v>243</v>
      </c>
      <c r="D81" s="124">
        <v>3</v>
      </c>
      <c r="E81" s="124">
        <v>30</v>
      </c>
      <c r="F81" s="124">
        <v>0</v>
      </c>
      <c r="G81" s="124">
        <v>0</v>
      </c>
      <c r="H81" s="124">
        <v>0</v>
      </c>
      <c r="I81" s="124">
        <v>30</v>
      </c>
      <c r="J81" s="124" t="s">
        <v>24</v>
      </c>
      <c r="K81" s="124" t="s">
        <v>85</v>
      </c>
      <c r="L81" s="124" t="b">
        <v>1</v>
      </c>
      <c r="R81" s="124" t="s">
        <v>140</v>
      </c>
      <c r="S81" s="124" t="s">
        <v>166</v>
      </c>
      <c r="T81" s="124" t="s">
        <v>244</v>
      </c>
      <c r="V81" s="124" t="b">
        <v>1</v>
      </c>
      <c r="W81" s="124" t="b">
        <v>1</v>
      </c>
    </row>
    <row r="82" spans="1:23" x14ac:dyDescent="0.25">
      <c r="A82" s="124">
        <v>81</v>
      </c>
      <c r="B82" s="124" t="s">
        <v>245</v>
      </c>
      <c r="C82" s="124" t="s">
        <v>246</v>
      </c>
      <c r="E82" s="124">
        <v>60</v>
      </c>
      <c r="F82" s="124">
        <v>0</v>
      </c>
      <c r="G82" s="124">
        <v>0</v>
      </c>
      <c r="H82" s="124">
        <v>0</v>
      </c>
      <c r="I82" s="124">
        <v>60</v>
      </c>
      <c r="J82" s="124" t="s">
        <v>24</v>
      </c>
      <c r="L82" s="124" t="b">
        <v>0</v>
      </c>
      <c r="V82" s="124" t="b">
        <v>0</v>
      </c>
      <c r="W82" s="124" t="b">
        <v>0</v>
      </c>
    </row>
    <row r="83" spans="1:23" x14ac:dyDescent="0.25">
      <c r="A83" s="124">
        <v>82</v>
      </c>
      <c r="B83" s="124" t="s">
        <v>247</v>
      </c>
      <c r="C83" s="124" t="s">
        <v>248</v>
      </c>
      <c r="E83" s="124">
        <v>60</v>
      </c>
      <c r="F83" s="124">
        <v>0</v>
      </c>
      <c r="G83" s="124">
        <v>0</v>
      </c>
      <c r="H83" s="124">
        <v>0</v>
      </c>
      <c r="I83" s="124">
        <v>60</v>
      </c>
      <c r="J83" s="124" t="s">
        <v>24</v>
      </c>
      <c r="L83" s="124" t="b">
        <v>0</v>
      </c>
      <c r="V83" s="124" t="b">
        <v>0</v>
      </c>
      <c r="W83" s="124" t="b">
        <v>0</v>
      </c>
    </row>
    <row r="84" spans="1:23" x14ac:dyDescent="0.25">
      <c r="A84" s="124">
        <v>83</v>
      </c>
      <c r="B84" s="124" t="s">
        <v>249</v>
      </c>
      <c r="C84" s="124" t="s">
        <v>250</v>
      </c>
      <c r="D84" s="124">
        <v>1</v>
      </c>
      <c r="E84" s="124">
        <v>30</v>
      </c>
      <c r="F84" s="124">
        <v>0</v>
      </c>
      <c r="G84" s="124">
        <v>0</v>
      </c>
      <c r="H84" s="124">
        <v>0</v>
      </c>
      <c r="I84" s="124">
        <v>30</v>
      </c>
      <c r="J84" s="124" t="s">
        <v>24</v>
      </c>
      <c r="K84" s="124" t="s">
        <v>85</v>
      </c>
      <c r="L84" s="124" t="b">
        <v>1</v>
      </c>
      <c r="R84" s="124" t="s">
        <v>140</v>
      </c>
      <c r="S84" s="124" t="s">
        <v>251</v>
      </c>
      <c r="T84" s="124" t="s">
        <v>252</v>
      </c>
      <c r="V84" s="124" t="b">
        <v>1</v>
      </c>
      <c r="W84" s="124" t="b">
        <v>0</v>
      </c>
    </row>
    <row r="85" spans="1:23" x14ac:dyDescent="0.25">
      <c r="A85" s="124">
        <v>84</v>
      </c>
      <c r="B85" s="124" t="s">
        <v>253</v>
      </c>
      <c r="C85" s="124" t="s">
        <v>254</v>
      </c>
      <c r="D85" s="124">
        <v>1</v>
      </c>
      <c r="E85" s="124">
        <v>0</v>
      </c>
      <c r="F85" s="124">
        <v>30</v>
      </c>
      <c r="G85" s="124">
        <v>0</v>
      </c>
      <c r="H85" s="124">
        <v>0</v>
      </c>
      <c r="I85" s="124">
        <v>30</v>
      </c>
      <c r="J85" s="124" t="s">
        <v>24</v>
      </c>
      <c r="K85" s="124" t="s">
        <v>40</v>
      </c>
      <c r="L85" s="124" t="b">
        <v>1</v>
      </c>
      <c r="R85" s="124" t="s">
        <v>67</v>
      </c>
      <c r="T85" s="124" t="s">
        <v>255</v>
      </c>
      <c r="V85" s="124" t="b">
        <v>1</v>
      </c>
      <c r="W85" s="124" t="b">
        <v>1</v>
      </c>
    </row>
    <row r="86" spans="1:23" x14ac:dyDescent="0.25">
      <c r="A86" s="124">
        <v>85</v>
      </c>
      <c r="B86" s="124" t="s">
        <v>256</v>
      </c>
      <c r="C86" s="124" t="s">
        <v>257</v>
      </c>
      <c r="E86" s="124">
        <v>30</v>
      </c>
      <c r="F86" s="124">
        <v>30</v>
      </c>
      <c r="G86" s="124">
        <v>0</v>
      </c>
      <c r="H86" s="124">
        <v>0</v>
      </c>
      <c r="I86" s="124">
        <v>60</v>
      </c>
      <c r="J86" s="124" t="s">
        <v>24</v>
      </c>
      <c r="L86" s="124" t="b">
        <v>0</v>
      </c>
      <c r="S86" s="124" t="s">
        <v>258</v>
      </c>
      <c r="V86" s="124" t="b">
        <v>0</v>
      </c>
      <c r="W86" s="124" t="b">
        <v>0</v>
      </c>
    </row>
    <row r="87" spans="1:23" x14ac:dyDescent="0.25">
      <c r="A87" s="124">
        <v>86</v>
      </c>
      <c r="B87" s="124" t="s">
        <v>259</v>
      </c>
      <c r="C87" s="124" t="s">
        <v>260</v>
      </c>
      <c r="E87" s="124">
        <v>30</v>
      </c>
      <c r="F87" s="124">
        <v>30</v>
      </c>
      <c r="G87" s="124">
        <v>0</v>
      </c>
      <c r="H87" s="124">
        <v>0</v>
      </c>
      <c r="I87" s="124">
        <v>60</v>
      </c>
      <c r="J87" s="124" t="s">
        <v>24</v>
      </c>
      <c r="L87" s="124" t="b">
        <v>0</v>
      </c>
      <c r="S87" s="124" t="s">
        <v>258</v>
      </c>
      <c r="V87" s="124" t="b">
        <v>0</v>
      </c>
      <c r="W87" s="124" t="b">
        <v>0</v>
      </c>
    </row>
    <row r="88" spans="1:23" x14ac:dyDescent="0.25">
      <c r="A88" s="124">
        <v>87</v>
      </c>
      <c r="B88" s="124" t="s">
        <v>261</v>
      </c>
      <c r="C88" s="124" t="s">
        <v>262</v>
      </c>
      <c r="E88" s="124">
        <v>60</v>
      </c>
      <c r="F88" s="124">
        <v>0</v>
      </c>
      <c r="G88" s="124">
        <v>0</v>
      </c>
      <c r="H88" s="124">
        <v>0</v>
      </c>
      <c r="I88" s="124">
        <v>60</v>
      </c>
      <c r="J88" s="124" t="s">
        <v>24</v>
      </c>
      <c r="L88" s="124" t="b">
        <v>1</v>
      </c>
      <c r="N88" s="124" t="s">
        <v>263</v>
      </c>
      <c r="V88" s="124" t="b">
        <v>0</v>
      </c>
      <c r="W88" s="124" t="b">
        <v>0</v>
      </c>
    </row>
    <row r="89" spans="1:23" x14ac:dyDescent="0.25">
      <c r="A89" s="124">
        <v>88</v>
      </c>
      <c r="B89" s="124" t="s">
        <v>264</v>
      </c>
      <c r="C89" s="124" t="s">
        <v>265</v>
      </c>
      <c r="D89" s="124">
        <v>1</v>
      </c>
      <c r="E89" s="124">
        <v>45</v>
      </c>
      <c r="F89" s="124">
        <v>0</v>
      </c>
      <c r="G89" s="124">
        <v>0</v>
      </c>
      <c r="H89" s="124">
        <v>0</v>
      </c>
      <c r="I89" s="124">
        <v>45</v>
      </c>
      <c r="J89" s="124" t="s">
        <v>24</v>
      </c>
      <c r="K89" s="124" t="s">
        <v>28</v>
      </c>
      <c r="L89" s="124" t="b">
        <v>1</v>
      </c>
      <c r="N89" s="124" t="s">
        <v>266</v>
      </c>
      <c r="R89" s="124" t="s">
        <v>30</v>
      </c>
      <c r="T89" s="124" t="s">
        <v>267</v>
      </c>
      <c r="V89" s="124" t="b">
        <v>1</v>
      </c>
      <c r="W89" s="124" t="b">
        <v>1</v>
      </c>
    </row>
    <row r="90" spans="1:23" x14ac:dyDescent="0.25">
      <c r="A90" s="124">
        <v>89</v>
      </c>
      <c r="B90" s="124" t="s">
        <v>268</v>
      </c>
      <c r="C90" s="124" t="s">
        <v>269</v>
      </c>
      <c r="D90" s="124">
        <v>8</v>
      </c>
      <c r="E90" s="124">
        <v>0</v>
      </c>
      <c r="F90" s="124">
        <v>0</v>
      </c>
      <c r="G90" s="124">
        <v>0</v>
      </c>
      <c r="H90" s="124">
        <v>30</v>
      </c>
      <c r="I90" s="124">
        <v>30</v>
      </c>
      <c r="J90" s="124" t="s">
        <v>84</v>
      </c>
      <c r="K90" s="124" t="s">
        <v>85</v>
      </c>
      <c r="L90" s="124" t="b">
        <v>0</v>
      </c>
      <c r="P90" s="124" t="s">
        <v>92</v>
      </c>
      <c r="R90" s="124" t="s">
        <v>86</v>
      </c>
      <c r="T90" s="124" t="s">
        <v>270</v>
      </c>
      <c r="V90" s="124" t="b">
        <v>1</v>
      </c>
      <c r="W90" s="124" t="b">
        <v>1</v>
      </c>
    </row>
    <row r="91" spans="1:23" x14ac:dyDescent="0.25">
      <c r="A91" s="124">
        <v>90</v>
      </c>
      <c r="B91" s="124" t="s">
        <v>271</v>
      </c>
      <c r="C91" s="124" t="s">
        <v>272</v>
      </c>
      <c r="D91" s="124">
        <v>4</v>
      </c>
      <c r="E91" s="124">
        <v>75</v>
      </c>
      <c r="F91" s="124">
        <v>0</v>
      </c>
      <c r="G91" s="124">
        <v>0</v>
      </c>
      <c r="H91" s="124">
        <v>0</v>
      </c>
      <c r="I91" s="124">
        <v>75</v>
      </c>
      <c r="J91" s="124" t="s">
        <v>24</v>
      </c>
      <c r="K91" s="124" t="s">
        <v>28</v>
      </c>
      <c r="L91" s="124" t="b">
        <v>1</v>
      </c>
      <c r="P91" s="124" t="s">
        <v>105</v>
      </c>
      <c r="R91" s="124" t="s">
        <v>30</v>
      </c>
      <c r="T91" s="124" t="s">
        <v>102</v>
      </c>
      <c r="V91" s="124" t="b">
        <v>1</v>
      </c>
      <c r="W91" s="124" t="b">
        <v>0</v>
      </c>
    </row>
    <row r="92" spans="1:23" x14ac:dyDescent="0.25">
      <c r="A92" s="124">
        <v>91</v>
      </c>
      <c r="B92" s="124" t="s">
        <v>131</v>
      </c>
      <c r="C92" s="124" t="s">
        <v>273</v>
      </c>
      <c r="D92" s="124">
        <v>2</v>
      </c>
      <c r="E92" s="124">
        <v>30</v>
      </c>
      <c r="F92" s="124">
        <v>30</v>
      </c>
      <c r="G92" s="124">
        <v>0</v>
      </c>
      <c r="H92" s="124">
        <v>0</v>
      </c>
      <c r="I92" s="124">
        <v>60</v>
      </c>
      <c r="J92" s="124" t="s">
        <v>24</v>
      </c>
      <c r="K92" s="124" t="s">
        <v>28</v>
      </c>
      <c r="L92" s="124" t="b">
        <v>1</v>
      </c>
      <c r="R92" s="124" t="s">
        <v>67</v>
      </c>
      <c r="S92" s="124" t="s">
        <v>132</v>
      </c>
      <c r="T92" s="124" t="s">
        <v>274</v>
      </c>
      <c r="V92" s="124" t="b">
        <v>1</v>
      </c>
      <c r="W92" s="124" t="b">
        <v>0</v>
      </c>
    </row>
    <row r="93" spans="1:23" x14ac:dyDescent="0.25">
      <c r="A93" s="124">
        <v>92</v>
      </c>
      <c r="B93" s="124" t="s">
        <v>275</v>
      </c>
      <c r="C93" s="124" t="s">
        <v>276</v>
      </c>
      <c r="E93" s="124">
        <v>30</v>
      </c>
      <c r="F93" s="124">
        <v>15</v>
      </c>
      <c r="G93" s="124">
        <v>0</v>
      </c>
      <c r="H93" s="124">
        <v>0</v>
      </c>
      <c r="I93" s="124">
        <v>45</v>
      </c>
      <c r="J93" s="124" t="s">
        <v>24</v>
      </c>
      <c r="L93" s="124" t="b">
        <v>0</v>
      </c>
      <c r="V93" s="124" t="b">
        <v>0</v>
      </c>
      <c r="W93" s="124" t="b">
        <v>0</v>
      </c>
    </row>
    <row r="94" spans="1:23" x14ac:dyDescent="0.25">
      <c r="A94" s="124">
        <v>93</v>
      </c>
      <c r="B94" s="124" t="s">
        <v>277</v>
      </c>
      <c r="C94" s="124" t="s">
        <v>278</v>
      </c>
      <c r="E94" s="124">
        <v>60</v>
      </c>
      <c r="F94" s="124">
        <v>0</v>
      </c>
      <c r="G94" s="124">
        <v>0</v>
      </c>
      <c r="H94" s="124">
        <v>0</v>
      </c>
      <c r="I94" s="124">
        <v>60</v>
      </c>
      <c r="J94" s="124" t="s">
        <v>24</v>
      </c>
      <c r="L94" s="124" t="b">
        <v>0</v>
      </c>
      <c r="V94" s="124" t="b">
        <v>0</v>
      </c>
      <c r="W94" s="124" t="b">
        <v>0</v>
      </c>
    </row>
    <row r="95" spans="1:23" x14ac:dyDescent="0.25">
      <c r="A95" s="124">
        <v>94</v>
      </c>
      <c r="B95" s="124" t="s">
        <v>279</v>
      </c>
      <c r="C95" s="124" t="s">
        <v>278</v>
      </c>
      <c r="E95" s="124">
        <v>60</v>
      </c>
      <c r="F95" s="124">
        <v>0</v>
      </c>
      <c r="G95" s="124">
        <v>0</v>
      </c>
      <c r="H95" s="124">
        <v>0</v>
      </c>
      <c r="I95" s="124">
        <v>60</v>
      </c>
      <c r="J95" s="124" t="s">
        <v>24</v>
      </c>
      <c r="L95" s="124" t="b">
        <v>0</v>
      </c>
      <c r="V95" s="124" t="b">
        <v>0</v>
      </c>
      <c r="W95" s="124" t="b">
        <v>0</v>
      </c>
    </row>
    <row r="96" spans="1:23" x14ac:dyDescent="0.25">
      <c r="A96" s="124">
        <v>95</v>
      </c>
      <c r="B96" s="124" t="s">
        <v>280</v>
      </c>
      <c r="C96" s="124" t="s">
        <v>281</v>
      </c>
      <c r="E96" s="124">
        <v>60</v>
      </c>
      <c r="F96" s="124">
        <v>0</v>
      </c>
      <c r="G96" s="124">
        <v>0</v>
      </c>
      <c r="H96" s="124">
        <v>0</v>
      </c>
      <c r="I96" s="124">
        <v>60</v>
      </c>
      <c r="J96" s="124" t="s">
        <v>24</v>
      </c>
      <c r="L96" s="124" t="b">
        <v>0</v>
      </c>
      <c r="V96" s="124" t="b">
        <v>0</v>
      </c>
      <c r="W96" s="124" t="b">
        <v>0</v>
      </c>
    </row>
    <row r="97" spans="1:23" x14ac:dyDescent="0.25">
      <c r="A97" s="124">
        <v>96</v>
      </c>
      <c r="B97" s="124" t="s">
        <v>282</v>
      </c>
      <c r="C97" s="124" t="s">
        <v>283</v>
      </c>
      <c r="E97" s="124">
        <v>45</v>
      </c>
      <c r="F97" s="124">
        <v>15</v>
      </c>
      <c r="G97" s="124">
        <v>0</v>
      </c>
      <c r="H97" s="124">
        <v>0</v>
      </c>
      <c r="I97" s="124">
        <v>60</v>
      </c>
      <c r="J97" s="124" t="s">
        <v>24</v>
      </c>
      <c r="L97" s="124" t="b">
        <v>0</v>
      </c>
      <c r="V97" s="124" t="b">
        <v>0</v>
      </c>
      <c r="W97" s="124" t="b">
        <v>0</v>
      </c>
    </row>
    <row r="98" spans="1:23" x14ac:dyDescent="0.25">
      <c r="A98" s="124">
        <v>97</v>
      </c>
      <c r="B98" s="124" t="s">
        <v>284</v>
      </c>
      <c r="C98" s="124" t="s">
        <v>285</v>
      </c>
      <c r="E98" s="124">
        <v>30</v>
      </c>
      <c r="F98" s="124">
        <v>15</v>
      </c>
      <c r="G98" s="124">
        <v>0</v>
      </c>
      <c r="H98" s="124">
        <v>0</v>
      </c>
      <c r="I98" s="124">
        <v>45</v>
      </c>
      <c r="J98" s="124" t="s">
        <v>24</v>
      </c>
      <c r="L98" s="124" t="b">
        <v>0</v>
      </c>
      <c r="V98" s="124" t="b">
        <v>0</v>
      </c>
      <c r="W98" s="124" t="b">
        <v>1</v>
      </c>
    </row>
    <row r="99" spans="1:23" x14ac:dyDescent="0.25">
      <c r="A99" s="124">
        <v>98</v>
      </c>
      <c r="B99" s="124" t="s">
        <v>286</v>
      </c>
      <c r="C99" s="124" t="s">
        <v>287</v>
      </c>
      <c r="E99" s="124">
        <v>60</v>
      </c>
      <c r="F99" s="124">
        <v>0</v>
      </c>
      <c r="G99" s="124">
        <v>0</v>
      </c>
      <c r="H99" s="124">
        <v>0</v>
      </c>
      <c r="I99" s="124">
        <v>60</v>
      </c>
      <c r="J99" s="124" t="s">
        <v>24</v>
      </c>
      <c r="L99" s="124" t="b">
        <v>0</v>
      </c>
      <c r="T99" s="124" t="s">
        <v>288</v>
      </c>
      <c r="V99" s="124" t="b">
        <v>0</v>
      </c>
      <c r="W99" s="124" t="b">
        <v>0</v>
      </c>
    </row>
    <row r="100" spans="1:23" x14ac:dyDescent="0.25">
      <c r="A100" s="124">
        <v>99</v>
      </c>
      <c r="B100" s="124" t="s">
        <v>289</v>
      </c>
      <c r="C100" s="124" t="s">
        <v>290</v>
      </c>
      <c r="E100" s="124">
        <v>30</v>
      </c>
      <c r="F100" s="124">
        <v>30</v>
      </c>
      <c r="G100" s="124">
        <v>0</v>
      </c>
      <c r="H100" s="124">
        <v>0</v>
      </c>
      <c r="I100" s="124">
        <v>60</v>
      </c>
      <c r="J100" s="124" t="s">
        <v>24</v>
      </c>
      <c r="L100" s="124" t="b">
        <v>0</v>
      </c>
      <c r="V100" s="124" t="b">
        <v>0</v>
      </c>
      <c r="W100" s="124" t="b">
        <v>0</v>
      </c>
    </row>
    <row r="101" spans="1:23" x14ac:dyDescent="0.25">
      <c r="A101" s="124">
        <v>100</v>
      </c>
      <c r="B101" s="124" t="s">
        <v>291</v>
      </c>
      <c r="C101" s="124" t="s">
        <v>292</v>
      </c>
      <c r="E101" s="124">
        <v>60</v>
      </c>
      <c r="F101" s="124">
        <v>0</v>
      </c>
      <c r="G101" s="124">
        <v>0</v>
      </c>
      <c r="H101" s="124">
        <v>0</v>
      </c>
      <c r="I101" s="124">
        <v>60</v>
      </c>
      <c r="J101" s="124" t="s">
        <v>24</v>
      </c>
      <c r="L101" s="124" t="b">
        <v>0</v>
      </c>
      <c r="V101" s="124" t="b">
        <v>0</v>
      </c>
      <c r="W101" s="124" t="b">
        <v>0</v>
      </c>
    </row>
    <row r="102" spans="1:23" x14ac:dyDescent="0.25">
      <c r="A102" s="124">
        <v>101</v>
      </c>
      <c r="B102" s="124" t="s">
        <v>293</v>
      </c>
      <c r="C102" s="124" t="s">
        <v>292</v>
      </c>
      <c r="E102" s="124">
        <v>60</v>
      </c>
      <c r="F102" s="124">
        <v>0</v>
      </c>
      <c r="G102" s="124">
        <v>0</v>
      </c>
      <c r="H102" s="124">
        <v>0</v>
      </c>
      <c r="I102" s="124">
        <v>60</v>
      </c>
      <c r="J102" s="124" t="s">
        <v>24</v>
      </c>
      <c r="L102" s="124" t="b">
        <v>0</v>
      </c>
      <c r="T102" s="124" t="s">
        <v>294</v>
      </c>
      <c r="V102" s="124" t="b">
        <v>0</v>
      </c>
      <c r="W102" s="124" t="b">
        <v>0</v>
      </c>
    </row>
    <row r="103" spans="1:23" x14ac:dyDescent="0.25">
      <c r="A103" s="124">
        <v>102</v>
      </c>
      <c r="B103" s="124" t="s">
        <v>295</v>
      </c>
      <c r="C103" s="124" t="s">
        <v>296</v>
      </c>
      <c r="E103" s="124">
        <v>30</v>
      </c>
      <c r="F103" s="124">
        <v>15</v>
      </c>
      <c r="G103" s="124">
        <v>0</v>
      </c>
      <c r="H103" s="124">
        <v>0</v>
      </c>
      <c r="I103" s="124">
        <v>45</v>
      </c>
      <c r="J103" s="124" t="s">
        <v>24</v>
      </c>
      <c r="L103" s="124" t="b">
        <v>0</v>
      </c>
      <c r="V103" s="124" t="b">
        <v>0</v>
      </c>
      <c r="W103" s="124" t="b">
        <v>0</v>
      </c>
    </row>
    <row r="104" spans="1:23" x14ac:dyDescent="0.25">
      <c r="A104" s="124">
        <v>103</v>
      </c>
      <c r="B104" s="124" t="s">
        <v>297</v>
      </c>
      <c r="C104" s="124" t="s">
        <v>298</v>
      </c>
      <c r="I104" s="124">
        <v>30</v>
      </c>
      <c r="J104" s="124" t="s">
        <v>24</v>
      </c>
      <c r="L104" s="124" t="b">
        <v>1</v>
      </c>
      <c r="V104" s="124" t="b">
        <v>0</v>
      </c>
      <c r="W104" s="124" t="b">
        <v>1</v>
      </c>
    </row>
    <row r="105" spans="1:23" x14ac:dyDescent="0.25">
      <c r="A105" s="124">
        <v>104</v>
      </c>
      <c r="B105" s="124" t="s">
        <v>299</v>
      </c>
      <c r="C105" s="124" t="s">
        <v>300</v>
      </c>
      <c r="I105" s="124">
        <v>45</v>
      </c>
      <c r="J105" s="124" t="s">
        <v>24</v>
      </c>
      <c r="L105" s="124" t="b">
        <v>1</v>
      </c>
      <c r="V105" s="124" t="b">
        <v>0</v>
      </c>
      <c r="W105" s="124" t="b">
        <v>1</v>
      </c>
    </row>
    <row r="106" spans="1:23" x14ac:dyDescent="0.25">
      <c r="A106" s="124">
        <v>105</v>
      </c>
      <c r="B106" s="124" t="s">
        <v>301</v>
      </c>
      <c r="C106" s="124" t="s">
        <v>302</v>
      </c>
      <c r="I106" s="124">
        <v>60</v>
      </c>
      <c r="J106" s="124" t="s">
        <v>24</v>
      </c>
      <c r="L106" s="124" t="b">
        <v>1</v>
      </c>
      <c r="V106" s="124" t="b">
        <v>0</v>
      </c>
      <c r="W106" s="124" t="b">
        <v>1</v>
      </c>
    </row>
    <row r="107" spans="1:23" x14ac:dyDescent="0.25">
      <c r="A107" s="124">
        <v>106</v>
      </c>
      <c r="B107" s="124" t="s">
        <v>303</v>
      </c>
      <c r="C107" s="124" t="s">
        <v>304</v>
      </c>
      <c r="I107" s="124">
        <v>75</v>
      </c>
      <c r="J107" s="124" t="s">
        <v>24</v>
      </c>
      <c r="L107" s="124" t="b">
        <v>1</v>
      </c>
      <c r="V107" s="124" t="b">
        <v>0</v>
      </c>
      <c r="W107" s="124" t="b">
        <v>1</v>
      </c>
    </row>
    <row r="108" spans="1:23" x14ac:dyDescent="0.25">
      <c r="A108" s="124">
        <v>107</v>
      </c>
      <c r="B108" s="124" t="s">
        <v>305</v>
      </c>
      <c r="C108" s="124" t="s">
        <v>306</v>
      </c>
      <c r="E108" s="124">
        <v>30</v>
      </c>
      <c r="F108" s="124">
        <v>30</v>
      </c>
      <c r="G108" s="124">
        <v>0</v>
      </c>
      <c r="H108" s="124">
        <v>0</v>
      </c>
      <c r="I108" s="124">
        <v>60</v>
      </c>
      <c r="J108" s="124" t="s">
        <v>24</v>
      </c>
      <c r="L108" s="124" t="b">
        <v>0</v>
      </c>
      <c r="T108" s="124" t="s">
        <v>294</v>
      </c>
      <c r="V108" s="124" t="b">
        <v>0</v>
      </c>
      <c r="W108" s="124" t="b">
        <v>0</v>
      </c>
    </row>
    <row r="109" spans="1:23" x14ac:dyDescent="0.25">
      <c r="A109" s="124">
        <v>108</v>
      </c>
      <c r="B109" s="124" t="s">
        <v>307</v>
      </c>
      <c r="C109" s="124" t="s">
        <v>308</v>
      </c>
      <c r="E109" s="124">
        <v>30</v>
      </c>
      <c r="F109" s="124">
        <v>30</v>
      </c>
      <c r="G109" s="124">
        <v>0</v>
      </c>
      <c r="H109" s="124">
        <v>0</v>
      </c>
      <c r="I109" s="124">
        <v>60</v>
      </c>
      <c r="J109" s="124" t="s">
        <v>24</v>
      </c>
      <c r="L109" s="124" t="b">
        <v>0</v>
      </c>
      <c r="V109" s="124" t="b">
        <v>0</v>
      </c>
      <c r="W109" s="124" t="b">
        <v>0</v>
      </c>
    </row>
    <row r="110" spans="1:23" x14ac:dyDescent="0.25">
      <c r="A110" s="124">
        <v>109</v>
      </c>
      <c r="B110" s="124" t="s">
        <v>309</v>
      </c>
      <c r="C110" s="124" t="s">
        <v>310</v>
      </c>
      <c r="E110" s="124">
        <v>60</v>
      </c>
      <c r="F110" s="124">
        <v>0</v>
      </c>
      <c r="G110" s="124">
        <v>0</v>
      </c>
      <c r="H110" s="124">
        <v>0</v>
      </c>
      <c r="I110" s="124">
        <v>60</v>
      </c>
      <c r="J110" s="124" t="s">
        <v>24</v>
      </c>
      <c r="L110" s="124" t="b">
        <v>0</v>
      </c>
      <c r="V110" s="124" t="b">
        <v>0</v>
      </c>
      <c r="W110" s="124" t="b">
        <v>0</v>
      </c>
    </row>
    <row r="111" spans="1:23" x14ac:dyDescent="0.25">
      <c r="A111" s="124">
        <v>110</v>
      </c>
      <c r="B111" s="124" t="s">
        <v>311</v>
      </c>
      <c r="C111" s="124" t="s">
        <v>310</v>
      </c>
      <c r="E111" s="124">
        <v>60</v>
      </c>
      <c r="F111" s="124">
        <v>0</v>
      </c>
      <c r="G111" s="124">
        <v>0</v>
      </c>
      <c r="H111" s="124">
        <v>0</v>
      </c>
      <c r="I111" s="124">
        <v>60</v>
      </c>
      <c r="J111" s="124" t="s">
        <v>24</v>
      </c>
      <c r="L111" s="124" t="b">
        <v>0</v>
      </c>
      <c r="V111" s="124" t="b">
        <v>0</v>
      </c>
      <c r="W111" s="124" t="b">
        <v>0</v>
      </c>
    </row>
    <row r="112" spans="1:23" x14ac:dyDescent="0.25">
      <c r="A112" s="124">
        <v>111</v>
      </c>
      <c r="B112" s="124" t="s">
        <v>312</v>
      </c>
      <c r="C112" s="124" t="s">
        <v>313</v>
      </c>
      <c r="D112" s="124">
        <v>6</v>
      </c>
      <c r="E112" s="124">
        <v>45</v>
      </c>
      <c r="F112" s="124">
        <v>15</v>
      </c>
      <c r="G112" s="124">
        <v>0</v>
      </c>
      <c r="H112" s="124">
        <v>0</v>
      </c>
      <c r="I112" s="124">
        <v>60</v>
      </c>
      <c r="J112" s="124" t="s">
        <v>24</v>
      </c>
      <c r="K112" s="124" t="s">
        <v>40</v>
      </c>
      <c r="L112" s="124" t="b">
        <v>1</v>
      </c>
      <c r="P112" s="124" t="s">
        <v>271</v>
      </c>
      <c r="R112" s="124" t="s">
        <v>67</v>
      </c>
      <c r="T112" s="124" t="s">
        <v>314</v>
      </c>
      <c r="V112" s="124" t="b">
        <v>1</v>
      </c>
      <c r="W112" s="124" t="b">
        <v>0</v>
      </c>
    </row>
    <row r="113" spans="1:23" x14ac:dyDescent="0.25">
      <c r="A113" s="124">
        <v>112</v>
      </c>
      <c r="B113" s="124" t="s">
        <v>315</v>
      </c>
      <c r="C113" s="124" t="s">
        <v>316</v>
      </c>
      <c r="D113" s="124">
        <v>3</v>
      </c>
      <c r="E113" s="124">
        <v>30</v>
      </c>
      <c r="F113" s="124">
        <v>15</v>
      </c>
      <c r="G113" s="124">
        <v>0</v>
      </c>
      <c r="H113" s="124">
        <v>0</v>
      </c>
      <c r="I113" s="124">
        <v>45</v>
      </c>
      <c r="J113" s="124" t="s">
        <v>24</v>
      </c>
      <c r="K113" s="124" t="s">
        <v>40</v>
      </c>
      <c r="L113" s="124" t="b">
        <v>1</v>
      </c>
      <c r="N113" s="124" t="s">
        <v>317</v>
      </c>
      <c r="R113" s="124" t="s">
        <v>43</v>
      </c>
      <c r="T113" s="124" t="s">
        <v>318</v>
      </c>
      <c r="V113" s="124" t="b">
        <v>1</v>
      </c>
      <c r="W113" s="124" t="b">
        <v>1</v>
      </c>
    </row>
    <row r="114" spans="1:23" x14ac:dyDescent="0.25">
      <c r="A114" s="124">
        <v>113</v>
      </c>
      <c r="B114" s="124" t="s">
        <v>319</v>
      </c>
      <c r="C114" s="124" t="s">
        <v>316</v>
      </c>
      <c r="E114" s="124">
        <v>30</v>
      </c>
      <c r="F114" s="124">
        <v>30</v>
      </c>
      <c r="G114" s="124">
        <v>0</v>
      </c>
      <c r="H114" s="124">
        <v>0</v>
      </c>
      <c r="I114" s="124">
        <v>60</v>
      </c>
      <c r="J114" s="124" t="s">
        <v>24</v>
      </c>
      <c r="L114" s="124" t="b">
        <v>1</v>
      </c>
      <c r="N114" s="124" t="s">
        <v>320</v>
      </c>
      <c r="V114" s="124" t="b">
        <v>0</v>
      </c>
      <c r="W114" s="124" t="b">
        <v>0</v>
      </c>
    </row>
    <row r="115" spans="1:23" x14ac:dyDescent="0.25">
      <c r="A115" s="124">
        <v>114</v>
      </c>
      <c r="B115" s="124" t="s">
        <v>321</v>
      </c>
      <c r="C115" s="124" t="s">
        <v>322</v>
      </c>
      <c r="E115" s="124">
        <v>30</v>
      </c>
      <c r="F115" s="124">
        <v>30</v>
      </c>
      <c r="G115" s="124">
        <v>0</v>
      </c>
      <c r="H115" s="124">
        <v>0</v>
      </c>
      <c r="I115" s="124">
        <v>60</v>
      </c>
      <c r="J115" s="124" t="s">
        <v>24</v>
      </c>
      <c r="L115" s="124" t="b">
        <v>0</v>
      </c>
      <c r="V115" s="124" t="b">
        <v>0</v>
      </c>
      <c r="W115" s="124" t="b">
        <v>0</v>
      </c>
    </row>
    <row r="116" spans="1:23" x14ac:dyDescent="0.25">
      <c r="A116" s="124">
        <v>115</v>
      </c>
      <c r="B116" s="124" t="s">
        <v>323</v>
      </c>
      <c r="C116" s="124" t="s">
        <v>324</v>
      </c>
      <c r="E116" s="124">
        <v>30</v>
      </c>
      <c r="F116" s="124">
        <v>15</v>
      </c>
      <c r="G116" s="124">
        <v>0</v>
      </c>
      <c r="H116" s="124">
        <v>0</v>
      </c>
      <c r="I116" s="124">
        <v>45</v>
      </c>
      <c r="J116" s="124" t="s">
        <v>24</v>
      </c>
      <c r="L116" s="124" t="b">
        <v>0</v>
      </c>
      <c r="V116" s="124" t="b">
        <v>0</v>
      </c>
      <c r="W116" s="124" t="b">
        <v>0</v>
      </c>
    </row>
    <row r="117" spans="1:23" x14ac:dyDescent="0.25">
      <c r="A117" s="124">
        <v>116</v>
      </c>
      <c r="B117" s="124" t="s">
        <v>325</v>
      </c>
      <c r="C117" s="124" t="s">
        <v>326</v>
      </c>
      <c r="D117" s="124">
        <v>3</v>
      </c>
      <c r="E117" s="124">
        <v>30</v>
      </c>
      <c r="F117" s="124">
        <v>30</v>
      </c>
      <c r="G117" s="124">
        <v>0</v>
      </c>
      <c r="H117" s="124">
        <v>0</v>
      </c>
      <c r="I117" s="124">
        <v>60</v>
      </c>
      <c r="J117" s="124" t="s">
        <v>24</v>
      </c>
      <c r="K117" s="124" t="s">
        <v>40</v>
      </c>
      <c r="L117" s="124" t="b">
        <v>1</v>
      </c>
      <c r="P117" s="124" t="s">
        <v>71</v>
      </c>
      <c r="R117" s="124" t="s">
        <v>96</v>
      </c>
      <c r="T117" s="124" t="s">
        <v>327</v>
      </c>
      <c r="V117" s="124" t="b">
        <v>1</v>
      </c>
      <c r="W117" s="124" t="b">
        <v>1</v>
      </c>
    </row>
    <row r="118" spans="1:23" x14ac:dyDescent="0.25">
      <c r="A118" s="124">
        <v>117</v>
      </c>
      <c r="B118" s="124" t="s">
        <v>328</v>
      </c>
      <c r="C118" s="124" t="s">
        <v>329</v>
      </c>
      <c r="E118" s="124">
        <v>30</v>
      </c>
      <c r="F118" s="124">
        <v>30</v>
      </c>
      <c r="G118" s="124">
        <v>0</v>
      </c>
      <c r="H118" s="124">
        <v>0</v>
      </c>
      <c r="I118" s="124">
        <v>60</v>
      </c>
      <c r="J118" s="124" t="s">
        <v>24</v>
      </c>
      <c r="L118" s="124" t="b">
        <v>0</v>
      </c>
      <c r="V118" s="124" t="b">
        <v>0</v>
      </c>
      <c r="W118" s="124" t="b">
        <v>0</v>
      </c>
    </row>
    <row r="119" spans="1:23" x14ac:dyDescent="0.25">
      <c r="A119" s="124">
        <v>118</v>
      </c>
      <c r="B119" s="124" t="s">
        <v>330</v>
      </c>
      <c r="C119" s="124" t="s">
        <v>331</v>
      </c>
      <c r="E119" s="124">
        <v>30</v>
      </c>
      <c r="F119" s="124">
        <v>30</v>
      </c>
      <c r="G119" s="124">
        <v>0</v>
      </c>
      <c r="H119" s="124">
        <v>0</v>
      </c>
      <c r="I119" s="124">
        <v>60</v>
      </c>
      <c r="J119" s="124" t="s">
        <v>24</v>
      </c>
      <c r="L119" s="124" t="b">
        <v>0</v>
      </c>
      <c r="V119" s="124" t="b">
        <v>0</v>
      </c>
      <c r="W119" s="124" t="b">
        <v>0</v>
      </c>
    </row>
    <row r="120" spans="1:23" x14ac:dyDescent="0.25">
      <c r="A120" s="124">
        <v>119</v>
      </c>
      <c r="B120" s="124" t="s">
        <v>332</v>
      </c>
      <c r="C120" s="124" t="s">
        <v>333</v>
      </c>
      <c r="E120" s="124">
        <v>60</v>
      </c>
      <c r="F120" s="124">
        <v>0</v>
      </c>
      <c r="G120" s="124">
        <v>0</v>
      </c>
      <c r="H120" s="124">
        <v>0</v>
      </c>
      <c r="I120" s="124">
        <v>60</v>
      </c>
      <c r="J120" s="124" t="s">
        <v>24</v>
      </c>
      <c r="L120" s="124" t="b">
        <v>0</v>
      </c>
      <c r="V120" s="124" t="b">
        <v>0</v>
      </c>
      <c r="W120" s="124" t="b">
        <v>0</v>
      </c>
    </row>
    <row r="121" spans="1:23" x14ac:dyDescent="0.25">
      <c r="A121" s="124">
        <v>120</v>
      </c>
      <c r="B121" s="124" t="s">
        <v>71</v>
      </c>
      <c r="C121" s="124" t="s">
        <v>334</v>
      </c>
      <c r="D121" s="124">
        <v>2</v>
      </c>
      <c r="E121" s="124">
        <v>30</v>
      </c>
      <c r="F121" s="124">
        <v>30</v>
      </c>
      <c r="G121" s="124">
        <v>0</v>
      </c>
      <c r="H121" s="124">
        <v>0</v>
      </c>
      <c r="I121" s="124">
        <v>60</v>
      </c>
      <c r="J121" s="124" t="s">
        <v>24</v>
      </c>
      <c r="K121" s="124" t="s">
        <v>40</v>
      </c>
      <c r="L121" s="124" t="b">
        <v>1</v>
      </c>
      <c r="N121" s="124" t="s">
        <v>201</v>
      </c>
      <c r="P121" s="124" t="s">
        <v>335</v>
      </c>
      <c r="R121" s="124" t="s">
        <v>43</v>
      </c>
      <c r="T121" s="124" t="s">
        <v>336</v>
      </c>
      <c r="V121" s="124" t="b">
        <v>1</v>
      </c>
      <c r="W121" s="124" t="b">
        <v>1</v>
      </c>
    </row>
    <row r="122" spans="1:23" x14ac:dyDescent="0.25">
      <c r="A122" s="124">
        <v>121</v>
      </c>
      <c r="B122" s="124" t="s">
        <v>335</v>
      </c>
      <c r="C122" s="124" t="s">
        <v>337</v>
      </c>
      <c r="D122" s="124">
        <v>1</v>
      </c>
      <c r="E122" s="124">
        <v>30</v>
      </c>
      <c r="F122" s="124">
        <v>30</v>
      </c>
      <c r="G122" s="124">
        <v>0</v>
      </c>
      <c r="H122" s="124">
        <v>0</v>
      </c>
      <c r="I122" s="124">
        <v>60</v>
      </c>
      <c r="J122" s="124" t="s">
        <v>24</v>
      </c>
      <c r="K122" s="124" t="s">
        <v>40</v>
      </c>
      <c r="L122" s="124" t="b">
        <v>1</v>
      </c>
      <c r="N122" s="124" t="s">
        <v>338</v>
      </c>
      <c r="R122" s="124" t="s">
        <v>43</v>
      </c>
      <c r="T122" s="124" t="s">
        <v>336</v>
      </c>
      <c r="V122" s="124" t="b">
        <v>1</v>
      </c>
      <c r="W122" s="124" t="b">
        <v>1</v>
      </c>
    </row>
    <row r="123" spans="1:23" x14ac:dyDescent="0.25">
      <c r="A123" s="124">
        <v>122</v>
      </c>
      <c r="B123" s="124" t="s">
        <v>339</v>
      </c>
      <c r="C123" s="124" t="s">
        <v>340</v>
      </c>
      <c r="D123" s="124">
        <v>5</v>
      </c>
      <c r="E123" s="124">
        <v>30</v>
      </c>
      <c r="F123" s="124">
        <v>15</v>
      </c>
      <c r="G123" s="124">
        <v>0</v>
      </c>
      <c r="H123" s="124">
        <v>0</v>
      </c>
      <c r="I123" s="124">
        <v>45</v>
      </c>
      <c r="J123" s="124" t="s">
        <v>24</v>
      </c>
      <c r="K123" s="124" t="s">
        <v>40</v>
      </c>
      <c r="L123" s="124" t="b">
        <v>0</v>
      </c>
      <c r="P123" s="124" t="s">
        <v>94</v>
      </c>
      <c r="R123" s="124" t="s">
        <v>96</v>
      </c>
      <c r="V123" s="124" t="b">
        <v>0</v>
      </c>
      <c r="W123" s="124" t="b">
        <v>1</v>
      </c>
    </row>
    <row r="124" spans="1:23" x14ac:dyDescent="0.25">
      <c r="A124" s="124">
        <v>123</v>
      </c>
      <c r="B124" s="124" t="s">
        <v>341</v>
      </c>
      <c r="C124" s="124" t="s">
        <v>342</v>
      </c>
      <c r="E124" s="124">
        <v>45</v>
      </c>
      <c r="F124" s="124">
        <v>15</v>
      </c>
      <c r="G124" s="124">
        <v>0</v>
      </c>
      <c r="H124" s="124">
        <v>0</v>
      </c>
      <c r="I124" s="124">
        <v>60</v>
      </c>
      <c r="J124" s="124" t="s">
        <v>24</v>
      </c>
      <c r="L124" s="124" t="b">
        <v>0</v>
      </c>
      <c r="V124" s="124" t="b">
        <v>0</v>
      </c>
      <c r="W124" s="124" t="b">
        <v>0</v>
      </c>
    </row>
    <row r="125" spans="1:23" x14ac:dyDescent="0.25">
      <c r="A125" s="124">
        <v>124</v>
      </c>
      <c r="B125" s="124" t="s">
        <v>343</v>
      </c>
      <c r="C125" s="124" t="s">
        <v>344</v>
      </c>
      <c r="D125" s="124">
        <v>8</v>
      </c>
      <c r="E125" s="124">
        <v>0</v>
      </c>
      <c r="F125" s="124">
        <v>45</v>
      </c>
      <c r="G125" s="124">
        <v>0</v>
      </c>
      <c r="H125" s="124">
        <v>0</v>
      </c>
      <c r="I125" s="124">
        <v>45</v>
      </c>
      <c r="J125" s="124" t="s">
        <v>24</v>
      </c>
      <c r="K125" s="124" t="s">
        <v>40</v>
      </c>
      <c r="L125" s="124" t="b">
        <v>0</v>
      </c>
      <c r="P125" s="124" t="s">
        <v>345</v>
      </c>
      <c r="R125" s="124" t="s">
        <v>48</v>
      </c>
      <c r="V125" s="124" t="b">
        <v>0</v>
      </c>
      <c r="W125" s="124" t="b">
        <v>1</v>
      </c>
    </row>
    <row r="126" spans="1:23" x14ac:dyDescent="0.25">
      <c r="A126" s="124">
        <v>125</v>
      </c>
      <c r="B126" s="124" t="s">
        <v>346</v>
      </c>
      <c r="C126" s="124" t="s">
        <v>347</v>
      </c>
      <c r="E126" s="124">
        <v>0</v>
      </c>
      <c r="F126" s="124">
        <v>45</v>
      </c>
      <c r="G126" s="124">
        <v>0</v>
      </c>
      <c r="H126" s="124">
        <v>0</v>
      </c>
      <c r="I126" s="124">
        <v>45</v>
      </c>
      <c r="J126" s="124" t="s">
        <v>24</v>
      </c>
      <c r="L126" s="124" t="b">
        <v>0</v>
      </c>
      <c r="T126" s="124" t="s">
        <v>348</v>
      </c>
      <c r="V126" s="124" t="b">
        <v>0</v>
      </c>
      <c r="W126" s="124" t="b">
        <v>1</v>
      </c>
    </row>
    <row r="127" spans="1:23" x14ac:dyDescent="0.25">
      <c r="A127" s="124">
        <v>126</v>
      </c>
      <c r="B127" s="124" t="s">
        <v>349</v>
      </c>
      <c r="C127" s="124" t="s">
        <v>350</v>
      </c>
      <c r="D127" s="124">
        <v>6</v>
      </c>
      <c r="E127" s="124">
        <v>45</v>
      </c>
      <c r="F127" s="124">
        <v>15</v>
      </c>
      <c r="G127" s="124">
        <v>0</v>
      </c>
      <c r="H127" s="124">
        <v>0</v>
      </c>
      <c r="I127" s="124">
        <v>60</v>
      </c>
      <c r="J127" s="124" t="s">
        <v>24</v>
      </c>
      <c r="K127" s="124" t="s">
        <v>40</v>
      </c>
      <c r="L127" s="124" t="b">
        <v>1</v>
      </c>
      <c r="P127" s="124" t="s">
        <v>351</v>
      </c>
      <c r="R127" s="124" t="s">
        <v>48</v>
      </c>
      <c r="T127" s="124" t="s">
        <v>352</v>
      </c>
      <c r="V127" s="124" t="b">
        <v>1</v>
      </c>
      <c r="W127" s="124" t="b">
        <v>0</v>
      </c>
    </row>
    <row r="128" spans="1:23" x14ac:dyDescent="0.25">
      <c r="A128" s="124">
        <v>127</v>
      </c>
      <c r="B128" s="124" t="s">
        <v>353</v>
      </c>
      <c r="C128" s="124" t="s">
        <v>354</v>
      </c>
      <c r="D128" s="124">
        <v>7</v>
      </c>
      <c r="E128" s="124">
        <v>45</v>
      </c>
      <c r="F128" s="124">
        <v>15</v>
      </c>
      <c r="G128" s="124">
        <v>0</v>
      </c>
      <c r="H128" s="124">
        <v>0</v>
      </c>
      <c r="I128" s="124">
        <v>60</v>
      </c>
      <c r="J128" s="124" t="s">
        <v>24</v>
      </c>
      <c r="K128" s="124" t="s">
        <v>40</v>
      </c>
      <c r="L128" s="124" t="b">
        <v>1</v>
      </c>
      <c r="P128" s="124" t="s">
        <v>349</v>
      </c>
      <c r="R128" s="124" t="s">
        <v>48</v>
      </c>
      <c r="T128" s="124" t="s">
        <v>352</v>
      </c>
      <c r="V128" s="124" t="b">
        <v>1</v>
      </c>
      <c r="W128" s="124" t="b">
        <v>0</v>
      </c>
    </row>
    <row r="129" spans="1:23" x14ac:dyDescent="0.25">
      <c r="A129" s="124">
        <v>128</v>
      </c>
      <c r="B129" s="124" t="s">
        <v>355</v>
      </c>
      <c r="C129" s="124" t="s">
        <v>356</v>
      </c>
      <c r="E129" s="124">
        <v>45</v>
      </c>
      <c r="F129" s="124">
        <v>15</v>
      </c>
      <c r="G129" s="124">
        <v>0</v>
      </c>
      <c r="H129" s="124">
        <v>0</v>
      </c>
      <c r="I129" s="124">
        <v>60</v>
      </c>
      <c r="J129" s="124" t="s">
        <v>24</v>
      </c>
      <c r="L129" s="124" t="b">
        <v>0</v>
      </c>
      <c r="V129" s="124" t="b">
        <v>0</v>
      </c>
      <c r="W129" s="124" t="b">
        <v>0</v>
      </c>
    </row>
    <row r="130" spans="1:23" x14ac:dyDescent="0.25">
      <c r="A130" s="124">
        <v>129</v>
      </c>
      <c r="B130" s="124" t="s">
        <v>357</v>
      </c>
      <c r="C130" s="124" t="s">
        <v>358</v>
      </c>
      <c r="E130" s="124">
        <v>60</v>
      </c>
      <c r="F130" s="124">
        <v>15</v>
      </c>
      <c r="G130" s="124">
        <v>0</v>
      </c>
      <c r="H130" s="124">
        <v>0</v>
      </c>
      <c r="I130" s="124">
        <v>75</v>
      </c>
      <c r="J130" s="124" t="s">
        <v>24</v>
      </c>
      <c r="L130" s="124" t="b">
        <v>1</v>
      </c>
      <c r="N130" s="124" t="s">
        <v>55</v>
      </c>
      <c r="V130" s="124" t="b">
        <v>0</v>
      </c>
      <c r="W130" s="124" t="b">
        <v>0</v>
      </c>
    </row>
    <row r="131" spans="1:23" x14ac:dyDescent="0.25">
      <c r="A131" s="124">
        <v>130</v>
      </c>
      <c r="B131" s="124" t="s">
        <v>359</v>
      </c>
      <c r="C131" s="124" t="s">
        <v>360</v>
      </c>
      <c r="E131" s="124">
        <v>30</v>
      </c>
      <c r="F131" s="124">
        <v>60</v>
      </c>
      <c r="G131" s="124">
        <v>0</v>
      </c>
      <c r="H131" s="124">
        <v>0</v>
      </c>
      <c r="I131" s="124">
        <v>90</v>
      </c>
      <c r="J131" s="124" t="s">
        <v>24</v>
      </c>
      <c r="L131" s="124" t="b">
        <v>1</v>
      </c>
      <c r="N131" s="124" t="s">
        <v>58</v>
      </c>
      <c r="V131" s="124" t="b">
        <v>0</v>
      </c>
      <c r="W131" s="124" t="b">
        <v>0</v>
      </c>
    </row>
    <row r="132" spans="1:23" x14ac:dyDescent="0.25">
      <c r="A132" s="124">
        <v>131</v>
      </c>
      <c r="B132" s="124" t="s">
        <v>361</v>
      </c>
      <c r="C132" s="124" t="s">
        <v>362</v>
      </c>
      <c r="E132" s="124">
        <v>30</v>
      </c>
      <c r="F132" s="124">
        <v>15</v>
      </c>
      <c r="G132" s="124">
        <v>0</v>
      </c>
      <c r="H132" s="124">
        <v>0</v>
      </c>
      <c r="I132" s="124">
        <v>45</v>
      </c>
      <c r="J132" s="124" t="s">
        <v>24</v>
      </c>
      <c r="L132" s="124" t="b">
        <v>0</v>
      </c>
      <c r="V132" s="124" t="b">
        <v>0</v>
      </c>
      <c r="W132" s="124" t="b">
        <v>0</v>
      </c>
    </row>
    <row r="133" spans="1:23" x14ac:dyDescent="0.25">
      <c r="A133" s="124">
        <v>132</v>
      </c>
      <c r="B133" s="124" t="s">
        <v>363</v>
      </c>
      <c r="C133" s="124" t="s">
        <v>364</v>
      </c>
      <c r="E133" s="124">
        <v>0</v>
      </c>
      <c r="F133" s="124">
        <v>45</v>
      </c>
      <c r="G133" s="124">
        <v>0</v>
      </c>
      <c r="H133" s="124">
        <v>0</v>
      </c>
      <c r="I133" s="124">
        <v>45</v>
      </c>
      <c r="J133" s="124" t="s">
        <v>24</v>
      </c>
      <c r="L133" s="124" t="b">
        <v>0</v>
      </c>
      <c r="V133" s="124" t="b">
        <v>0</v>
      </c>
      <c r="W133" s="124" t="b">
        <v>1</v>
      </c>
    </row>
    <row r="134" spans="1:23" x14ac:dyDescent="0.25">
      <c r="A134" s="124">
        <v>133</v>
      </c>
      <c r="B134" s="124" t="s">
        <v>365</v>
      </c>
      <c r="C134" s="124" t="s">
        <v>366</v>
      </c>
      <c r="E134" s="124">
        <v>0</v>
      </c>
      <c r="F134" s="124">
        <v>45</v>
      </c>
      <c r="G134" s="124">
        <v>0</v>
      </c>
      <c r="H134" s="124">
        <v>0</v>
      </c>
      <c r="I134" s="124">
        <v>45</v>
      </c>
      <c r="J134" s="124" t="s">
        <v>24</v>
      </c>
      <c r="L134" s="124" t="b">
        <v>0</v>
      </c>
      <c r="V134" s="124" t="b">
        <v>0</v>
      </c>
      <c r="W134" s="124" t="b">
        <v>1</v>
      </c>
    </row>
    <row r="135" spans="1:23" x14ac:dyDescent="0.25">
      <c r="A135" s="124">
        <v>134</v>
      </c>
      <c r="B135" s="124" t="s">
        <v>367</v>
      </c>
      <c r="C135" s="124" t="s">
        <v>368</v>
      </c>
      <c r="E135" s="124">
        <v>45</v>
      </c>
      <c r="F135" s="124">
        <v>15</v>
      </c>
      <c r="G135" s="124">
        <v>0</v>
      </c>
      <c r="H135" s="124">
        <v>0</v>
      </c>
      <c r="I135" s="124">
        <v>60</v>
      </c>
      <c r="J135" s="124" t="s">
        <v>24</v>
      </c>
      <c r="L135" s="124" t="b">
        <v>0</v>
      </c>
      <c r="P135" s="124" t="s">
        <v>369</v>
      </c>
      <c r="T135" s="124" t="s">
        <v>370</v>
      </c>
      <c r="V135" s="124" t="b">
        <v>0</v>
      </c>
      <c r="W135" s="124" t="b">
        <v>0</v>
      </c>
    </row>
    <row r="136" spans="1:23" x14ac:dyDescent="0.25">
      <c r="A136" s="124">
        <v>135</v>
      </c>
      <c r="B136" s="124" t="s">
        <v>371</v>
      </c>
      <c r="C136" s="124" t="s">
        <v>372</v>
      </c>
      <c r="D136" s="124">
        <v>7</v>
      </c>
      <c r="E136" s="124">
        <v>15</v>
      </c>
      <c r="F136" s="124">
        <v>0</v>
      </c>
      <c r="G136" s="124">
        <v>30</v>
      </c>
      <c r="H136" s="124">
        <v>0</v>
      </c>
      <c r="I136" s="124">
        <v>45</v>
      </c>
      <c r="J136" s="124" t="s">
        <v>24</v>
      </c>
      <c r="K136" s="124" t="s">
        <v>40</v>
      </c>
      <c r="L136" s="124" t="b">
        <v>1</v>
      </c>
      <c r="P136" s="124" t="s">
        <v>349</v>
      </c>
      <c r="R136" s="124" t="s">
        <v>48</v>
      </c>
      <c r="T136" s="124" t="s">
        <v>373</v>
      </c>
      <c r="V136" s="124" t="b">
        <v>1</v>
      </c>
      <c r="W136" s="124" t="b">
        <v>1</v>
      </c>
    </row>
    <row r="137" spans="1:23" x14ac:dyDescent="0.25">
      <c r="A137" s="124">
        <v>136</v>
      </c>
      <c r="B137" s="124" t="s">
        <v>374</v>
      </c>
      <c r="C137" s="124" t="s">
        <v>375</v>
      </c>
      <c r="E137" s="124">
        <v>30</v>
      </c>
      <c r="F137" s="124">
        <v>15</v>
      </c>
      <c r="G137" s="124">
        <v>0</v>
      </c>
      <c r="H137" s="124">
        <v>0</v>
      </c>
      <c r="I137" s="124">
        <v>45</v>
      </c>
      <c r="J137" s="124" t="s">
        <v>24</v>
      </c>
      <c r="L137" s="124" t="b">
        <v>0</v>
      </c>
      <c r="V137" s="124" t="b">
        <v>0</v>
      </c>
      <c r="W137" s="124" t="b">
        <v>0</v>
      </c>
    </row>
    <row r="138" spans="1:23" x14ac:dyDescent="0.25">
      <c r="A138" s="124">
        <v>137</v>
      </c>
      <c r="B138" s="124" t="s">
        <v>376</v>
      </c>
      <c r="C138" s="124" t="s">
        <v>377</v>
      </c>
      <c r="D138" s="124">
        <v>7</v>
      </c>
      <c r="E138" s="124">
        <v>15</v>
      </c>
      <c r="F138" s="124">
        <v>30</v>
      </c>
      <c r="G138" s="124">
        <v>0</v>
      </c>
      <c r="H138" s="124">
        <v>0</v>
      </c>
      <c r="I138" s="124">
        <v>45</v>
      </c>
      <c r="J138" s="124" t="s">
        <v>24</v>
      </c>
      <c r="K138" s="124" t="s">
        <v>40</v>
      </c>
      <c r="L138" s="124" t="b">
        <v>1</v>
      </c>
      <c r="P138" s="124" t="s">
        <v>345</v>
      </c>
      <c r="R138" s="124" t="s">
        <v>48</v>
      </c>
      <c r="T138" s="124" t="s">
        <v>378</v>
      </c>
      <c r="V138" s="124" t="b">
        <v>1</v>
      </c>
      <c r="W138" s="124" t="b">
        <v>1</v>
      </c>
    </row>
    <row r="139" spans="1:23" x14ac:dyDescent="0.25">
      <c r="A139" s="124">
        <v>138</v>
      </c>
      <c r="B139" s="124" t="s">
        <v>379</v>
      </c>
      <c r="C139" s="124" t="s">
        <v>380</v>
      </c>
      <c r="E139" s="124">
        <v>60</v>
      </c>
      <c r="F139" s="124">
        <v>30</v>
      </c>
      <c r="G139" s="124">
        <v>0</v>
      </c>
      <c r="H139" s="124">
        <v>0</v>
      </c>
      <c r="I139" s="124">
        <v>90</v>
      </c>
      <c r="J139" s="124" t="s">
        <v>24</v>
      </c>
      <c r="L139" s="124" t="b">
        <v>1</v>
      </c>
      <c r="N139" s="124" t="s">
        <v>381</v>
      </c>
      <c r="V139" s="124" t="b">
        <v>0</v>
      </c>
      <c r="W139" s="124" t="b">
        <v>0</v>
      </c>
    </row>
    <row r="140" spans="1:23" x14ac:dyDescent="0.25">
      <c r="A140" s="124">
        <v>139</v>
      </c>
      <c r="B140" s="124" t="s">
        <v>171</v>
      </c>
      <c r="C140" s="124" t="s">
        <v>382</v>
      </c>
      <c r="D140" s="124">
        <v>2</v>
      </c>
      <c r="E140" s="124">
        <v>30</v>
      </c>
      <c r="F140" s="124">
        <v>0</v>
      </c>
      <c r="G140" s="124">
        <v>0</v>
      </c>
      <c r="H140" s="124">
        <v>0</v>
      </c>
      <c r="I140" s="124">
        <v>30</v>
      </c>
      <c r="J140" s="124" t="s">
        <v>24</v>
      </c>
      <c r="K140" s="124" t="s">
        <v>40</v>
      </c>
      <c r="L140" s="124" t="b">
        <v>1</v>
      </c>
      <c r="P140" s="124" t="s">
        <v>264</v>
      </c>
      <c r="R140" s="124" t="s">
        <v>67</v>
      </c>
      <c r="T140" s="124" t="s">
        <v>383</v>
      </c>
      <c r="V140" s="124" t="b">
        <v>1</v>
      </c>
      <c r="W140" s="124" t="b">
        <v>0</v>
      </c>
    </row>
    <row r="141" spans="1:23" x14ac:dyDescent="0.25">
      <c r="A141" s="124">
        <v>140</v>
      </c>
      <c r="B141" s="124" t="s">
        <v>384</v>
      </c>
      <c r="C141" s="124" t="s">
        <v>385</v>
      </c>
      <c r="D141" s="124">
        <v>2</v>
      </c>
      <c r="E141" s="124">
        <v>0</v>
      </c>
      <c r="F141" s="124">
        <v>30</v>
      </c>
      <c r="G141" s="124">
        <v>0</v>
      </c>
      <c r="H141" s="124">
        <v>0</v>
      </c>
      <c r="I141" s="124">
        <v>30</v>
      </c>
      <c r="J141" s="124" t="s">
        <v>24</v>
      </c>
      <c r="K141" s="124" t="s">
        <v>40</v>
      </c>
      <c r="L141" s="124" t="b">
        <v>1</v>
      </c>
      <c r="Q141" s="124" t="s">
        <v>171</v>
      </c>
      <c r="R141" s="124" t="s">
        <v>67</v>
      </c>
      <c r="T141" s="124" t="s">
        <v>383</v>
      </c>
      <c r="V141" s="124" t="b">
        <v>1</v>
      </c>
      <c r="W141" s="124" t="b">
        <v>0</v>
      </c>
    </row>
    <row r="142" spans="1:23" x14ac:dyDescent="0.25">
      <c r="A142" s="124">
        <v>141</v>
      </c>
      <c r="B142" s="124" t="s">
        <v>386</v>
      </c>
      <c r="C142" s="124" t="s">
        <v>387</v>
      </c>
      <c r="D142" s="124">
        <v>8</v>
      </c>
      <c r="E142" s="124">
        <v>45</v>
      </c>
      <c r="F142" s="124">
        <v>0</v>
      </c>
      <c r="G142" s="124">
        <v>0</v>
      </c>
      <c r="H142" s="124">
        <v>0</v>
      </c>
      <c r="I142" s="124">
        <v>45</v>
      </c>
      <c r="J142" s="124" t="s">
        <v>24</v>
      </c>
      <c r="K142" s="124" t="s">
        <v>40</v>
      </c>
      <c r="L142" s="124" t="b">
        <v>1</v>
      </c>
      <c r="P142" s="124" t="s">
        <v>349</v>
      </c>
      <c r="R142" s="124" t="s">
        <v>48</v>
      </c>
      <c r="T142" s="124" t="s">
        <v>388</v>
      </c>
      <c r="V142" s="124" t="b">
        <v>1</v>
      </c>
      <c r="W142" s="124" t="b">
        <v>1</v>
      </c>
    </row>
    <row r="143" spans="1:23" x14ac:dyDescent="0.25">
      <c r="A143" s="124">
        <v>142</v>
      </c>
      <c r="B143" s="124" t="s">
        <v>389</v>
      </c>
      <c r="C143" s="124" t="s">
        <v>387</v>
      </c>
      <c r="E143" s="124">
        <v>60</v>
      </c>
      <c r="F143" s="124">
        <v>0</v>
      </c>
      <c r="G143" s="124">
        <v>0</v>
      </c>
      <c r="H143" s="124">
        <v>0</v>
      </c>
      <c r="I143" s="124">
        <v>60</v>
      </c>
      <c r="J143" s="124" t="s">
        <v>24</v>
      </c>
      <c r="L143" s="124" t="b">
        <v>1</v>
      </c>
      <c r="N143" s="124" t="s">
        <v>390</v>
      </c>
      <c r="V143" s="124" t="b">
        <v>0</v>
      </c>
      <c r="W143" s="124" t="b">
        <v>0</v>
      </c>
    </row>
    <row r="144" spans="1:23" x14ac:dyDescent="0.25">
      <c r="A144" s="124">
        <v>143</v>
      </c>
      <c r="B144" s="124" t="s">
        <v>391</v>
      </c>
      <c r="C144" s="124" t="s">
        <v>387</v>
      </c>
      <c r="E144" s="124">
        <v>60</v>
      </c>
      <c r="F144" s="124">
        <v>0</v>
      </c>
      <c r="G144" s="124">
        <v>0</v>
      </c>
      <c r="H144" s="124">
        <v>0</v>
      </c>
      <c r="I144" s="124">
        <v>60</v>
      </c>
      <c r="J144" s="124" t="s">
        <v>24</v>
      </c>
      <c r="L144" s="124" t="b">
        <v>1</v>
      </c>
      <c r="N144" s="124" t="s">
        <v>390</v>
      </c>
      <c r="V144" s="124" t="b">
        <v>0</v>
      </c>
      <c r="W144" s="124" t="b">
        <v>0</v>
      </c>
    </row>
    <row r="145" spans="1:23" x14ac:dyDescent="0.25">
      <c r="A145" s="124">
        <v>144</v>
      </c>
      <c r="B145" s="124" t="s">
        <v>369</v>
      </c>
      <c r="C145" s="124" t="s">
        <v>392</v>
      </c>
      <c r="D145" s="124">
        <v>7</v>
      </c>
      <c r="E145" s="124">
        <v>30</v>
      </c>
      <c r="F145" s="124">
        <v>15</v>
      </c>
      <c r="G145" s="124">
        <v>0</v>
      </c>
      <c r="H145" s="124">
        <v>0</v>
      </c>
      <c r="I145" s="124">
        <v>45</v>
      </c>
      <c r="J145" s="124" t="s">
        <v>24</v>
      </c>
      <c r="K145" s="124" t="s">
        <v>40</v>
      </c>
      <c r="L145" s="124" t="b">
        <v>1</v>
      </c>
      <c r="P145" s="124" t="s">
        <v>312</v>
      </c>
      <c r="R145" s="124" t="s">
        <v>48</v>
      </c>
      <c r="T145" s="124" t="s">
        <v>393</v>
      </c>
      <c r="V145" s="124" t="b">
        <v>1</v>
      </c>
      <c r="W145" s="124" t="b">
        <v>1</v>
      </c>
    </row>
    <row r="146" spans="1:23" x14ac:dyDescent="0.25">
      <c r="A146" s="124">
        <v>145</v>
      </c>
      <c r="B146" s="124" t="s">
        <v>345</v>
      </c>
      <c r="C146" s="124" t="s">
        <v>394</v>
      </c>
      <c r="D146" s="124">
        <v>6</v>
      </c>
      <c r="E146" s="124">
        <v>45</v>
      </c>
      <c r="F146" s="124">
        <v>30</v>
      </c>
      <c r="G146" s="124">
        <v>0</v>
      </c>
      <c r="H146" s="124">
        <v>0</v>
      </c>
      <c r="I146" s="124">
        <v>75</v>
      </c>
      <c r="J146" s="124" t="s">
        <v>24</v>
      </c>
      <c r="K146" s="124" t="s">
        <v>40</v>
      </c>
      <c r="L146" s="124" t="b">
        <v>1</v>
      </c>
      <c r="P146" s="124" t="s">
        <v>395</v>
      </c>
      <c r="R146" s="124" t="s">
        <v>48</v>
      </c>
      <c r="T146" s="124" t="s">
        <v>396</v>
      </c>
      <c r="V146" s="124" t="b">
        <v>1</v>
      </c>
      <c r="W146" s="124" t="b">
        <v>0</v>
      </c>
    </row>
    <row r="147" spans="1:23" x14ac:dyDescent="0.25">
      <c r="A147" s="124">
        <v>146</v>
      </c>
      <c r="B147" s="124" t="s">
        <v>397</v>
      </c>
      <c r="C147" s="124" t="s">
        <v>398</v>
      </c>
      <c r="E147" s="124">
        <v>30</v>
      </c>
      <c r="F147" s="124">
        <v>30</v>
      </c>
      <c r="G147" s="124">
        <v>0</v>
      </c>
      <c r="H147" s="124">
        <v>0</v>
      </c>
      <c r="I147" s="124">
        <v>60</v>
      </c>
      <c r="J147" s="124" t="s">
        <v>24</v>
      </c>
      <c r="L147" s="124" t="b">
        <v>0</v>
      </c>
      <c r="P147" s="124" t="s">
        <v>345</v>
      </c>
      <c r="V147" s="124" t="b">
        <v>0</v>
      </c>
      <c r="W147" s="124" t="b">
        <v>0</v>
      </c>
    </row>
    <row r="148" spans="1:23" x14ac:dyDescent="0.25">
      <c r="A148" s="124">
        <v>147</v>
      </c>
      <c r="B148" s="124" t="s">
        <v>351</v>
      </c>
      <c r="C148" s="124" t="s">
        <v>399</v>
      </c>
      <c r="D148" s="124">
        <v>5</v>
      </c>
      <c r="E148" s="124">
        <v>45</v>
      </c>
      <c r="F148" s="124">
        <v>0</v>
      </c>
      <c r="G148" s="124">
        <v>0</v>
      </c>
      <c r="H148" s="124">
        <v>0</v>
      </c>
      <c r="I148" s="124">
        <v>45</v>
      </c>
      <c r="J148" s="124" t="s">
        <v>24</v>
      </c>
      <c r="K148" s="124" t="s">
        <v>40</v>
      </c>
      <c r="L148" s="124" t="b">
        <v>1</v>
      </c>
      <c r="P148" s="124" t="s">
        <v>400</v>
      </c>
      <c r="R148" s="124" t="s">
        <v>43</v>
      </c>
      <c r="T148" s="124" t="s">
        <v>401</v>
      </c>
      <c r="V148" s="124" t="b">
        <v>1</v>
      </c>
      <c r="W148" s="124" t="b">
        <v>1</v>
      </c>
    </row>
    <row r="149" spans="1:23" x14ac:dyDescent="0.25">
      <c r="A149" s="124">
        <v>148</v>
      </c>
      <c r="B149" s="124" t="s">
        <v>402</v>
      </c>
      <c r="C149" s="124" t="s">
        <v>399</v>
      </c>
      <c r="E149" s="124">
        <v>60</v>
      </c>
      <c r="F149" s="124">
        <v>30</v>
      </c>
      <c r="G149" s="124">
        <v>0</v>
      </c>
      <c r="H149" s="124">
        <v>0</v>
      </c>
      <c r="I149" s="124">
        <v>90</v>
      </c>
      <c r="J149" s="124" t="s">
        <v>24</v>
      </c>
      <c r="L149" s="124" t="b">
        <v>1</v>
      </c>
      <c r="N149" s="124" t="s">
        <v>403</v>
      </c>
      <c r="V149" s="124" t="b">
        <v>0</v>
      </c>
      <c r="W149" s="124" t="b">
        <v>0</v>
      </c>
    </row>
    <row r="150" spans="1:23" x14ac:dyDescent="0.25">
      <c r="A150" s="124">
        <v>149</v>
      </c>
      <c r="B150" s="124" t="s">
        <v>404</v>
      </c>
      <c r="C150" s="124" t="s">
        <v>405</v>
      </c>
      <c r="E150" s="124">
        <v>30</v>
      </c>
      <c r="F150" s="124">
        <v>15</v>
      </c>
      <c r="G150" s="124">
        <v>0</v>
      </c>
      <c r="H150" s="124">
        <v>0</v>
      </c>
      <c r="I150" s="124">
        <v>45</v>
      </c>
      <c r="J150" s="124" t="s">
        <v>24</v>
      </c>
      <c r="L150" s="124" t="b">
        <v>0</v>
      </c>
      <c r="V150" s="124" t="b">
        <v>0</v>
      </c>
      <c r="W150" s="124" t="b">
        <v>0</v>
      </c>
    </row>
    <row r="151" spans="1:23" x14ac:dyDescent="0.25">
      <c r="A151" s="124">
        <v>150</v>
      </c>
      <c r="B151" s="124" t="s">
        <v>406</v>
      </c>
      <c r="C151" s="124" t="s">
        <v>407</v>
      </c>
      <c r="D151" s="124">
        <v>6</v>
      </c>
      <c r="E151" s="124">
        <v>45</v>
      </c>
      <c r="F151" s="124">
        <v>0</v>
      </c>
      <c r="G151" s="124">
        <v>0</v>
      </c>
      <c r="H151" s="124">
        <v>0</v>
      </c>
      <c r="I151" s="124">
        <v>45</v>
      </c>
      <c r="J151" s="124" t="s">
        <v>24</v>
      </c>
      <c r="K151" s="124" t="s">
        <v>40</v>
      </c>
      <c r="L151" s="124" t="b">
        <v>1</v>
      </c>
      <c r="N151" s="124" t="s">
        <v>61</v>
      </c>
      <c r="P151" s="124" t="s">
        <v>38</v>
      </c>
      <c r="R151" s="124" t="s">
        <v>43</v>
      </c>
      <c r="T151" s="124" t="s">
        <v>408</v>
      </c>
      <c r="V151" s="124" t="b">
        <v>1</v>
      </c>
      <c r="W151" s="124" t="b">
        <v>1</v>
      </c>
    </row>
    <row r="152" spans="1:23" x14ac:dyDescent="0.25">
      <c r="A152" s="124">
        <v>151</v>
      </c>
      <c r="B152" s="124" t="s">
        <v>409</v>
      </c>
      <c r="C152" s="124" t="s">
        <v>410</v>
      </c>
      <c r="I152" s="124">
        <v>30</v>
      </c>
      <c r="J152" s="124" t="s">
        <v>24</v>
      </c>
      <c r="L152" s="124" t="b">
        <v>0</v>
      </c>
      <c r="V152" s="124" t="b">
        <v>0</v>
      </c>
      <c r="W152" s="124" t="b">
        <v>1</v>
      </c>
    </row>
    <row r="153" spans="1:23" x14ac:dyDescent="0.25">
      <c r="A153" s="124">
        <v>152</v>
      </c>
      <c r="B153" s="124" t="s">
        <v>411</v>
      </c>
      <c r="C153" s="124" t="s">
        <v>412</v>
      </c>
      <c r="I153" s="124">
        <v>45</v>
      </c>
      <c r="J153" s="124" t="s">
        <v>24</v>
      </c>
      <c r="L153" s="124" t="b">
        <v>0</v>
      </c>
      <c r="V153" s="124" t="b">
        <v>0</v>
      </c>
      <c r="W153" s="124" t="b">
        <v>1</v>
      </c>
    </row>
    <row r="154" spans="1:23" x14ac:dyDescent="0.25">
      <c r="A154" s="124">
        <v>153</v>
      </c>
      <c r="B154" s="124" t="s">
        <v>413</v>
      </c>
      <c r="C154" s="124" t="s">
        <v>414</v>
      </c>
      <c r="I154" s="124">
        <v>60</v>
      </c>
      <c r="J154" s="124" t="s">
        <v>24</v>
      </c>
      <c r="L154" s="124" t="b">
        <v>0</v>
      </c>
      <c r="V154" s="124" t="b">
        <v>0</v>
      </c>
      <c r="W154" s="124" t="b">
        <v>1</v>
      </c>
    </row>
    <row r="155" spans="1:23" x14ac:dyDescent="0.25">
      <c r="A155" s="124">
        <v>154</v>
      </c>
      <c r="B155" s="124" t="s">
        <v>415</v>
      </c>
      <c r="C155" s="124" t="s">
        <v>416</v>
      </c>
      <c r="I155" s="124">
        <v>75</v>
      </c>
      <c r="J155" s="124" t="s">
        <v>24</v>
      </c>
      <c r="L155" s="124" t="b">
        <v>0</v>
      </c>
      <c r="V155" s="124" t="b">
        <v>0</v>
      </c>
      <c r="W155" s="124" t="b">
        <v>1</v>
      </c>
    </row>
    <row r="156" spans="1:23" x14ac:dyDescent="0.25">
      <c r="A156" s="124">
        <v>155</v>
      </c>
      <c r="B156" s="124" t="s">
        <v>417</v>
      </c>
      <c r="C156" s="124" t="s">
        <v>418</v>
      </c>
      <c r="E156" s="124">
        <v>30</v>
      </c>
      <c r="F156" s="124">
        <v>15</v>
      </c>
      <c r="G156" s="124">
        <v>0</v>
      </c>
      <c r="H156" s="124">
        <v>0</v>
      </c>
      <c r="I156" s="124">
        <v>45</v>
      </c>
      <c r="J156" s="124" t="s">
        <v>24</v>
      </c>
      <c r="L156" s="124" t="b">
        <v>0</v>
      </c>
      <c r="V156" s="124" t="b">
        <v>0</v>
      </c>
      <c r="W156" s="124" t="b">
        <v>0</v>
      </c>
    </row>
    <row r="157" spans="1:23" x14ac:dyDescent="0.25">
      <c r="A157" s="124">
        <v>156</v>
      </c>
      <c r="B157" s="124" t="s">
        <v>419</v>
      </c>
      <c r="C157" s="124" t="s">
        <v>420</v>
      </c>
      <c r="E157" s="124">
        <v>30</v>
      </c>
      <c r="F157" s="124">
        <v>15</v>
      </c>
      <c r="G157" s="124">
        <v>0</v>
      </c>
      <c r="H157" s="124">
        <v>0</v>
      </c>
      <c r="I157" s="124">
        <v>45</v>
      </c>
      <c r="J157" s="124" t="s">
        <v>24</v>
      </c>
      <c r="L157" s="124" t="b">
        <v>0</v>
      </c>
      <c r="V157" s="124" t="b">
        <v>0</v>
      </c>
      <c r="W157" s="124" t="b">
        <v>0</v>
      </c>
    </row>
    <row r="158" spans="1:23" x14ac:dyDescent="0.25">
      <c r="A158" s="124">
        <v>157</v>
      </c>
      <c r="B158" s="124" t="s">
        <v>421</v>
      </c>
      <c r="C158" s="124" t="s">
        <v>422</v>
      </c>
      <c r="E158" s="124">
        <v>30</v>
      </c>
      <c r="F158" s="124">
        <v>15</v>
      </c>
      <c r="G158" s="124">
        <v>0</v>
      </c>
      <c r="H158" s="124">
        <v>0</v>
      </c>
      <c r="I158" s="124">
        <v>45</v>
      </c>
      <c r="J158" s="124" t="s">
        <v>24</v>
      </c>
      <c r="L158" s="124" t="b">
        <v>0</v>
      </c>
      <c r="V158" s="124" t="b">
        <v>0</v>
      </c>
      <c r="W158" s="124" t="b">
        <v>0</v>
      </c>
    </row>
    <row r="159" spans="1:23" x14ac:dyDescent="0.25">
      <c r="A159" s="124">
        <v>158</v>
      </c>
      <c r="B159" s="124" t="s">
        <v>423</v>
      </c>
      <c r="C159" s="124" t="s">
        <v>424</v>
      </c>
      <c r="E159" s="124">
        <v>30</v>
      </c>
      <c r="F159" s="124">
        <v>15</v>
      </c>
      <c r="G159" s="124">
        <v>0</v>
      </c>
      <c r="H159" s="124">
        <v>0</v>
      </c>
      <c r="I159" s="124">
        <v>45</v>
      </c>
      <c r="J159" s="124" t="s">
        <v>24</v>
      </c>
      <c r="L159" s="124" t="b">
        <v>0</v>
      </c>
      <c r="V159" s="124" t="b">
        <v>0</v>
      </c>
      <c r="W159" s="124" t="b">
        <v>0</v>
      </c>
    </row>
    <row r="160" spans="1:23" x14ac:dyDescent="0.25">
      <c r="A160" s="124">
        <v>159</v>
      </c>
      <c r="B160" s="124" t="s">
        <v>425</v>
      </c>
      <c r="C160" s="124" t="s">
        <v>426</v>
      </c>
      <c r="E160" s="124">
        <v>30</v>
      </c>
      <c r="F160" s="124">
        <v>15</v>
      </c>
      <c r="G160" s="124">
        <v>0</v>
      </c>
      <c r="H160" s="124">
        <v>0</v>
      </c>
      <c r="I160" s="124">
        <v>45</v>
      </c>
      <c r="J160" s="124" t="s">
        <v>24</v>
      </c>
      <c r="L160" s="124" t="b">
        <v>0</v>
      </c>
      <c r="V160" s="124" t="b">
        <v>0</v>
      </c>
      <c r="W160" s="124" t="b">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heetViews>
  <sheetFormatPr defaultRowHeight="15" x14ac:dyDescent="0.25"/>
  <cols>
    <col min="1" max="1" width="14.28515625" bestFit="1" customWidth="1"/>
    <col min="2" max="2" width="14.7109375" bestFit="1" customWidth="1"/>
    <col min="3" max="3" width="69.5703125" bestFit="1" customWidth="1"/>
  </cols>
  <sheetData>
    <row r="1" spans="1:3" x14ac:dyDescent="0.25">
      <c r="A1" t="s">
        <v>462</v>
      </c>
      <c r="B1" t="s">
        <v>463</v>
      </c>
      <c r="C1" t="s">
        <v>464</v>
      </c>
    </row>
    <row r="2" spans="1:3" x14ac:dyDescent="0.25">
      <c r="A2" t="s">
        <v>22</v>
      </c>
      <c r="B2" t="s">
        <v>182</v>
      </c>
      <c r="C2" t="s">
        <v>465</v>
      </c>
    </row>
    <row r="3" spans="1:3" x14ac:dyDescent="0.25">
      <c r="A3" t="s">
        <v>32</v>
      </c>
      <c r="B3" t="s">
        <v>42</v>
      </c>
      <c r="C3" t="s">
        <v>466</v>
      </c>
    </row>
    <row r="4" spans="1:3" x14ac:dyDescent="0.25">
      <c r="A4" t="s">
        <v>35</v>
      </c>
      <c r="B4" t="s">
        <v>38</v>
      </c>
      <c r="C4" t="s">
        <v>467</v>
      </c>
    </row>
    <row r="5" spans="1:3" x14ac:dyDescent="0.25">
      <c r="A5" t="s">
        <v>56</v>
      </c>
      <c r="B5" t="s">
        <v>353</v>
      </c>
      <c r="C5" t="s">
        <v>468</v>
      </c>
    </row>
    <row r="6" spans="1:3" x14ac:dyDescent="0.25">
      <c r="A6" t="s">
        <v>53</v>
      </c>
      <c r="B6" t="s">
        <v>349</v>
      </c>
      <c r="C6" t="s">
        <v>469</v>
      </c>
    </row>
    <row r="7" spans="1:3" x14ac:dyDescent="0.25">
      <c r="A7" t="s">
        <v>118</v>
      </c>
      <c r="B7" t="s">
        <v>194</v>
      </c>
      <c r="C7" t="s">
        <v>470</v>
      </c>
    </row>
    <row r="8" spans="1:3" x14ac:dyDescent="0.25">
      <c r="A8" t="s">
        <v>115</v>
      </c>
      <c r="B8" t="s">
        <v>194</v>
      </c>
      <c r="C8" t="s">
        <v>470</v>
      </c>
    </row>
    <row r="9" spans="1:3" x14ac:dyDescent="0.25">
      <c r="A9" t="s">
        <v>227</v>
      </c>
      <c r="B9" t="s">
        <v>182</v>
      </c>
      <c r="C9" t="s">
        <v>471</v>
      </c>
    </row>
    <row r="10" spans="1:3" x14ac:dyDescent="0.25">
      <c r="A10" t="s">
        <v>238</v>
      </c>
      <c r="B10" t="s">
        <v>143</v>
      </c>
      <c r="C10" t="s">
        <v>472</v>
      </c>
    </row>
    <row r="11" spans="1:3" x14ac:dyDescent="0.25">
      <c r="A11" t="s">
        <v>235</v>
      </c>
      <c r="B11" t="s">
        <v>143</v>
      </c>
      <c r="C11" t="s">
        <v>472</v>
      </c>
    </row>
    <row r="12" spans="1:3" x14ac:dyDescent="0.25">
      <c r="A12" t="s">
        <v>261</v>
      </c>
      <c r="B12" t="s">
        <v>406</v>
      </c>
      <c r="C12" t="s">
        <v>473</v>
      </c>
    </row>
    <row r="13" spans="1:3" x14ac:dyDescent="0.25">
      <c r="A13" t="s">
        <v>319</v>
      </c>
      <c r="B13" t="s">
        <v>315</v>
      </c>
      <c r="C13" t="s">
        <v>474</v>
      </c>
    </row>
    <row r="14" spans="1:3" x14ac:dyDescent="0.25">
      <c r="A14" t="s">
        <v>357</v>
      </c>
      <c r="B14" t="s">
        <v>349</v>
      </c>
      <c r="C14" t="s">
        <v>475</v>
      </c>
    </row>
    <row r="15" spans="1:3" x14ac:dyDescent="0.25">
      <c r="A15" t="s">
        <v>359</v>
      </c>
      <c r="B15" t="s">
        <v>353</v>
      </c>
      <c r="C15" t="s">
        <v>476</v>
      </c>
    </row>
    <row r="16" spans="1:3" x14ac:dyDescent="0.25">
      <c r="A16" t="s">
        <v>391</v>
      </c>
      <c r="B16" t="s">
        <v>386</v>
      </c>
      <c r="C16" t="s">
        <v>477</v>
      </c>
    </row>
    <row r="17" spans="1:3" x14ac:dyDescent="0.25">
      <c r="A17" t="s">
        <v>389</v>
      </c>
      <c r="B17" t="s">
        <v>386</v>
      </c>
      <c r="C17" t="s">
        <v>477</v>
      </c>
    </row>
    <row r="18" spans="1:3" x14ac:dyDescent="0.25">
      <c r="A18" t="s">
        <v>402</v>
      </c>
      <c r="B18" t="s">
        <v>351</v>
      </c>
      <c r="C18" t="s">
        <v>478</v>
      </c>
    </row>
    <row r="19" spans="1:3" x14ac:dyDescent="0.25">
      <c r="A19" t="s">
        <v>379</v>
      </c>
      <c r="B19" t="s">
        <v>94</v>
      </c>
      <c r="C19" t="s">
        <v>479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tabSelected="1" workbookViewId="0">
      <selection activeCell="C10" sqref="C10"/>
    </sheetView>
  </sheetViews>
  <sheetFormatPr defaultRowHeight="15" x14ac:dyDescent="0.25"/>
  <cols>
    <col min="1" max="1" width="16" bestFit="1" customWidth="1"/>
    <col min="2" max="2" width="34.28515625" bestFit="1" customWidth="1"/>
    <col min="3" max="3" width="71.28515625" customWidth="1"/>
  </cols>
  <sheetData>
    <row r="1" spans="1:3" x14ac:dyDescent="0.25">
      <c r="A1" s="125" t="s">
        <v>480</v>
      </c>
      <c r="B1" s="125" t="s">
        <v>1</v>
      </c>
      <c r="C1" s="125" t="s">
        <v>481</v>
      </c>
    </row>
    <row r="2" spans="1:3" x14ac:dyDescent="0.25">
      <c r="A2" t="s">
        <v>28</v>
      </c>
      <c r="B2" t="s">
        <v>482</v>
      </c>
    </row>
    <row r="3" spans="1:3" x14ac:dyDescent="0.25">
      <c r="A3" t="s">
        <v>85</v>
      </c>
      <c r="B3" t="s">
        <v>483</v>
      </c>
    </row>
    <row r="4" spans="1:3" x14ac:dyDescent="0.25">
      <c r="A4" t="s">
        <v>40</v>
      </c>
      <c r="B4" t="s">
        <v>484</v>
      </c>
    </row>
    <row r="5" spans="1:3" x14ac:dyDescent="0.25">
      <c r="A5" t="s">
        <v>75</v>
      </c>
      <c r="B5" t="s">
        <v>485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election activeCell="H12" sqref="H12"/>
    </sheetView>
  </sheetViews>
  <sheetFormatPr defaultRowHeight="15" x14ac:dyDescent="0.25"/>
  <cols>
    <col min="1" max="1" width="38.28515625" bestFit="1" customWidth="1"/>
    <col min="2" max="2" width="45" bestFit="1" customWidth="1"/>
    <col min="3" max="3" width="69.42578125" customWidth="1"/>
  </cols>
  <sheetData>
    <row r="1" spans="1:3" x14ac:dyDescent="0.25">
      <c r="A1" s="125" t="s">
        <v>480</v>
      </c>
      <c r="B1" s="125" t="s">
        <v>1</v>
      </c>
      <c r="C1" s="125" t="s">
        <v>481</v>
      </c>
    </row>
    <row r="2" spans="1:3" x14ac:dyDescent="0.25">
      <c r="A2" t="s">
        <v>48</v>
      </c>
      <c r="B2" t="s">
        <v>486</v>
      </c>
    </row>
    <row r="3" spans="1:3" x14ac:dyDescent="0.25">
      <c r="A3" t="s">
        <v>192</v>
      </c>
      <c r="B3" t="s">
        <v>487</v>
      </c>
    </row>
    <row r="4" spans="1:3" x14ac:dyDescent="0.25">
      <c r="A4" t="s">
        <v>43</v>
      </c>
      <c r="B4" t="s">
        <v>488</v>
      </c>
    </row>
    <row r="5" spans="1:3" x14ac:dyDescent="0.25">
      <c r="A5" t="s">
        <v>67</v>
      </c>
      <c r="B5" t="s">
        <v>489</v>
      </c>
    </row>
    <row r="6" spans="1:3" x14ac:dyDescent="0.25">
      <c r="A6" t="s">
        <v>96</v>
      </c>
      <c r="B6" t="s">
        <v>490</v>
      </c>
    </row>
    <row r="7" spans="1:3" x14ac:dyDescent="0.25">
      <c r="A7" t="s">
        <v>140</v>
      </c>
      <c r="B7" t="s">
        <v>491</v>
      </c>
    </row>
    <row r="8" spans="1:3" x14ac:dyDescent="0.25">
      <c r="A8" t="s">
        <v>30</v>
      </c>
      <c r="B8" t="s">
        <v>492</v>
      </c>
    </row>
    <row r="9" spans="1:3" x14ac:dyDescent="0.25">
      <c r="A9" t="s">
        <v>76</v>
      </c>
      <c r="B9" t="s">
        <v>493</v>
      </c>
    </row>
    <row r="10" spans="1:3" x14ac:dyDescent="0.25">
      <c r="A10" t="s">
        <v>86</v>
      </c>
      <c r="B10" t="s">
        <v>494</v>
      </c>
    </row>
    <row r="11" spans="1:3" x14ac:dyDescent="0.25">
      <c r="A11" t="s">
        <v>81</v>
      </c>
      <c r="B11" t="s">
        <v>495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workbookViewId="0">
      <selection activeCell="C14" sqref="C14"/>
    </sheetView>
  </sheetViews>
  <sheetFormatPr defaultRowHeight="15" x14ac:dyDescent="0.25"/>
  <cols>
    <col min="1" max="1" width="38.7109375" customWidth="1"/>
    <col min="2" max="2" width="56.7109375" customWidth="1"/>
    <col min="3" max="3" width="58.42578125" customWidth="1"/>
    <col min="4" max="4" width="30.42578125" customWidth="1"/>
    <col min="5" max="5" width="21.7109375" customWidth="1"/>
  </cols>
  <sheetData>
    <row r="1" spans="1:5" s="125" customFormat="1" x14ac:dyDescent="0.25">
      <c r="A1" s="125" t="s">
        <v>480</v>
      </c>
      <c r="B1" s="125" t="s">
        <v>1</v>
      </c>
      <c r="C1" s="125" t="s">
        <v>481</v>
      </c>
      <c r="D1" s="125" t="s">
        <v>496</v>
      </c>
      <c r="E1" s="125" t="s">
        <v>497</v>
      </c>
    </row>
    <row r="2" spans="1:5" x14ac:dyDescent="0.25">
      <c r="A2" t="s">
        <v>498</v>
      </c>
      <c r="B2" t="s">
        <v>499</v>
      </c>
      <c r="D2" t="s">
        <v>500</v>
      </c>
      <c r="E2" t="s">
        <v>5</v>
      </c>
    </row>
    <row r="3" spans="1:5" x14ac:dyDescent="0.25">
      <c r="A3" t="s">
        <v>258</v>
      </c>
      <c r="B3" t="s">
        <v>501</v>
      </c>
      <c r="D3" t="s">
        <v>502</v>
      </c>
      <c r="E3" t="s">
        <v>5</v>
      </c>
    </row>
    <row r="4" spans="1:5" x14ac:dyDescent="0.25">
      <c r="A4" t="s">
        <v>503</v>
      </c>
      <c r="B4" t="s">
        <v>504</v>
      </c>
      <c r="D4" t="s">
        <v>505</v>
      </c>
      <c r="E4" t="s">
        <v>5</v>
      </c>
    </row>
    <row r="5" spans="1:5" x14ac:dyDescent="0.25">
      <c r="A5" t="s">
        <v>506</v>
      </c>
      <c r="B5" t="s">
        <v>507</v>
      </c>
      <c r="D5" t="s">
        <v>508</v>
      </c>
      <c r="E5" t="s">
        <v>5</v>
      </c>
    </row>
    <row r="6" spans="1:5" x14ac:dyDescent="0.25">
      <c r="A6" t="s">
        <v>509</v>
      </c>
      <c r="B6" t="s">
        <v>510</v>
      </c>
      <c r="D6" t="s">
        <v>511</v>
      </c>
      <c r="E6" t="s">
        <v>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4"/>
  <sheetViews>
    <sheetView workbookViewId="0">
      <selection activeCell="G17" sqref="G17"/>
    </sheetView>
  </sheetViews>
  <sheetFormatPr defaultRowHeight="15" x14ac:dyDescent="0.25"/>
  <cols>
    <col min="1" max="1" width="19.140625" customWidth="1"/>
    <col min="2" max="2" width="50.42578125" bestFit="1" customWidth="1"/>
    <col min="3" max="3" width="20.85546875" customWidth="1"/>
    <col min="4" max="4" width="30.85546875" customWidth="1"/>
  </cols>
  <sheetData>
    <row r="1" spans="1:4" x14ac:dyDescent="0.25">
      <c r="A1" s="125" t="s">
        <v>480</v>
      </c>
      <c r="B1" s="125" t="s">
        <v>481</v>
      </c>
      <c r="C1" s="125" t="s">
        <v>5</v>
      </c>
      <c r="D1" s="125" t="s">
        <v>512</v>
      </c>
    </row>
    <row r="2" spans="1:4" x14ac:dyDescent="0.25">
      <c r="A2" t="s">
        <v>401</v>
      </c>
      <c r="B2" t="s">
        <v>513</v>
      </c>
      <c r="C2" t="b">
        <v>1</v>
      </c>
      <c r="D2" t="s">
        <v>514</v>
      </c>
    </row>
    <row r="3" spans="1:4" x14ac:dyDescent="0.25">
      <c r="A3" t="s">
        <v>137</v>
      </c>
      <c r="B3" t="s">
        <v>515</v>
      </c>
      <c r="C3" t="b">
        <v>1</v>
      </c>
      <c r="D3" t="s">
        <v>514</v>
      </c>
    </row>
    <row r="4" spans="1:4" x14ac:dyDescent="0.25">
      <c r="A4" t="s">
        <v>516</v>
      </c>
      <c r="B4" t="s">
        <v>517</v>
      </c>
      <c r="C4" t="b">
        <v>1</v>
      </c>
      <c r="D4" t="s">
        <v>514</v>
      </c>
    </row>
    <row r="5" spans="1:4" x14ac:dyDescent="0.25">
      <c r="A5" t="s">
        <v>518</v>
      </c>
      <c r="B5" t="s">
        <v>519</v>
      </c>
      <c r="C5" t="b">
        <v>1</v>
      </c>
      <c r="D5" t="s">
        <v>514</v>
      </c>
    </row>
    <row r="6" spans="1:4" x14ac:dyDescent="0.25">
      <c r="A6" t="s">
        <v>520</v>
      </c>
      <c r="B6" t="s">
        <v>521</v>
      </c>
      <c r="C6" t="b">
        <v>1</v>
      </c>
      <c r="D6" t="s">
        <v>514</v>
      </c>
    </row>
    <row r="7" spans="1:4" x14ac:dyDescent="0.25">
      <c r="A7" t="s">
        <v>522</v>
      </c>
      <c r="B7" t="s">
        <v>523</v>
      </c>
      <c r="C7" t="b">
        <v>1</v>
      </c>
      <c r="D7" t="s">
        <v>514</v>
      </c>
    </row>
    <row r="8" spans="1:4" x14ac:dyDescent="0.25">
      <c r="A8" t="s">
        <v>524</v>
      </c>
      <c r="B8" t="s">
        <v>525</v>
      </c>
      <c r="C8" t="b">
        <v>1</v>
      </c>
      <c r="D8" t="s">
        <v>514</v>
      </c>
    </row>
    <row r="9" spans="1:4" x14ac:dyDescent="0.25">
      <c r="A9" t="s">
        <v>526</v>
      </c>
      <c r="B9" t="s">
        <v>527</v>
      </c>
      <c r="C9" t="b">
        <v>1</v>
      </c>
      <c r="D9" t="s">
        <v>514</v>
      </c>
    </row>
    <row r="10" spans="1:4" x14ac:dyDescent="0.25">
      <c r="A10" t="s">
        <v>528</v>
      </c>
      <c r="B10" t="s">
        <v>529</v>
      </c>
      <c r="C10" t="b">
        <v>1</v>
      </c>
      <c r="D10" t="s">
        <v>514</v>
      </c>
    </row>
    <row r="11" spans="1:4" x14ac:dyDescent="0.25">
      <c r="A11" t="s">
        <v>530</v>
      </c>
      <c r="B11" t="s">
        <v>531</v>
      </c>
      <c r="C11" t="b">
        <v>1</v>
      </c>
      <c r="D11" t="s">
        <v>514</v>
      </c>
    </row>
    <row r="12" spans="1:4" x14ac:dyDescent="0.25">
      <c r="A12" t="s">
        <v>532</v>
      </c>
      <c r="B12" t="s">
        <v>533</v>
      </c>
      <c r="C12" t="b">
        <v>1</v>
      </c>
      <c r="D12" t="s">
        <v>514</v>
      </c>
    </row>
    <row r="13" spans="1:4" x14ac:dyDescent="0.25">
      <c r="A13" t="s">
        <v>534</v>
      </c>
      <c r="B13" t="s">
        <v>535</v>
      </c>
      <c r="C13" t="b">
        <v>1</v>
      </c>
      <c r="D13" t="s">
        <v>514</v>
      </c>
    </row>
    <row r="14" spans="1:4" x14ac:dyDescent="0.25">
      <c r="A14" t="s">
        <v>288</v>
      </c>
      <c r="B14" t="s">
        <v>536</v>
      </c>
      <c r="C14" t="b">
        <v>1</v>
      </c>
      <c r="D14" t="s">
        <v>514</v>
      </c>
    </row>
    <row r="15" spans="1:4" x14ac:dyDescent="0.25">
      <c r="A15" t="s">
        <v>537</v>
      </c>
      <c r="B15" t="s">
        <v>538</v>
      </c>
      <c r="C15" t="b">
        <v>1</v>
      </c>
      <c r="D15" t="s">
        <v>514</v>
      </c>
    </row>
    <row r="16" spans="1:4" x14ac:dyDescent="0.25">
      <c r="A16" t="s">
        <v>539</v>
      </c>
      <c r="B16" t="s">
        <v>540</v>
      </c>
      <c r="C16" t="b">
        <v>1</v>
      </c>
      <c r="D16" t="s">
        <v>514</v>
      </c>
    </row>
    <row r="17" spans="1:4" x14ac:dyDescent="0.25">
      <c r="A17" t="s">
        <v>541</v>
      </c>
      <c r="B17" t="s">
        <v>542</v>
      </c>
      <c r="C17" t="b">
        <v>1</v>
      </c>
      <c r="D17" t="s">
        <v>514</v>
      </c>
    </row>
    <row r="18" spans="1:4" x14ac:dyDescent="0.25">
      <c r="A18" t="s">
        <v>370</v>
      </c>
      <c r="B18" t="s">
        <v>543</v>
      </c>
      <c r="C18" t="b">
        <v>1</v>
      </c>
      <c r="D18" t="s">
        <v>514</v>
      </c>
    </row>
    <row r="19" spans="1:4" x14ac:dyDescent="0.25">
      <c r="A19" t="s">
        <v>544</v>
      </c>
      <c r="B19" t="s">
        <v>545</v>
      </c>
      <c r="C19" t="b">
        <v>1</v>
      </c>
      <c r="D19" t="s">
        <v>514</v>
      </c>
    </row>
    <row r="20" spans="1:4" x14ac:dyDescent="0.25">
      <c r="A20" t="s">
        <v>546</v>
      </c>
      <c r="B20" t="s">
        <v>547</v>
      </c>
      <c r="C20" t="b">
        <v>1</v>
      </c>
      <c r="D20" t="s">
        <v>514</v>
      </c>
    </row>
    <row r="21" spans="1:4" x14ac:dyDescent="0.25">
      <c r="A21" t="s">
        <v>548</v>
      </c>
      <c r="B21" t="s">
        <v>549</v>
      </c>
      <c r="C21" t="b">
        <v>1</v>
      </c>
      <c r="D21" t="s">
        <v>514</v>
      </c>
    </row>
    <row r="22" spans="1:4" x14ac:dyDescent="0.25">
      <c r="A22" t="s">
        <v>550</v>
      </c>
      <c r="B22" t="s">
        <v>551</v>
      </c>
      <c r="C22" t="b">
        <v>1</v>
      </c>
      <c r="D22" t="s">
        <v>514</v>
      </c>
    </row>
    <row r="23" spans="1:4" x14ac:dyDescent="0.25">
      <c r="A23" t="s">
        <v>552</v>
      </c>
      <c r="B23" t="s">
        <v>553</v>
      </c>
      <c r="C23" t="b">
        <v>1</v>
      </c>
      <c r="D23" t="s">
        <v>514</v>
      </c>
    </row>
    <row r="24" spans="1:4" x14ac:dyDescent="0.25">
      <c r="A24" t="s">
        <v>102</v>
      </c>
      <c r="B24" t="s">
        <v>554</v>
      </c>
      <c r="C24" t="b">
        <v>1</v>
      </c>
      <c r="D24" t="s">
        <v>514</v>
      </c>
    </row>
    <row r="25" spans="1:4" x14ac:dyDescent="0.25">
      <c r="A25" t="s">
        <v>555</v>
      </c>
      <c r="B25" t="s">
        <v>556</v>
      </c>
      <c r="C25" t="b">
        <v>1</v>
      </c>
      <c r="D25" t="s">
        <v>514</v>
      </c>
    </row>
    <row r="26" spans="1:4" x14ac:dyDescent="0.25">
      <c r="A26" t="s">
        <v>557</v>
      </c>
      <c r="B26" t="s">
        <v>558</v>
      </c>
      <c r="C26" t="b">
        <v>1</v>
      </c>
      <c r="D26" t="s">
        <v>514</v>
      </c>
    </row>
    <row r="27" spans="1:4" x14ac:dyDescent="0.25">
      <c r="A27" t="s">
        <v>199</v>
      </c>
      <c r="B27" t="s">
        <v>559</v>
      </c>
      <c r="C27" t="b">
        <v>1</v>
      </c>
      <c r="D27" t="s">
        <v>514</v>
      </c>
    </row>
    <row r="28" spans="1:4" x14ac:dyDescent="0.25">
      <c r="A28" t="s">
        <v>294</v>
      </c>
      <c r="B28" t="s">
        <v>560</v>
      </c>
      <c r="C28" t="b">
        <v>1</v>
      </c>
      <c r="D28" t="s">
        <v>514</v>
      </c>
    </row>
    <row r="29" spans="1:4" x14ac:dyDescent="0.25">
      <c r="A29" t="s">
        <v>561</v>
      </c>
      <c r="B29" t="s">
        <v>562</v>
      </c>
      <c r="C29" t="b">
        <v>1</v>
      </c>
      <c r="D29" t="s">
        <v>514</v>
      </c>
    </row>
    <row r="30" spans="1:4" x14ac:dyDescent="0.25">
      <c r="A30" t="s">
        <v>563</v>
      </c>
      <c r="B30" t="s">
        <v>564</v>
      </c>
      <c r="C30" t="b">
        <v>1</v>
      </c>
      <c r="D30" t="s">
        <v>514</v>
      </c>
    </row>
    <row r="31" spans="1:4" x14ac:dyDescent="0.25">
      <c r="A31" t="s">
        <v>565</v>
      </c>
      <c r="B31" t="s">
        <v>566</v>
      </c>
      <c r="C31" t="b">
        <v>1</v>
      </c>
      <c r="D31" t="s">
        <v>514</v>
      </c>
    </row>
    <row r="32" spans="1:4" x14ac:dyDescent="0.25">
      <c r="A32" t="s">
        <v>567</v>
      </c>
      <c r="B32" t="s">
        <v>568</v>
      </c>
      <c r="C32" t="b">
        <v>1</v>
      </c>
      <c r="D32" t="s">
        <v>514</v>
      </c>
    </row>
    <row r="33" spans="1:4" x14ac:dyDescent="0.25">
      <c r="A33" t="s">
        <v>569</v>
      </c>
      <c r="B33" t="s">
        <v>570</v>
      </c>
      <c r="C33" t="b">
        <v>1</v>
      </c>
      <c r="D33" t="s">
        <v>514</v>
      </c>
    </row>
    <row r="34" spans="1:4" x14ac:dyDescent="0.25">
      <c r="A34" t="s">
        <v>571</v>
      </c>
      <c r="B34" t="s">
        <v>572</v>
      </c>
      <c r="C34" t="b">
        <v>1</v>
      </c>
      <c r="D34" t="s">
        <v>514</v>
      </c>
    </row>
    <row r="35" spans="1:4" x14ac:dyDescent="0.25">
      <c r="A35" t="s">
        <v>336</v>
      </c>
      <c r="B35" t="s">
        <v>573</v>
      </c>
      <c r="C35" t="b">
        <v>1</v>
      </c>
      <c r="D35" t="s">
        <v>514</v>
      </c>
    </row>
    <row r="36" spans="1:4" x14ac:dyDescent="0.25">
      <c r="A36" t="s">
        <v>574</v>
      </c>
      <c r="B36" t="s">
        <v>575</v>
      </c>
      <c r="C36" t="b">
        <v>1</v>
      </c>
      <c r="D36" t="s">
        <v>514</v>
      </c>
    </row>
    <row r="37" spans="1:4" x14ac:dyDescent="0.25">
      <c r="A37" t="s">
        <v>576</v>
      </c>
      <c r="B37" t="s">
        <v>577</v>
      </c>
      <c r="C37" t="b">
        <v>1</v>
      </c>
      <c r="D37" t="s">
        <v>514</v>
      </c>
    </row>
    <row r="38" spans="1:4" x14ac:dyDescent="0.25">
      <c r="A38" t="s">
        <v>578</v>
      </c>
      <c r="B38" t="s">
        <v>579</v>
      </c>
      <c r="C38" t="b">
        <v>1</v>
      </c>
      <c r="D38" t="s">
        <v>514</v>
      </c>
    </row>
    <row r="39" spans="1:4" x14ac:dyDescent="0.25">
      <c r="A39" t="s">
        <v>580</v>
      </c>
      <c r="B39" t="s">
        <v>581</v>
      </c>
      <c r="C39" t="b">
        <v>1</v>
      </c>
      <c r="D39" t="s">
        <v>514</v>
      </c>
    </row>
    <row r="40" spans="1:4" x14ac:dyDescent="0.25">
      <c r="A40" t="s">
        <v>68</v>
      </c>
      <c r="B40" t="s">
        <v>582</v>
      </c>
      <c r="C40" t="b">
        <v>1</v>
      </c>
      <c r="D40" t="s">
        <v>514</v>
      </c>
    </row>
    <row r="41" spans="1:4" x14ac:dyDescent="0.25">
      <c r="A41" t="s">
        <v>583</v>
      </c>
      <c r="B41" t="s">
        <v>584</v>
      </c>
      <c r="C41" t="b">
        <v>1</v>
      </c>
      <c r="D41" t="s">
        <v>514</v>
      </c>
    </row>
    <row r="42" spans="1:4" x14ac:dyDescent="0.25">
      <c r="A42" t="s">
        <v>585</v>
      </c>
      <c r="B42" t="s">
        <v>586</v>
      </c>
      <c r="C42" t="b">
        <v>1</v>
      </c>
      <c r="D42" t="s">
        <v>514</v>
      </c>
    </row>
    <row r="43" spans="1:4" x14ac:dyDescent="0.25">
      <c r="A43" t="s">
        <v>587</v>
      </c>
      <c r="B43" t="s">
        <v>588</v>
      </c>
      <c r="C43" t="b">
        <v>1</v>
      </c>
      <c r="D43" t="s">
        <v>514</v>
      </c>
    </row>
    <row r="44" spans="1:4" x14ac:dyDescent="0.25">
      <c r="A44" t="s">
        <v>87</v>
      </c>
      <c r="B44" t="s">
        <v>589</v>
      </c>
      <c r="C44" t="b">
        <v>1</v>
      </c>
      <c r="D44" t="s">
        <v>514</v>
      </c>
    </row>
    <row r="45" spans="1:4" x14ac:dyDescent="0.25">
      <c r="A45" t="s">
        <v>590</v>
      </c>
      <c r="B45" t="s">
        <v>591</v>
      </c>
      <c r="C45" t="b">
        <v>1</v>
      </c>
      <c r="D45" t="s">
        <v>514</v>
      </c>
    </row>
    <row r="46" spans="1:4" x14ac:dyDescent="0.25">
      <c r="A46" t="s">
        <v>592</v>
      </c>
      <c r="B46" t="s">
        <v>593</v>
      </c>
      <c r="C46" t="b">
        <v>1</v>
      </c>
      <c r="D46" t="s">
        <v>514</v>
      </c>
    </row>
    <row r="47" spans="1:4" x14ac:dyDescent="0.25">
      <c r="A47" t="s">
        <v>594</v>
      </c>
      <c r="B47" t="s">
        <v>595</v>
      </c>
      <c r="C47" t="b">
        <v>1</v>
      </c>
      <c r="D47" t="s">
        <v>514</v>
      </c>
    </row>
    <row r="48" spans="1:4" x14ac:dyDescent="0.25">
      <c r="A48" t="s">
        <v>596</v>
      </c>
      <c r="B48" t="s">
        <v>597</v>
      </c>
      <c r="C48" t="b">
        <v>1</v>
      </c>
      <c r="D48" t="s">
        <v>514</v>
      </c>
    </row>
    <row r="49" spans="1:4" x14ac:dyDescent="0.25">
      <c r="A49" t="s">
        <v>598</v>
      </c>
      <c r="B49" t="s">
        <v>599</v>
      </c>
      <c r="C49" t="b">
        <v>1</v>
      </c>
      <c r="D49" t="s">
        <v>514</v>
      </c>
    </row>
    <row r="50" spans="1:4" x14ac:dyDescent="0.25">
      <c r="A50" t="s">
        <v>600</v>
      </c>
      <c r="B50" t="s">
        <v>601</v>
      </c>
      <c r="C50" t="b">
        <v>1</v>
      </c>
      <c r="D50" t="s">
        <v>514</v>
      </c>
    </row>
    <row r="51" spans="1:4" x14ac:dyDescent="0.25">
      <c r="A51" t="s">
        <v>348</v>
      </c>
      <c r="B51" t="s">
        <v>602</v>
      </c>
      <c r="C51" t="b">
        <v>1</v>
      </c>
      <c r="D51" t="s">
        <v>514</v>
      </c>
    </row>
    <row r="52" spans="1:4" x14ac:dyDescent="0.25">
      <c r="A52" t="s">
        <v>603</v>
      </c>
      <c r="B52" t="s">
        <v>604</v>
      </c>
      <c r="C52" t="b">
        <v>1</v>
      </c>
      <c r="D52" t="s">
        <v>514</v>
      </c>
    </row>
    <row r="53" spans="1:4" x14ac:dyDescent="0.25">
      <c r="A53" t="s">
        <v>605</v>
      </c>
      <c r="B53" t="s">
        <v>606</v>
      </c>
      <c r="C53" t="b">
        <v>1</v>
      </c>
      <c r="D53" t="s">
        <v>514</v>
      </c>
    </row>
    <row r="54" spans="1:4" x14ac:dyDescent="0.25">
      <c r="A54" t="s">
        <v>607</v>
      </c>
      <c r="B54" t="s">
        <v>608</v>
      </c>
      <c r="C54" t="b">
        <v>1</v>
      </c>
      <c r="D54" t="s">
        <v>514</v>
      </c>
    </row>
    <row r="55" spans="1:4" x14ac:dyDescent="0.25">
      <c r="A55" t="s">
        <v>609</v>
      </c>
      <c r="B55" t="s">
        <v>610</v>
      </c>
      <c r="C55" t="b">
        <v>1</v>
      </c>
      <c r="D55" t="s">
        <v>514</v>
      </c>
    </row>
    <row r="56" spans="1:4" x14ac:dyDescent="0.25">
      <c r="A56" t="s">
        <v>611</v>
      </c>
      <c r="B56" t="s">
        <v>612</v>
      </c>
      <c r="C56" t="b">
        <v>1</v>
      </c>
      <c r="D56" t="s">
        <v>514</v>
      </c>
    </row>
    <row r="57" spans="1:4" x14ac:dyDescent="0.25">
      <c r="A57" t="s">
        <v>613</v>
      </c>
      <c r="B57" t="s">
        <v>614</v>
      </c>
      <c r="C57" t="b">
        <v>1</v>
      </c>
      <c r="D57" t="s">
        <v>514</v>
      </c>
    </row>
    <row r="58" spans="1:4" x14ac:dyDescent="0.25">
      <c r="A58" t="s">
        <v>615</v>
      </c>
      <c r="B58" t="s">
        <v>616</v>
      </c>
      <c r="C58" t="b">
        <v>1</v>
      </c>
      <c r="D58" t="s">
        <v>514</v>
      </c>
    </row>
    <row r="59" spans="1:4" x14ac:dyDescent="0.25">
      <c r="A59" t="s">
        <v>617</v>
      </c>
      <c r="B59" t="s">
        <v>618</v>
      </c>
      <c r="C59" t="b">
        <v>1</v>
      </c>
      <c r="D59" t="s">
        <v>514</v>
      </c>
    </row>
    <row r="60" spans="1:4" x14ac:dyDescent="0.25">
      <c r="A60" t="s">
        <v>619</v>
      </c>
      <c r="B60" t="s">
        <v>620</v>
      </c>
      <c r="C60" t="b">
        <v>1</v>
      </c>
      <c r="D60" t="s">
        <v>514</v>
      </c>
    </row>
    <row r="61" spans="1:4" x14ac:dyDescent="0.25">
      <c r="A61" t="s">
        <v>621</v>
      </c>
      <c r="B61" t="s">
        <v>622</v>
      </c>
      <c r="C61" t="b">
        <v>1</v>
      </c>
      <c r="D61" t="s">
        <v>514</v>
      </c>
    </row>
    <row r="62" spans="1:4" x14ac:dyDescent="0.25">
      <c r="A62" t="s">
        <v>623</v>
      </c>
      <c r="B62" t="s">
        <v>624</v>
      </c>
      <c r="C62" t="b">
        <v>1</v>
      </c>
      <c r="D62" t="s">
        <v>514</v>
      </c>
    </row>
    <row r="63" spans="1:4" x14ac:dyDescent="0.25">
      <c r="A63" t="s">
        <v>625</v>
      </c>
      <c r="B63" t="s">
        <v>626</v>
      </c>
      <c r="C63" t="b">
        <v>1</v>
      </c>
      <c r="D63" t="s">
        <v>514</v>
      </c>
    </row>
    <row r="64" spans="1:4" x14ac:dyDescent="0.25">
      <c r="A64" t="s">
        <v>627</v>
      </c>
      <c r="B64" t="s">
        <v>628</v>
      </c>
      <c r="C64" t="b">
        <v>1</v>
      </c>
      <c r="D64" t="s">
        <v>514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Fluxograma</vt:lpstr>
      <vt:lpstr>Componentes</vt:lpstr>
      <vt:lpstr>Equivalencias</vt:lpstr>
      <vt:lpstr>Nucleos</vt:lpstr>
      <vt:lpstr>Areas</vt:lpstr>
      <vt:lpstr>Temas</vt:lpstr>
      <vt:lpstr>Conteudos</vt:lpstr>
      <vt:lpstr>Fluxograma!Area_de_impressao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Josué Morais</cp:lastModifiedBy>
  <dcterms:created xsi:type="dcterms:W3CDTF">2026-07-30T08:28:12Z</dcterms:created>
  <dcterms:modified xsi:type="dcterms:W3CDTF">2026-07-30T19:38:53Z</dcterms:modified>
</cp:coreProperties>
</file>